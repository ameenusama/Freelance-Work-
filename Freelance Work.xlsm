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ameen\Desktop\dad\"/>
    </mc:Choice>
  </mc:AlternateContent>
  <xr:revisionPtr revIDLastSave="0" documentId="13_ncr:1_{80510508-2FF6-40C0-B188-8285B82512A5}" xr6:coauthVersionLast="47" xr6:coauthVersionMax="47" xr10:uidLastSave="{00000000-0000-0000-0000-000000000000}"/>
  <bookViews>
    <workbookView xWindow="0" yWindow="0" windowWidth="27795" windowHeight="16200" xr2:uid="{021754C8-0A63-434E-BB95-4CB97916648A}"/>
  </bookViews>
  <sheets>
    <sheet name="Worksheet (all)" sheetId="6" r:id="rId1"/>
    <sheet name="Only revenue" sheetId="5" r:id="rId2"/>
    <sheet name="Sheet1" sheetId="1" r:id="rId3"/>
    <sheet name="Sheet2" sheetId="3" r:id="rId4"/>
    <sheet name="Sheet3" sheetId="4" r:id="rId5"/>
    <sheet name="Sheet5" sheetId="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Titles" localSheetId="2">Sheet1!$A:$E,Sheet1!$1:$1</definedName>
    <definedName name="QB_COLUMN_1" localSheetId="2" hidden="1">Sheet1!$F$1</definedName>
    <definedName name="QB_COLUMN_17" localSheetId="2" hidden="1">Sheet1!$M$1</definedName>
    <definedName name="QB_COLUMN_19" localSheetId="2" hidden="1">Sheet1!$N$1</definedName>
    <definedName name="QB_COLUMN_20" localSheetId="2" hidden="1">Sheet1!$O$1</definedName>
    <definedName name="QB_COLUMN_3" localSheetId="2" hidden="1">Sheet1!$H$1</definedName>
    <definedName name="QB_COLUMN_30" localSheetId="2" hidden="1">Sheet1!$P$1</definedName>
    <definedName name="QB_COLUMN_31" localSheetId="2" hidden="1">Sheet1!$Q$1</definedName>
    <definedName name="QB_COLUMN_4" localSheetId="2" hidden="1">Sheet1!$I$1</definedName>
    <definedName name="QB_COLUMN_5" localSheetId="2" hidden="1">Sheet1!$J$1</definedName>
    <definedName name="QB_COLUMN_7" localSheetId="2" hidden="1">Sheet1!$K$1</definedName>
    <definedName name="QB_COLUMN_8" localSheetId="2" hidden="1">Sheet1!$L$1</definedName>
    <definedName name="QB_DATA_0" localSheetId="2" hidden="1">Sheet1!$5:$5,Sheet1!$6:$6,Sheet1!$7:$7,Sheet1!$8:$8,Sheet1!$9:$9,Sheet1!$10:$10,Sheet1!$11:$11,Sheet1!$12:$12,Sheet1!$13:$13,Sheet1!$14:$14,Sheet1!$15:$15,Sheet1!$16:$16,Sheet1!$17:$17,Sheet1!$18:$18,Sheet1!$19:$19,Sheet1!$20:$20</definedName>
    <definedName name="QB_DATA_1" localSheetId="2" hidden="1">Sheet1!$21:$21,Sheet1!$22:$22,Sheet1!$23:$23,Sheet1!$24:$24,Sheet1!$25:$25,Sheet1!$26:$26,Sheet1!$27:$27,Sheet1!$28:$28,Sheet1!$29:$29,Sheet1!$30:$30,Sheet1!$31:$31,Sheet1!$32:$32,Sheet1!$33:$33,Sheet1!$34:$34,Sheet1!$35:$35,Sheet1!$36:$36</definedName>
    <definedName name="QB_DATA_10" localSheetId="2" hidden="1">Sheet1!$165:$165,Sheet1!$166:$166,Sheet1!$167:$167,Sheet1!$168:$168,Sheet1!$169:$169,Sheet1!$170:$170,Sheet1!$171:$171,Sheet1!$172:$172,Sheet1!$173:$173,Sheet1!$174:$174,Sheet1!$175:$175,Sheet1!$176:$176,Sheet1!$177:$177,Sheet1!$178:$178,Sheet1!$179:$179,Sheet1!$180:$180</definedName>
    <definedName name="QB_DATA_11" localSheetId="2" hidden="1">Sheet1!$181:$181,Sheet1!$182:$182,Sheet1!$183:$183,Sheet1!$184:$184,Sheet1!$185:$185,Sheet1!$186:$186,Sheet1!$187:$187,Sheet1!$188:$188,Sheet1!$189:$189,Sheet1!$190:$190,Sheet1!$191:$191,Sheet1!$192:$192,Sheet1!$193:$193,Sheet1!$194:$194,Sheet1!$195:$195,Sheet1!$196:$196</definedName>
    <definedName name="QB_DATA_12" localSheetId="2" hidden="1">Sheet1!$197:$197,Sheet1!$198:$198,Sheet1!$199:$199,Sheet1!$200:$200,Sheet1!$201:$201,Sheet1!$202:$202,Sheet1!$203:$203,Sheet1!$204:$204,Sheet1!$205:$205,Sheet1!$206:$206,Sheet1!$207:$207,Sheet1!$208:$208,Sheet1!$209:$209,Sheet1!$210:$210,Sheet1!$211:$211,Sheet1!$212:$212</definedName>
    <definedName name="QB_DATA_13" localSheetId="2" hidden="1">Sheet1!$213:$213,Sheet1!$214:$214,Sheet1!$215:$215,Sheet1!$216:$216,Sheet1!$217:$217,Sheet1!$218:$218,Sheet1!$219:$219,Sheet1!$220:$220,Sheet1!$221:$221,Sheet1!$222:$222,Sheet1!$223:$223,Sheet1!$224:$224,Sheet1!$225:$225,Sheet1!$226:$226,Sheet1!$227:$227,Sheet1!$228:$228</definedName>
    <definedName name="QB_DATA_14" localSheetId="2" hidden="1">Sheet1!$229:$229,Sheet1!$230:$230,Sheet1!$231:$231,Sheet1!$232:$232,Sheet1!$233:$233,Sheet1!$234:$234,Sheet1!$235:$235,Sheet1!$236:$236,Sheet1!$237:$237,Sheet1!$238:$238,Sheet1!$239:$239,Sheet1!$240:$240,Sheet1!$241:$241,Sheet1!$242:$242,Sheet1!$243:$243,Sheet1!$244:$244</definedName>
    <definedName name="QB_DATA_15" localSheetId="2" hidden="1">Sheet1!$245:$245,Sheet1!$246:$246,Sheet1!$247:$247,Sheet1!$248:$248,Sheet1!$249:$249,Sheet1!$250:$250,Sheet1!$251:$251,Sheet1!$252:$252,Sheet1!$253:$253,Sheet1!$254:$254,Sheet1!$255:$255,Sheet1!$256:$256,Sheet1!$257:$257,Sheet1!$258:$258,Sheet1!$259:$259,Sheet1!$260:$260</definedName>
    <definedName name="QB_DATA_16" localSheetId="2" hidden="1">Sheet1!$261:$261,Sheet1!$262:$262,Sheet1!$263:$263,Sheet1!$264:$264,Sheet1!$265:$265,Sheet1!$266:$266,Sheet1!$267:$267,Sheet1!$268:$268,Sheet1!$269:$269,Sheet1!$270:$270,Sheet1!$271:$271,Sheet1!$272:$272,Sheet1!$273:$273,Sheet1!$274:$274,Sheet1!$275:$275,Sheet1!$276:$276</definedName>
    <definedName name="QB_DATA_17" localSheetId="2" hidden="1">Sheet1!$277:$277,Sheet1!$278:$278,Sheet1!$279:$279,Sheet1!$280:$280,Sheet1!$281:$281,Sheet1!$282:$282,Sheet1!$283:$283,Sheet1!$284:$284,Sheet1!$285:$285,Sheet1!$286:$286,Sheet1!$287:$287,Sheet1!$288:$288,Sheet1!$289:$289,Sheet1!$290:$290,Sheet1!$291:$291,Sheet1!$292:$292</definedName>
    <definedName name="QB_DATA_18" localSheetId="2" hidden="1">Sheet1!$293:$293,Sheet1!$294:$294,Sheet1!$295:$295,Sheet1!$296:$296,Sheet1!$297:$297,Sheet1!$298:$298,Sheet1!$299:$299,Sheet1!$300:$300,Sheet1!$301:$301,Sheet1!$302:$302,Sheet1!$303:$303,Sheet1!$304:$304,Sheet1!$305:$305,Sheet1!$306:$306,Sheet1!$307:$307,Sheet1!$308:$308</definedName>
    <definedName name="QB_DATA_19" localSheetId="2" hidden="1">Sheet1!$309:$309,Sheet1!$310:$310,Sheet1!$311:$311,Sheet1!$312:$312,Sheet1!$313:$313,Sheet1!$314:$314,Sheet1!$315:$315,Sheet1!$316:$316,Sheet1!$317:$317,Sheet1!$318:$318,Sheet1!$319:$319,Sheet1!$320:$320,Sheet1!$321:$321,Sheet1!$322:$322,Sheet1!$323:$323,Sheet1!$324:$324</definedName>
    <definedName name="QB_DATA_2" localSheetId="2" hidden="1">Sheet1!$37:$37,Sheet1!$38:$38,Sheet1!$39:$39,Sheet1!$40:$40,Sheet1!$41:$41,Sheet1!$42:$42,Sheet1!$43:$43,Sheet1!$44:$44,Sheet1!$45:$45,Sheet1!$46:$46,Sheet1!$47:$47,Sheet1!$48:$48,Sheet1!$49:$49,Sheet1!$50:$50,Sheet1!$51:$51,Sheet1!$52:$52</definedName>
    <definedName name="QB_DATA_20" localSheetId="2" hidden="1">Sheet1!$325:$325,Sheet1!$326:$326,Sheet1!$327:$327,Sheet1!$328:$328,Sheet1!$329:$329,Sheet1!$330:$330,Sheet1!$331:$331,Sheet1!$332:$332,Sheet1!$333:$333,Sheet1!$334:$334,Sheet1!$335:$335,Sheet1!$336:$336,Sheet1!$337:$337,Sheet1!$338:$338,Sheet1!$339:$339,Sheet1!$340:$340</definedName>
    <definedName name="QB_DATA_21" localSheetId="2" hidden="1">Sheet1!$341:$341,Sheet1!$342:$342,Sheet1!$343:$343,Sheet1!$344:$344,Sheet1!$345:$345,Sheet1!$346:$346,Sheet1!$347:$347,Sheet1!$348:$348,Sheet1!$349:$349,Sheet1!$350:$350,Sheet1!$351:$351,Sheet1!$352:$352,Sheet1!$353:$353,Sheet1!$354:$354,Sheet1!$355:$355,Sheet1!$356:$356</definedName>
    <definedName name="QB_DATA_22" localSheetId="2" hidden="1">Sheet1!$357:$357,Sheet1!$358:$358,Sheet1!$359:$359,Sheet1!$360:$360,Sheet1!$361:$361,Sheet1!$362:$362,Sheet1!$363:$363,Sheet1!$364:$364,Sheet1!$365:$365,Sheet1!$366:$366,Sheet1!$367:$367,Sheet1!$368:$368,Sheet1!$369:$369,Sheet1!$370:$370,Sheet1!$371:$371,Sheet1!$372:$372</definedName>
    <definedName name="QB_DATA_23" localSheetId="2" hidden="1">Sheet1!$373:$373,Sheet1!$374:$374,Sheet1!$375:$375,Sheet1!$376:$376,Sheet1!$377:$377,Sheet1!$378:$378,Sheet1!$379:$379,Sheet1!$380:$380,Sheet1!$381:$381,Sheet1!$382:$382,Sheet1!$383:$383,Sheet1!$384:$384,Sheet1!$385:$385,Sheet1!$386:$386,Sheet1!$387:$387,Sheet1!$388:$388</definedName>
    <definedName name="QB_DATA_24" localSheetId="2" hidden="1">Sheet1!$389:$389,Sheet1!$390:$390,Sheet1!$391:$391,Sheet1!$392:$392,Sheet1!$393:$393,Sheet1!$394:$394,Sheet1!$395:$395,Sheet1!$396:$396,Sheet1!$397:$397,Sheet1!$398:$398,Sheet1!$399:$399,Sheet1!$400:$400,Sheet1!$401:$401,Sheet1!$402:$402,Sheet1!$403:$403,Sheet1!$404:$404</definedName>
    <definedName name="QB_DATA_25" localSheetId="2" hidden="1">Sheet1!$405:$405,Sheet1!$406:$406,Sheet1!$407:$407,Sheet1!$408:$408,Sheet1!$409:$409,Sheet1!$410:$410,Sheet1!$411:$411,Sheet1!$412:$412,Sheet1!$413:$413,Sheet1!$414:$414,Sheet1!$415:$415,Sheet1!$416:$416,Sheet1!$419:$419,Sheet1!$420:$420,Sheet1!$421:$421,Sheet1!$422:$422</definedName>
    <definedName name="QB_DATA_26" localSheetId="2" hidden="1">Sheet1!$425:$425,Sheet1!$430:$430,Sheet1!$431:$431,Sheet1!$432:$432,Sheet1!$433:$433,Sheet1!$434:$434,Sheet1!$435:$435,Sheet1!$436:$436,Sheet1!$437:$437,Sheet1!$438:$438,Sheet1!$439:$439,Sheet1!$440:$440,Sheet1!$441:$441,Sheet1!$442:$442,Sheet1!$443:$443,Sheet1!$444:$444</definedName>
    <definedName name="QB_DATA_27" localSheetId="2" hidden="1">Sheet1!$445:$445,Sheet1!$446:$446,Sheet1!$447:$447,Sheet1!$448:$448,Sheet1!$449:$449,Sheet1!$450:$450,Sheet1!$451:$451,Sheet1!$452:$452,Sheet1!$453:$453,Sheet1!$454:$454,Sheet1!$455:$455,Sheet1!$456:$456,Sheet1!$457:$457,Sheet1!$458:$458,Sheet1!$459:$459,Sheet1!$460:$460</definedName>
    <definedName name="QB_DATA_28" localSheetId="2" hidden="1">Sheet1!$461:$461,Sheet1!$462:$462,Sheet1!$463:$463,Sheet1!$464:$464,Sheet1!$465:$465,Sheet1!$466:$466,Sheet1!$467:$467,Sheet1!$468:$468,Sheet1!$469:$469,Sheet1!$470:$470,Sheet1!$471:$471,Sheet1!$472:$472,Sheet1!$475:$475,Sheet1!$476:$476,Sheet1!$477:$477,Sheet1!$478:$478</definedName>
    <definedName name="QB_DATA_29" localSheetId="2" hidden="1">Sheet1!$479:$479,Sheet1!$480:$480,Sheet1!$481:$481,Sheet1!$482:$482,Sheet1!$483:$483,Sheet1!$484:$484,Sheet1!$485:$485,Sheet1!$486:$486,Sheet1!$487:$487,Sheet1!$488:$488,Sheet1!$489:$489,Sheet1!$490:$490,Sheet1!$491:$491,Sheet1!$492:$492,Sheet1!$493:$493,Sheet1!$494:$494</definedName>
    <definedName name="QB_DATA_3" localSheetId="2" hidden="1">Sheet1!$53:$53,Sheet1!$54:$54,Sheet1!$55:$55,Sheet1!$56:$56,Sheet1!$57:$57,Sheet1!$58:$58,Sheet1!$59:$59,Sheet1!$60:$60,Sheet1!$61:$61,Sheet1!$62:$62,Sheet1!$63:$63,Sheet1!$64:$64,Sheet1!$65:$65,Sheet1!$66:$66,Sheet1!$67:$67,Sheet1!$68:$68</definedName>
    <definedName name="QB_DATA_30" localSheetId="2" hidden="1">Sheet1!$495:$495,Sheet1!$496:$496,Sheet1!$497:$497,Sheet1!$498:$498,Sheet1!$499:$499,Sheet1!$500:$500,Sheet1!$501:$501,Sheet1!$502:$502,Sheet1!$503:$503,Sheet1!$504:$504,Sheet1!$505:$505,Sheet1!$506:$506,Sheet1!$507:$507,Sheet1!$508:$508,Sheet1!$509:$509,Sheet1!$510:$510</definedName>
    <definedName name="QB_DATA_31" localSheetId="2" hidden="1">Sheet1!$511:$511,Sheet1!$512:$512,Sheet1!$513:$513,Sheet1!$514:$514,Sheet1!$515:$515,Sheet1!$516:$516,Sheet1!$517:$517,Sheet1!$518:$518,Sheet1!$519:$519,Sheet1!$520:$520,Sheet1!$521:$521,Sheet1!$522:$522,Sheet1!$523:$523,Sheet1!$524:$524,Sheet1!$525:$525,Sheet1!$531:$531</definedName>
    <definedName name="QB_DATA_32" localSheetId="2" hidden="1">Sheet1!$532:$532,Sheet1!$535:$535,Sheet1!$536:$536,Sheet1!$537:$537,Sheet1!$538:$538,Sheet1!$539:$539,Sheet1!$540:$540,Sheet1!$541:$541,Sheet1!$542:$542,Sheet1!$543:$543,Sheet1!$544:$544,Sheet1!$545:$545,Sheet1!$548:$548,Sheet1!$549:$549,Sheet1!$552:$552,Sheet1!$553:$553</definedName>
    <definedName name="QB_DATA_33" localSheetId="2" hidden="1">Sheet1!$554:$554,Sheet1!$557:$557,Sheet1!$558:$558,Sheet1!$559:$559,Sheet1!$560:$560,Sheet1!$561:$561,Sheet1!$562:$562,Sheet1!$563:$563,Sheet1!$564:$564,Sheet1!$565:$565,Sheet1!$566:$566,Sheet1!$567:$567,Sheet1!$568:$568,Sheet1!$569:$569,Sheet1!$570:$570,Sheet1!$571:$571</definedName>
    <definedName name="QB_DATA_34" localSheetId="2" hidden="1">Sheet1!$572:$572,Sheet1!$573:$573,Sheet1!$574:$574,Sheet1!$575:$575,Sheet1!$576:$576,Sheet1!$577:$577,Sheet1!$578:$578,Sheet1!$581:$581,Sheet1!$582:$582,Sheet1!$583:$583,Sheet1!$584:$584,Sheet1!$585:$585,Sheet1!$586:$586,Sheet1!$587:$587,Sheet1!$588:$588,Sheet1!$589:$589</definedName>
    <definedName name="QB_DATA_35" localSheetId="2" hidden="1">Sheet1!$590:$590,Sheet1!$591:$591,Sheet1!$592:$592,Sheet1!$593:$593,Sheet1!$594:$594,Sheet1!$597:$597,Sheet1!$598:$598,Sheet1!$601:$601,Sheet1!$602:$602,Sheet1!$603:$603,Sheet1!$606:$606,Sheet1!$609:$609,Sheet1!$610:$610,Sheet1!$611:$611,Sheet1!$612:$612,Sheet1!$613:$613</definedName>
    <definedName name="QB_DATA_36" localSheetId="2" hidden="1">Sheet1!$614:$614,Sheet1!$615:$615,Sheet1!$616:$616,Sheet1!$619:$619,Sheet1!$620:$620,Sheet1!$621:$621,Sheet1!$622:$622,Sheet1!$623:$623,Sheet1!$624:$624,Sheet1!$625:$625,Sheet1!$628:$628,Sheet1!$629:$629,Sheet1!$630:$630,Sheet1!$631:$631,Sheet1!$632:$632,Sheet1!$633:$633</definedName>
    <definedName name="QB_DATA_37" localSheetId="2" hidden="1">Sheet1!$634:$634,Sheet1!$635:$635,Sheet1!$636:$636,Sheet1!$637:$637,Sheet1!$640:$640,Sheet1!$643:$643,Sheet1!$644:$644,Sheet1!$645:$645,Sheet1!$646:$646,Sheet1!$647:$647,Sheet1!$648:$648,Sheet1!$649:$649,Sheet1!$650:$650,Sheet1!$651:$651,Sheet1!$654:$654,Sheet1!$655:$655</definedName>
    <definedName name="QB_DATA_38" localSheetId="2" hidden="1">Sheet1!$656:$656,Sheet1!$657:$657,Sheet1!$658:$658,Sheet1!$659:$659,Sheet1!$660:$660,Sheet1!$661:$661,Sheet1!$662:$662,Sheet1!$663:$663,Sheet1!$664:$664,Sheet1!$665:$665,Sheet1!$668:$668,Sheet1!$669:$669,Sheet1!$670:$670,Sheet1!$671:$671,Sheet1!$672:$672,Sheet1!$673:$673</definedName>
    <definedName name="QB_DATA_39" localSheetId="2" hidden="1">Sheet1!$674:$674,Sheet1!$675:$675,Sheet1!$676:$676,Sheet1!$677:$677,Sheet1!$678:$678,Sheet1!$679:$679,Sheet1!$680:$680,Sheet1!$681:$681,Sheet1!$682:$682,Sheet1!$683:$683,Sheet1!$684:$684,Sheet1!$685:$685,Sheet1!$686:$686,Sheet1!$687:$687,Sheet1!$688:$688,Sheet1!$689:$689</definedName>
    <definedName name="QB_DATA_4" localSheetId="2" hidden="1">Sheet1!$69:$69,Sheet1!$70:$70,Sheet1!$71:$71,Sheet1!$72:$72,Sheet1!$73:$73,Sheet1!$74:$74,Sheet1!$75:$75,Sheet1!$76:$76,Sheet1!$77:$77,Sheet1!$78:$78,Sheet1!$79:$79,Sheet1!$80:$80,Sheet1!$81:$81,Sheet1!$82:$82,Sheet1!$83:$83,Sheet1!$84:$84</definedName>
    <definedName name="QB_DATA_40" localSheetId="2" hidden="1">Sheet1!$690:$690,Sheet1!$691:$691,Sheet1!$692:$692,Sheet1!$693:$693,Sheet1!$694:$694,Sheet1!$697:$697,Sheet1!$698:$698,Sheet1!$699:$699,Sheet1!$700:$700,Sheet1!$701:$701,Sheet1!$702:$702,Sheet1!$703:$703,Sheet1!$704:$704,Sheet1!$705:$705,Sheet1!$706:$706,Sheet1!$707:$707</definedName>
    <definedName name="QB_DATA_41" localSheetId="2" hidden="1">Sheet1!$708:$708,Sheet1!$709:$709,Sheet1!$710:$710,Sheet1!$711:$711,Sheet1!$712:$712,Sheet1!$713:$713,Sheet1!$714:$714,Sheet1!$715:$715,Sheet1!$716:$716,Sheet1!$717:$717,Sheet1!$718:$718,Sheet1!$719:$719,Sheet1!$720:$720,Sheet1!$721:$721,Sheet1!$722:$722,Sheet1!$723:$723</definedName>
    <definedName name="QB_DATA_42" localSheetId="2" hidden="1">Sheet1!$724:$724,Sheet1!$725:$725,Sheet1!$726:$726,Sheet1!$727:$727,Sheet1!$728:$728,Sheet1!$729:$729,Sheet1!$730:$730,Sheet1!$731:$731,Sheet1!$732:$732,Sheet1!$733:$733,Sheet1!$734:$734,Sheet1!$735:$735,Sheet1!$736:$736,Sheet1!$737:$737,Sheet1!$738:$738,Sheet1!$739:$739</definedName>
    <definedName name="QB_DATA_43" localSheetId="2" hidden="1">Sheet1!$740:$740,Sheet1!$741:$741,Sheet1!$742:$742,Sheet1!$743:$743,Sheet1!$744:$744,Sheet1!$745:$745,Sheet1!$746:$746,Sheet1!$747:$747,Sheet1!$748:$748,Sheet1!$749:$749,Sheet1!$750:$750,Sheet1!$751:$751,Sheet1!$752:$752,Sheet1!$753:$753,Sheet1!$754:$754,Sheet1!$755:$755</definedName>
    <definedName name="QB_DATA_44" localSheetId="2" hidden="1">Sheet1!$756:$756,Sheet1!$757:$757,Sheet1!$758:$758,Sheet1!$759:$759,Sheet1!$760:$760,Sheet1!$761:$761,Sheet1!$762:$762,Sheet1!$763:$763,Sheet1!$764:$764,Sheet1!$765:$765,Sheet1!$766:$766,Sheet1!$767:$767,Sheet1!$768:$768,Sheet1!$769:$769,Sheet1!$770:$770,Sheet1!$771:$771</definedName>
    <definedName name="QB_DATA_45" localSheetId="2" hidden="1">Sheet1!$772:$772,Sheet1!$773:$773,Sheet1!$774:$774,Sheet1!$775:$775,Sheet1!$776:$776,Sheet1!$777:$777,Sheet1!$778:$778,Sheet1!$779:$779,Sheet1!$780:$780,Sheet1!$781:$781,Sheet1!$782:$782,Sheet1!$783:$783,Sheet1!$784:$784,Sheet1!$785:$785,Sheet1!$786:$786,Sheet1!$787:$787</definedName>
    <definedName name="QB_DATA_46" localSheetId="2" hidden="1">Sheet1!$788:$788,Sheet1!$789:$789,Sheet1!$790:$790,Sheet1!$791:$791,Sheet1!$792:$792,Sheet1!$793:$793,Sheet1!$794:$794,Sheet1!$795:$795,Sheet1!$796:$796,Sheet1!$797:$797,Sheet1!$798:$798,Sheet1!$799:$799,Sheet1!$800:$800,Sheet1!$801:$801,Sheet1!$802:$802,Sheet1!$803:$803</definedName>
    <definedName name="QB_DATA_47" localSheetId="2" hidden="1">Sheet1!$804:$804,Sheet1!$805:$805,Sheet1!$806:$806,Sheet1!$807:$807,Sheet1!$808:$808,Sheet1!$809:$809,Sheet1!$810:$810,Sheet1!$811:$811,Sheet1!$812:$812,Sheet1!$813:$813,Sheet1!$814:$814,Sheet1!$815:$815,Sheet1!$816:$816,Sheet1!$817:$817,Sheet1!$818:$818,Sheet1!$819:$819</definedName>
    <definedName name="QB_DATA_48" localSheetId="2" hidden="1">Sheet1!$820:$820,Sheet1!$821:$821,Sheet1!$822:$822,Sheet1!$823:$823,Sheet1!$824:$824,Sheet1!$825:$825,Sheet1!$826:$826,Sheet1!$827:$827,Sheet1!$828:$828,Sheet1!$829:$829,Sheet1!$830:$830,Sheet1!$831:$831,Sheet1!$832:$832,Sheet1!$833:$833,Sheet1!$834:$834,Sheet1!$835:$835</definedName>
    <definedName name="QB_DATA_49" localSheetId="2" hidden="1">Sheet1!$836:$836,Sheet1!$837:$837,Sheet1!$838:$838,Sheet1!$839:$839,Sheet1!$840:$840,Sheet1!$841:$841,Sheet1!$842:$842,Sheet1!$843:$843,Sheet1!$844:$844,Sheet1!$845:$845,Sheet1!$846:$846,Sheet1!$847:$847,Sheet1!$848:$848,Sheet1!$849:$849,Sheet1!$850:$850,Sheet1!$851:$851</definedName>
    <definedName name="QB_DATA_5" localSheetId="2" hidden="1">Sheet1!$85:$85,Sheet1!$86:$86,Sheet1!$87:$87,Sheet1!$88:$88,Sheet1!$89:$89,Sheet1!$90:$90,Sheet1!$91:$91,Sheet1!$92:$92,Sheet1!$93:$93,Sheet1!$94:$94,Sheet1!$95:$95,Sheet1!$96:$96,Sheet1!$97:$97,Sheet1!$98:$98,Sheet1!$99:$99,Sheet1!$100:$100</definedName>
    <definedName name="QB_DATA_50" localSheetId="2" hidden="1">Sheet1!$852:$852,Sheet1!$853:$853,Sheet1!$854:$854,Sheet1!$855:$855,Sheet1!$856:$856,Sheet1!$857:$857,Sheet1!$858:$858,Sheet1!$859:$859,Sheet1!$860:$860,Sheet1!$861:$861,Sheet1!$862:$862,Sheet1!$863:$863,Sheet1!$864:$864,Sheet1!$865:$865,Sheet1!$866:$866,Sheet1!$867:$867</definedName>
    <definedName name="QB_DATA_51" localSheetId="2" hidden="1">Sheet1!$868:$868,Sheet1!$869:$869,Sheet1!$870:$870,Sheet1!$871:$871,Sheet1!$872:$872,Sheet1!$873:$873,Sheet1!$874:$874,Sheet1!$875:$875,Sheet1!$876:$876,Sheet1!$877:$877,Sheet1!$878:$878,Sheet1!$879:$879,Sheet1!$880:$880,Sheet1!$881:$881,Sheet1!$882:$882,Sheet1!$883:$883</definedName>
    <definedName name="QB_DATA_52" localSheetId="2" hidden="1">Sheet1!$884:$884,Sheet1!$885:$885,Sheet1!$886:$886,Sheet1!$887:$887,Sheet1!$888:$888,Sheet1!$889:$889,Sheet1!$890:$890,Sheet1!$891:$891,Sheet1!$892:$892,Sheet1!$893:$893,Sheet1!$894:$894,Sheet1!$895:$895,Sheet1!$896:$896,Sheet1!$897:$897,Sheet1!$898:$898,Sheet1!$899:$899</definedName>
    <definedName name="QB_DATA_53" localSheetId="2" hidden="1">Sheet1!$900:$900,Sheet1!$901:$901,Sheet1!$902:$902,Sheet1!$903:$903,Sheet1!$904:$904,Sheet1!$905:$905,Sheet1!$906:$906,Sheet1!$907:$907,Sheet1!$908:$908,Sheet1!$909:$909,Sheet1!$910:$910,Sheet1!$911:$911,Sheet1!$912:$912,Sheet1!$913:$913,Sheet1!$914:$914,Sheet1!$915:$915</definedName>
    <definedName name="QB_DATA_54" localSheetId="2" hidden="1">Sheet1!$916:$916,Sheet1!$917:$917,Sheet1!$918:$918,Sheet1!$919:$919,Sheet1!$920:$920,Sheet1!$921:$921,Sheet1!$922:$922,Sheet1!$923:$923,Sheet1!$924:$924,Sheet1!$925:$925,Sheet1!$926:$926,Sheet1!$927:$927,Sheet1!$928:$928,Sheet1!$929:$929,Sheet1!$930:$930,Sheet1!$931:$931</definedName>
    <definedName name="QB_DATA_55" localSheetId="2" hidden="1">Sheet1!$932:$932,Sheet1!$933:$933,Sheet1!$934:$934,Sheet1!$935:$935,Sheet1!$936:$936,Sheet1!$937:$937,Sheet1!$938:$938,Sheet1!$939:$939,Sheet1!$940:$940,Sheet1!$941:$941,Sheet1!$942:$942,Sheet1!$943:$943,Sheet1!$944:$944,Sheet1!$945:$945,Sheet1!$946:$946,Sheet1!$947:$947</definedName>
    <definedName name="QB_DATA_56" localSheetId="2" hidden="1">Sheet1!$948:$948,Sheet1!$949:$949,Sheet1!$950:$950,Sheet1!$951:$951,Sheet1!$952:$952,Sheet1!$953:$953,Sheet1!$954:$954,Sheet1!$955:$955,Sheet1!$956:$956,Sheet1!$957:$957,Sheet1!$958:$958,Sheet1!$959:$959,Sheet1!$960:$960,Sheet1!$961:$961,Sheet1!$962:$962,Sheet1!$963:$963</definedName>
    <definedName name="QB_DATA_57" localSheetId="2" hidden="1">Sheet1!$964:$964,Sheet1!$965:$965,Sheet1!$966:$966,Sheet1!$967:$967,Sheet1!$968:$968,Sheet1!$969:$969,Sheet1!$970:$970,Sheet1!$971:$971,Sheet1!$972:$972,Sheet1!$973:$973,Sheet1!$974:$974,Sheet1!$975:$975,Sheet1!$976:$976,Sheet1!$977:$977,Sheet1!$978:$978,Sheet1!$979:$979</definedName>
    <definedName name="QB_DATA_58" localSheetId="2" hidden="1">Sheet1!$980:$980,Sheet1!$981:$981,Sheet1!$982:$982,Sheet1!$983:$983,Sheet1!$984:$984,Sheet1!$985:$985,Sheet1!$986:$986,Sheet1!$987:$987,Sheet1!$988:$988,Sheet1!$989:$989,Sheet1!$990:$990,Sheet1!$991:$991,Sheet1!$992:$992,Sheet1!$993:$993,Sheet1!$994:$994,Sheet1!$995:$995</definedName>
    <definedName name="QB_DATA_59" localSheetId="2" hidden="1">Sheet1!$996:$996,Sheet1!$997:$997,Sheet1!$998:$998,Sheet1!$999:$999,Sheet1!$1000:$1000,Sheet1!$1001:$1001,Sheet1!$1002:$1002,Sheet1!$1003:$1003,Sheet1!$1004:$1004,Sheet1!$1005:$1005,Sheet1!$1006:$1006,Sheet1!$1007:$1007,Sheet1!$1008:$1008,Sheet1!$1009:$1009,Sheet1!$1010:$1010,Sheet1!$1011:$1011</definedName>
    <definedName name="QB_DATA_6" localSheetId="2" hidden="1">Sheet1!$101:$101,Sheet1!$102:$102,Sheet1!$103:$103,Sheet1!$104:$104,Sheet1!$105:$105,Sheet1!$106:$106,Sheet1!$107:$107,Sheet1!$108:$108,Sheet1!$109:$109,Sheet1!$110:$110,Sheet1!$111:$111,Sheet1!$112:$112,Sheet1!$113:$113,Sheet1!$114:$114,Sheet1!$115:$115,Sheet1!$116:$116</definedName>
    <definedName name="QB_DATA_60" localSheetId="2" hidden="1">Sheet1!$1012:$1012,Sheet1!$1013:$1013,Sheet1!$1014:$1014,Sheet1!$1015:$1015,Sheet1!$1016:$1016,Sheet1!$1017:$1017,Sheet1!$1018:$1018,Sheet1!$1019:$1019,Sheet1!$1020:$1020,Sheet1!$1021:$1021,Sheet1!$1022:$1022,Sheet1!$1023:$1023,Sheet1!$1024:$1024,Sheet1!$1025:$1025,Sheet1!$1026:$1026,Sheet1!$1027:$1027</definedName>
    <definedName name="QB_DATA_61" localSheetId="2" hidden="1">Sheet1!$1028:$1028,Sheet1!$1029:$1029,Sheet1!$1030:$1030,Sheet1!$1031:$1031,Sheet1!$1032:$1032,Sheet1!$1033:$1033,Sheet1!$1034:$1034,Sheet1!$1035:$1035,Sheet1!$1036:$1036,Sheet1!$1037:$1037,Sheet1!$1038:$1038,Sheet1!$1039:$1039,Sheet1!$1040:$1040,Sheet1!$1041:$1041,Sheet1!$1042:$1042,Sheet1!$1043:$1043</definedName>
    <definedName name="QB_DATA_62" localSheetId="2" hidden="1">Sheet1!$1044:$1044,Sheet1!$1045:$1045,Sheet1!$1046:$1046,Sheet1!$1047:$1047,Sheet1!$1048:$1048,Sheet1!$1049:$1049,Sheet1!$1050:$1050,Sheet1!$1051:$1051,Sheet1!$1052:$1052,Sheet1!$1053:$1053,Sheet1!$1054:$1054,Sheet1!$1055:$1055,Sheet1!$1056:$1056,Sheet1!$1057:$1057,Sheet1!$1058:$1058,Sheet1!$1059:$1059</definedName>
    <definedName name="QB_DATA_63" localSheetId="2" hidden="1">Sheet1!$1060:$1060,Sheet1!$1061:$1061,Sheet1!$1062:$1062,Sheet1!$1063:$1063,Sheet1!$1064:$1064,Sheet1!$1065:$1065,Sheet1!$1066:$1066,Sheet1!$1067:$1067,Sheet1!$1068:$1068,Sheet1!$1069:$1069,Sheet1!$1070:$1070,Sheet1!$1071:$1071,Sheet1!$1072:$1072,Sheet1!$1073:$1073,Sheet1!$1074:$1074,Sheet1!$1075:$1075</definedName>
    <definedName name="QB_DATA_64" localSheetId="2" hidden="1">Sheet1!$1076:$1076,Sheet1!$1077:$1077,Sheet1!$1078:$1078,Sheet1!$1079:$1079,Sheet1!$1080:$1080,Sheet1!$1081:$1081,Sheet1!$1082:$1082,Sheet1!$1083:$1083,Sheet1!$1084:$1084,Sheet1!$1085:$1085,Sheet1!$1086:$1086,Sheet1!$1087:$1087,Sheet1!$1088:$1088,Sheet1!$1089:$1089,Sheet1!$1090:$1090,Sheet1!$1091:$1091</definedName>
    <definedName name="QB_DATA_65" localSheetId="2" hidden="1">Sheet1!$1092:$1092,Sheet1!$1093:$1093,Sheet1!$1094:$1094,Sheet1!$1095:$1095,Sheet1!$1096:$1096,Sheet1!$1097:$1097,Sheet1!$1098:$1098,Sheet1!$1099:$1099,Sheet1!$1100:$1100,Sheet1!$1101:$1101,Sheet1!$1102:$1102,Sheet1!$1103:$1103,Sheet1!$1104:$1104,Sheet1!$1105:$1105,Sheet1!$1106:$1106,Sheet1!$1107:$1107</definedName>
    <definedName name="QB_DATA_66" localSheetId="2" hidden="1">Sheet1!$1108:$1108,Sheet1!$1109:$1109,Sheet1!$1110:$1110,Sheet1!$1111:$1111,Sheet1!$1112:$1112,Sheet1!$1113:$1113,Sheet1!$1114:$1114,Sheet1!$1115:$1115,Sheet1!$1116:$1116,Sheet1!$1117:$1117,Sheet1!$1118:$1118,Sheet1!$1119:$1119,Sheet1!$1120:$1120,Sheet1!$1121:$1121,Sheet1!$1122:$1122,Sheet1!$1123:$1123</definedName>
    <definedName name="QB_DATA_67" localSheetId="2" hidden="1">Sheet1!$1124:$1124,Sheet1!$1125:$1125,Sheet1!$1126:$1126,Sheet1!$1127:$1127,Sheet1!$1128:$1128,Sheet1!$1129:$1129,Sheet1!$1130:$1130,Sheet1!$1131:$1131,Sheet1!$1132:$1132,Sheet1!$1133:$1133,Sheet1!$1134:$1134,Sheet1!$1135:$1135,Sheet1!$1136:$1136,Sheet1!$1139:$1139,Sheet1!$1140:$1140,Sheet1!$1143:$1143</definedName>
    <definedName name="QB_DATA_68" localSheetId="2" hidden="1">Sheet1!$1144:$1144,Sheet1!$1145:$1145,Sheet1!$1148:$1148,Sheet1!$1149:$1149,Sheet1!$1150:$1150,Sheet1!$1151:$1151,Sheet1!$1152:$1152,Sheet1!$1153:$1153,Sheet1!$1154:$1154,Sheet1!$1155:$1155,Sheet1!$1156:$1156,Sheet1!$1159:$1159,Sheet1!$1160:$1160,Sheet1!$1161:$1161,Sheet1!$1164:$1164,Sheet1!$1165:$1165</definedName>
    <definedName name="QB_DATA_69" localSheetId="2" hidden="1">Sheet1!$1166:$1166,Sheet1!$1167:$1167,Sheet1!$1168:$1168,Sheet1!$1171:$1171,Sheet1!$1172:$1172,Sheet1!$1173:$1173,Sheet1!$1176:$1176,Sheet1!$1177:$1177,Sheet1!$1178:$1178,Sheet1!$1179:$1179,Sheet1!$1180:$1180,Sheet1!$1181:$1181,Sheet1!$1182:$1182,Sheet1!$1183:$1183,Sheet1!$1184:$1184,Sheet1!$1185:$1185</definedName>
    <definedName name="QB_DATA_7" localSheetId="2" hidden="1">Sheet1!$117:$117,Sheet1!$118:$118,Sheet1!$119:$119,Sheet1!$120:$120,Sheet1!$121:$121,Sheet1!$122:$122,Sheet1!$123:$123,Sheet1!$124:$124,Sheet1!$125:$125,Sheet1!$126:$126,Sheet1!$127:$127,Sheet1!$128:$128,Sheet1!$129:$129,Sheet1!$130:$130,Sheet1!$131:$131,Sheet1!$132:$132</definedName>
    <definedName name="QB_DATA_70" localSheetId="2" hidden="1">Sheet1!$1186:$1186,Sheet1!$1187:$1187,Sheet1!$1188:$1188,Sheet1!$1189:$1189,Sheet1!$1190:$1190,Sheet1!$1191:$1191,Sheet1!$1192:$1192,Sheet1!$1193:$1193,Sheet1!$1194:$1194,Sheet1!$1195:$1195</definedName>
    <definedName name="QB_DATA_8" localSheetId="2" hidden="1">Sheet1!$133:$133,Sheet1!$134:$134,Sheet1!$135:$135,Sheet1!$136:$136,Sheet1!$137:$137,Sheet1!$138:$138,Sheet1!$139:$139,Sheet1!$140:$140,Sheet1!$141:$141,Sheet1!$142:$142,Sheet1!$143:$143,Sheet1!$144:$144,Sheet1!$145:$145,Sheet1!$146:$146,Sheet1!$147:$147,Sheet1!$148:$148</definedName>
    <definedName name="QB_DATA_9" localSheetId="2" hidden="1">Sheet1!$149:$149,Sheet1!$150:$150,Sheet1!$151:$151,Sheet1!$152:$152,Sheet1!$153:$153,Sheet1!$154:$154,Sheet1!$155:$155,Sheet1!$156:$156,Sheet1!$157:$157,Sheet1!$158:$158,Sheet1!$159:$159,Sheet1!$160:$160,Sheet1!$161:$161,Sheet1!$162:$162,Sheet1!$163:$163,Sheet1!$164:$164</definedName>
    <definedName name="QB_FORMULA_0" localSheetId="2" hidden="1">Sheet1!$Q$5,Sheet1!$Q$6,Sheet1!$Q$7,Sheet1!$Q$8,Sheet1!$Q$9,Sheet1!$Q$10,Sheet1!$Q$11,Sheet1!$Q$12,Sheet1!$Q$13,Sheet1!$Q$14,Sheet1!$Q$15,Sheet1!$Q$16,Sheet1!$Q$17,Sheet1!$Q$18,Sheet1!$Q$19,Sheet1!$Q$20</definedName>
    <definedName name="QB_FORMULA_1" localSheetId="2" hidden="1">Sheet1!$Q$21,Sheet1!$Q$22,Sheet1!$Q$23,Sheet1!$Q$24,Sheet1!$Q$25,Sheet1!$Q$26,Sheet1!$Q$27,Sheet1!$Q$28,Sheet1!$Q$29,Sheet1!$Q$30,Sheet1!$Q$31,Sheet1!$Q$32,Sheet1!$Q$33,Sheet1!$Q$34,Sheet1!$Q$35,Sheet1!$Q$36</definedName>
    <definedName name="QB_FORMULA_10" localSheetId="2" hidden="1">Sheet1!$Q$165,Sheet1!$Q$166,Sheet1!$Q$167,Sheet1!$Q$168,Sheet1!$Q$169,Sheet1!$Q$170,Sheet1!$Q$171,Sheet1!$Q$172,Sheet1!$Q$173,Sheet1!$Q$174,Sheet1!$Q$175,Sheet1!$Q$176,Sheet1!$Q$177,Sheet1!$Q$178,Sheet1!$Q$179,Sheet1!$Q$180</definedName>
    <definedName name="QB_FORMULA_11" localSheetId="2" hidden="1">Sheet1!$Q$181,Sheet1!$Q$182,Sheet1!$Q$183,Sheet1!$Q$184,Sheet1!$Q$185,Sheet1!$Q$186,Sheet1!$Q$187,Sheet1!$Q$188,Sheet1!$Q$189,Sheet1!$Q$190,Sheet1!$Q$191,Sheet1!$Q$192,Sheet1!$Q$193,Sheet1!$Q$194,Sheet1!$Q$195,Sheet1!$Q$196</definedName>
    <definedName name="QB_FORMULA_12" localSheetId="2" hidden="1">Sheet1!$Q$197,Sheet1!$Q$198,Sheet1!$Q$199,Sheet1!$Q$200,Sheet1!$Q$201,Sheet1!$Q$202,Sheet1!$Q$203,Sheet1!$Q$204,Sheet1!$Q$205,Sheet1!$Q$206,Sheet1!$Q$207,Sheet1!$Q$208,Sheet1!$Q$209,Sheet1!$Q$210,Sheet1!$Q$211,Sheet1!$Q$212</definedName>
    <definedName name="QB_FORMULA_13" localSheetId="2" hidden="1">Sheet1!$Q$213,Sheet1!$Q$214,Sheet1!$Q$215,Sheet1!$Q$216,Sheet1!$Q$217,Sheet1!$Q$218,Sheet1!$Q$219,Sheet1!$Q$220,Sheet1!$Q$221,Sheet1!$Q$222,Sheet1!$Q$223,Sheet1!$Q$224,Sheet1!$Q$225,Sheet1!$Q$226,Sheet1!$Q$227,Sheet1!$Q$228</definedName>
    <definedName name="QB_FORMULA_14" localSheetId="2" hidden="1">Sheet1!$Q$229,Sheet1!$Q$230,Sheet1!$Q$231,Sheet1!$Q$232,Sheet1!$Q$233,Sheet1!$Q$234,Sheet1!$Q$235,Sheet1!$Q$236,Sheet1!$Q$237,Sheet1!$Q$238,Sheet1!$Q$239,Sheet1!$Q$240,Sheet1!$Q$241,Sheet1!$Q$242,Sheet1!$Q$243,Sheet1!$Q$244</definedName>
    <definedName name="QB_FORMULA_15" localSheetId="2" hidden="1">Sheet1!$Q$245,Sheet1!$Q$246,Sheet1!$Q$247,Sheet1!$Q$248,Sheet1!$Q$249,Sheet1!$Q$250,Sheet1!$Q$251,Sheet1!$Q$252,Sheet1!$Q$253,Sheet1!$Q$254,Sheet1!$Q$255,Sheet1!$Q$256,Sheet1!$Q$257,Sheet1!$Q$258,Sheet1!$Q$259,Sheet1!$Q$260</definedName>
    <definedName name="QB_FORMULA_16" localSheetId="2" hidden="1">Sheet1!$Q$261,Sheet1!$Q$262,Sheet1!$Q$263,Sheet1!$Q$264,Sheet1!$Q$265,Sheet1!$Q$266,Sheet1!$Q$267,Sheet1!$Q$268,Sheet1!$Q$269,Sheet1!$Q$270,Sheet1!$Q$271,Sheet1!$Q$272,Sheet1!$Q$273,Sheet1!$Q$274,Sheet1!$Q$275,Sheet1!$Q$276</definedName>
    <definedName name="QB_FORMULA_17" localSheetId="2" hidden="1">Sheet1!$Q$277,Sheet1!$Q$278,Sheet1!$Q$279,Sheet1!$Q$280,Sheet1!$Q$281,Sheet1!$Q$282,Sheet1!$Q$283,Sheet1!$Q$284,Sheet1!$Q$285,Sheet1!$Q$286,Sheet1!$Q$287,Sheet1!$Q$288,Sheet1!$Q$289,Sheet1!$Q$290,Sheet1!$Q$291,Sheet1!$Q$292</definedName>
    <definedName name="QB_FORMULA_18" localSheetId="2" hidden="1">Sheet1!$Q$293,Sheet1!$Q$294,Sheet1!$Q$295,Sheet1!$Q$296,Sheet1!$Q$297,Sheet1!$Q$298,Sheet1!$Q$299,Sheet1!$Q$300,Sheet1!$Q$301,Sheet1!$Q$302,Sheet1!$Q$303,Sheet1!$Q$304,Sheet1!$Q$305,Sheet1!$Q$306,Sheet1!$Q$307,Sheet1!$Q$308</definedName>
    <definedName name="QB_FORMULA_19" localSheetId="2" hidden="1">Sheet1!$Q$309,Sheet1!$Q$310,Sheet1!$Q$311,Sheet1!$Q$312,Sheet1!$Q$313,Sheet1!$Q$314,Sheet1!$Q$315,Sheet1!$Q$316,Sheet1!$Q$317,Sheet1!$Q$318,Sheet1!$Q$319,Sheet1!$Q$320,Sheet1!$Q$321,Sheet1!$Q$322,Sheet1!$Q$323,Sheet1!$Q$324</definedName>
    <definedName name="QB_FORMULA_2" localSheetId="2" hidden="1">Sheet1!$Q$37,Sheet1!$Q$38,Sheet1!$Q$39,Sheet1!$Q$40,Sheet1!$Q$41,Sheet1!$Q$42,Sheet1!$Q$43,Sheet1!$Q$44,Sheet1!$Q$45,Sheet1!$Q$46,Sheet1!$Q$47,Sheet1!$Q$48,Sheet1!$Q$49,Sheet1!$Q$50,Sheet1!$Q$51,Sheet1!$Q$52</definedName>
    <definedName name="QB_FORMULA_20" localSheetId="2" hidden="1">Sheet1!$Q$325,Sheet1!$Q$326,Sheet1!$Q$327,Sheet1!$Q$328,Sheet1!$Q$329,Sheet1!$Q$330,Sheet1!$Q$331,Sheet1!$Q$332,Sheet1!$Q$333,Sheet1!$Q$334,Sheet1!$Q$335,Sheet1!$Q$336,Sheet1!$Q$337,Sheet1!$Q$338,Sheet1!$Q$339,Sheet1!$Q$340</definedName>
    <definedName name="QB_FORMULA_21" localSheetId="2" hidden="1">Sheet1!$Q$341,Sheet1!$Q$342,Sheet1!$Q$343,Sheet1!$Q$344,Sheet1!$Q$345,Sheet1!$Q$346,Sheet1!$Q$347,Sheet1!$Q$348,Sheet1!$Q$349,Sheet1!$Q$350,Sheet1!$Q$351,Sheet1!$Q$352,Sheet1!$Q$353,Sheet1!$Q$354,Sheet1!$Q$355,Sheet1!$Q$356</definedName>
    <definedName name="QB_FORMULA_22" localSheetId="2" hidden="1">Sheet1!$Q$357,Sheet1!$Q$358,Sheet1!$Q$359,Sheet1!$Q$360,Sheet1!$Q$361,Sheet1!$Q$362,Sheet1!$Q$363,Sheet1!$Q$364,Sheet1!$Q$365,Sheet1!$Q$366,Sheet1!$Q$367,Sheet1!$Q$368,Sheet1!$Q$369,Sheet1!$Q$370,Sheet1!$Q$371,Sheet1!$Q$372</definedName>
    <definedName name="QB_FORMULA_23" localSheetId="2" hidden="1">Sheet1!$Q$373,Sheet1!$Q$374,Sheet1!$Q$375,Sheet1!$Q$376,Sheet1!$Q$377,Sheet1!$Q$378,Sheet1!$Q$379,Sheet1!$Q$380,Sheet1!$Q$381,Sheet1!$Q$382,Sheet1!$Q$383,Sheet1!$Q$384,Sheet1!$Q$385,Sheet1!$Q$386,Sheet1!$Q$387,Sheet1!$Q$388</definedName>
    <definedName name="QB_FORMULA_24" localSheetId="2" hidden="1">Sheet1!$Q$389,Sheet1!$Q$390,Sheet1!$Q$391,Sheet1!$Q$392,Sheet1!$Q$393,Sheet1!$Q$394,Sheet1!$Q$395,Sheet1!$Q$396,Sheet1!$Q$397,Sheet1!$Q$398,Sheet1!$Q$399,Sheet1!$Q$400,Sheet1!$Q$401,Sheet1!$Q$402,Sheet1!$Q$403,Sheet1!$Q$404</definedName>
    <definedName name="QB_FORMULA_25" localSheetId="2" hidden="1">Sheet1!$Q$405,Sheet1!$Q$406,Sheet1!$Q$407,Sheet1!$Q$408,Sheet1!$Q$409,Sheet1!$Q$410,Sheet1!$Q$411,Sheet1!$Q$412,Sheet1!$Q$413,Sheet1!$Q$414,Sheet1!$Q$415,Sheet1!$Q$416,Sheet1!$P$417,Sheet1!$Q$417,Sheet1!$Q$419,Sheet1!$Q$420</definedName>
    <definedName name="QB_FORMULA_26" localSheetId="2" hidden="1">Sheet1!$Q$421,Sheet1!$Q$422,Sheet1!$P$423,Sheet1!$Q$423,Sheet1!$Q$425,Sheet1!$P$426,Sheet1!$Q$426,Sheet1!$P$427,Sheet1!$Q$427,Sheet1!$Q$430,Sheet1!$Q$431,Sheet1!$Q$432,Sheet1!$Q$433,Sheet1!$Q$434,Sheet1!$Q$435,Sheet1!$Q$436</definedName>
    <definedName name="QB_FORMULA_27" localSheetId="2" hidden="1">Sheet1!$Q$437,Sheet1!$Q$438,Sheet1!$Q$439,Sheet1!$Q$440,Sheet1!$Q$441,Sheet1!$Q$442,Sheet1!$Q$443,Sheet1!$Q$444,Sheet1!$Q$445,Sheet1!$Q$446,Sheet1!$Q$447,Sheet1!$Q$448,Sheet1!$Q$449,Sheet1!$Q$450,Sheet1!$Q$451,Sheet1!$Q$452</definedName>
    <definedName name="QB_FORMULA_28" localSheetId="2" hidden="1">Sheet1!$Q$453,Sheet1!$Q$454,Sheet1!$Q$455,Sheet1!$Q$456,Sheet1!$Q$457,Sheet1!$Q$458,Sheet1!$Q$459,Sheet1!$Q$460,Sheet1!$Q$461,Sheet1!$Q$462,Sheet1!$Q$463,Sheet1!$Q$464,Sheet1!$Q$465,Sheet1!$Q$466,Sheet1!$Q$467,Sheet1!$Q$468</definedName>
    <definedName name="QB_FORMULA_29" localSheetId="2" hidden="1">Sheet1!$Q$469,Sheet1!$Q$470,Sheet1!$Q$471,Sheet1!$Q$472,Sheet1!$P$473,Sheet1!$Q$473,Sheet1!$Q$475,Sheet1!$Q$476,Sheet1!$Q$477,Sheet1!$Q$478,Sheet1!$Q$479,Sheet1!$Q$480,Sheet1!$Q$481,Sheet1!$Q$482,Sheet1!$Q$483,Sheet1!$Q$484</definedName>
    <definedName name="QB_FORMULA_3" localSheetId="2" hidden="1">Sheet1!$Q$53,Sheet1!$Q$54,Sheet1!$Q$55,Sheet1!$Q$56,Sheet1!$Q$57,Sheet1!$Q$58,Sheet1!$Q$59,Sheet1!$Q$60,Sheet1!$Q$61,Sheet1!$Q$62,Sheet1!$Q$63,Sheet1!$Q$64,Sheet1!$Q$65,Sheet1!$Q$66,Sheet1!$Q$67,Sheet1!$Q$68</definedName>
    <definedName name="QB_FORMULA_30" localSheetId="2" hidden="1">Sheet1!$Q$485,Sheet1!$Q$486,Sheet1!$Q$487,Sheet1!$Q$488,Sheet1!$Q$489,Sheet1!$Q$490,Sheet1!$Q$491,Sheet1!$Q$492,Sheet1!$Q$493,Sheet1!$Q$494,Sheet1!$Q$495,Sheet1!$Q$496,Sheet1!$Q$497,Sheet1!$Q$498,Sheet1!$Q$499,Sheet1!$Q$500</definedName>
    <definedName name="QB_FORMULA_31" localSheetId="2" hidden="1">Sheet1!$Q$501,Sheet1!$Q$502,Sheet1!$Q$503,Sheet1!$Q$504,Sheet1!$Q$505,Sheet1!$Q$506,Sheet1!$Q$507,Sheet1!$Q$508,Sheet1!$Q$509,Sheet1!$Q$510,Sheet1!$Q$511,Sheet1!$Q$512,Sheet1!$Q$513,Sheet1!$Q$514,Sheet1!$Q$515,Sheet1!$Q$516</definedName>
    <definedName name="QB_FORMULA_32" localSheetId="2" hidden="1">Sheet1!$Q$517,Sheet1!$Q$518,Sheet1!$Q$519,Sheet1!$Q$520,Sheet1!$Q$521,Sheet1!$Q$522,Sheet1!$Q$523,Sheet1!$Q$524,Sheet1!$Q$525,Sheet1!$P$526,Sheet1!$Q$526,Sheet1!$P$527,Sheet1!$Q$527,Sheet1!$P$528,Sheet1!$Q$528,Sheet1!$Q$531</definedName>
    <definedName name="QB_FORMULA_33" localSheetId="2" hidden="1">Sheet1!$Q$532,Sheet1!$P$533,Sheet1!$Q$533,Sheet1!$Q$535,Sheet1!$Q$536,Sheet1!$Q$537,Sheet1!$Q$538,Sheet1!$Q$539,Sheet1!$Q$540,Sheet1!$Q$541,Sheet1!$Q$542,Sheet1!$Q$543,Sheet1!$Q$544,Sheet1!$Q$545,Sheet1!$P$546,Sheet1!$Q$546</definedName>
    <definedName name="QB_FORMULA_34" localSheetId="2" hidden="1">Sheet1!$Q$548,Sheet1!$Q$549,Sheet1!$P$550,Sheet1!$Q$550,Sheet1!$Q$552,Sheet1!$Q$553,Sheet1!$Q$554,Sheet1!$P$555,Sheet1!$Q$555,Sheet1!$Q$557,Sheet1!$Q$558,Sheet1!$Q$559,Sheet1!$Q$560,Sheet1!$Q$561,Sheet1!$Q$562,Sheet1!$Q$563</definedName>
    <definedName name="QB_FORMULA_35" localSheetId="2" hidden="1">Sheet1!$Q$564,Sheet1!$Q$565,Sheet1!$Q$566,Sheet1!$Q$567,Sheet1!$Q$568,Sheet1!$Q$569,Sheet1!$Q$570,Sheet1!$Q$571,Sheet1!$Q$572,Sheet1!$Q$573,Sheet1!$Q$574,Sheet1!$Q$575,Sheet1!$Q$576,Sheet1!$Q$577,Sheet1!$Q$578,Sheet1!$P$579</definedName>
    <definedName name="QB_FORMULA_36" localSheetId="2" hidden="1">Sheet1!$Q$579,Sheet1!$Q$581,Sheet1!$Q$582,Sheet1!$Q$583,Sheet1!$Q$584,Sheet1!$Q$585,Sheet1!$Q$586,Sheet1!$Q$587,Sheet1!$Q$588,Sheet1!$Q$589,Sheet1!$Q$590,Sheet1!$Q$591,Sheet1!$Q$592,Sheet1!$Q$593,Sheet1!$Q$594,Sheet1!$P$595</definedName>
    <definedName name="QB_FORMULA_37" localSheetId="2" hidden="1">Sheet1!$Q$595,Sheet1!$Q$597,Sheet1!$Q$598,Sheet1!$P$599,Sheet1!$Q$599,Sheet1!$Q$601,Sheet1!$Q$602,Sheet1!$Q$603,Sheet1!$P$604,Sheet1!$Q$604,Sheet1!$Q$606,Sheet1!$P$607,Sheet1!$Q$607,Sheet1!$Q$609,Sheet1!$Q$610,Sheet1!$Q$611</definedName>
    <definedName name="QB_FORMULA_38" localSheetId="2" hidden="1">Sheet1!$Q$612,Sheet1!$Q$613,Sheet1!$Q$614,Sheet1!$Q$615,Sheet1!$Q$616,Sheet1!$P$617,Sheet1!$Q$617,Sheet1!$Q$619,Sheet1!$Q$620,Sheet1!$Q$621,Sheet1!$Q$622,Sheet1!$Q$623,Sheet1!$Q$624,Sheet1!$Q$625,Sheet1!$P$626,Sheet1!$Q$626</definedName>
    <definedName name="QB_FORMULA_39" localSheetId="2" hidden="1">Sheet1!$Q$628,Sheet1!$Q$629,Sheet1!$Q$630,Sheet1!$Q$631,Sheet1!$Q$632,Sheet1!$Q$633,Sheet1!$Q$634,Sheet1!$Q$635,Sheet1!$Q$636,Sheet1!$Q$637,Sheet1!$P$638,Sheet1!$Q$638,Sheet1!$Q$640,Sheet1!$P$641,Sheet1!$Q$641,Sheet1!$Q$643</definedName>
    <definedName name="QB_FORMULA_4" localSheetId="2" hidden="1">Sheet1!$Q$69,Sheet1!$Q$70,Sheet1!$Q$71,Sheet1!$Q$72,Sheet1!$Q$73,Sheet1!$Q$74,Sheet1!$Q$75,Sheet1!$Q$76,Sheet1!$Q$77,Sheet1!$Q$78,Sheet1!$Q$79,Sheet1!$Q$80,Sheet1!$Q$81,Sheet1!$Q$82,Sheet1!$Q$83,Sheet1!$Q$84</definedName>
    <definedName name="QB_FORMULA_40" localSheetId="2" hidden="1">Sheet1!$Q$644,Sheet1!$Q$645,Sheet1!$Q$646,Sheet1!$Q$647,Sheet1!$Q$648,Sheet1!$Q$649,Sheet1!$Q$650,Sheet1!$Q$651,Sheet1!$P$652,Sheet1!$Q$652,Sheet1!$Q$654,Sheet1!$Q$655,Sheet1!$Q$656,Sheet1!$Q$657,Sheet1!$Q$658,Sheet1!$Q$659</definedName>
    <definedName name="QB_FORMULA_41" localSheetId="2" hidden="1">Sheet1!$Q$660,Sheet1!$Q$661,Sheet1!$Q$662,Sheet1!$Q$663,Sheet1!$Q$664,Sheet1!$Q$665,Sheet1!$P$666,Sheet1!$Q$666,Sheet1!$Q$668,Sheet1!$Q$669,Sheet1!$Q$670,Sheet1!$Q$671,Sheet1!$Q$672,Sheet1!$Q$673,Sheet1!$Q$674,Sheet1!$Q$675</definedName>
    <definedName name="QB_FORMULA_42" localSheetId="2" hidden="1">Sheet1!$Q$676,Sheet1!$Q$677,Sheet1!$Q$678,Sheet1!$Q$679,Sheet1!$Q$680,Sheet1!$Q$681,Sheet1!$Q$682,Sheet1!$Q$683,Sheet1!$Q$684,Sheet1!$Q$685,Sheet1!$Q$686,Sheet1!$Q$687,Sheet1!$Q$688,Sheet1!$Q$689,Sheet1!$Q$690,Sheet1!$Q$691</definedName>
    <definedName name="QB_FORMULA_43" localSheetId="2" hidden="1">Sheet1!$Q$692,Sheet1!$Q$693,Sheet1!$Q$694,Sheet1!$P$695,Sheet1!$Q$695,Sheet1!$Q$697,Sheet1!$Q$698,Sheet1!$Q$699,Sheet1!$Q$700,Sheet1!$Q$701,Sheet1!$Q$702,Sheet1!$Q$703,Sheet1!$Q$704,Sheet1!$Q$705,Sheet1!$Q$706,Sheet1!$Q$707</definedName>
    <definedName name="QB_FORMULA_44" localSheetId="2" hidden="1">Sheet1!$Q$708,Sheet1!$Q$709,Sheet1!$Q$710,Sheet1!$Q$711,Sheet1!$Q$712,Sheet1!$Q$713,Sheet1!$Q$714,Sheet1!$Q$715,Sheet1!$Q$716,Sheet1!$Q$717,Sheet1!$Q$718,Sheet1!$Q$719,Sheet1!$Q$720,Sheet1!$Q$721,Sheet1!$Q$722,Sheet1!$Q$723</definedName>
    <definedName name="QB_FORMULA_45" localSheetId="2" hidden="1">Sheet1!$Q$724,Sheet1!$Q$725,Sheet1!$Q$726,Sheet1!$Q$727,Sheet1!$Q$728,Sheet1!$Q$729,Sheet1!$Q$730,Sheet1!$Q$731,Sheet1!$Q$732,Sheet1!$Q$733,Sheet1!$Q$734,Sheet1!$Q$735,Sheet1!$Q$736,Sheet1!$Q$737,Sheet1!$Q$738,Sheet1!$Q$739</definedName>
    <definedName name="QB_FORMULA_46" localSheetId="2" hidden="1">Sheet1!$Q$740,Sheet1!$Q$741,Sheet1!$Q$742,Sheet1!$Q$743,Sheet1!$Q$744,Sheet1!$Q$745,Sheet1!$Q$746,Sheet1!$Q$747,Sheet1!$Q$748,Sheet1!$Q$749,Sheet1!$Q$750,Sheet1!$Q$751,Sheet1!$Q$752,Sheet1!$Q$753,Sheet1!$Q$754,Sheet1!$Q$755</definedName>
    <definedName name="QB_FORMULA_47" localSheetId="2" hidden="1">Sheet1!$Q$756,Sheet1!$Q$757,Sheet1!$Q$758,Sheet1!$Q$759,Sheet1!$Q$760,Sheet1!$Q$761,Sheet1!$Q$762,Sheet1!$Q$763,Sheet1!$Q$764,Sheet1!$Q$765,Sheet1!$Q$766,Sheet1!$Q$767,Sheet1!$Q$768,Sheet1!$Q$769,Sheet1!$Q$770,Sheet1!$Q$771</definedName>
    <definedName name="QB_FORMULA_48" localSheetId="2" hidden="1">Sheet1!$Q$772,Sheet1!$Q$773,Sheet1!$Q$774,Sheet1!$Q$775,Sheet1!$Q$776,Sheet1!$Q$777,Sheet1!$Q$778,Sheet1!$Q$779,Sheet1!$Q$780,Sheet1!$Q$781,Sheet1!$Q$782,Sheet1!$Q$783,Sheet1!$Q$784,Sheet1!$Q$785,Sheet1!$Q$786,Sheet1!$Q$787</definedName>
    <definedName name="QB_FORMULA_49" localSheetId="2" hidden="1">Sheet1!$Q$788,Sheet1!$Q$789,Sheet1!$Q$790,Sheet1!$Q$791,Sheet1!$Q$792,Sheet1!$Q$793,Sheet1!$Q$794,Sheet1!$Q$795,Sheet1!$Q$796,Sheet1!$Q$797,Sheet1!$Q$798,Sheet1!$Q$799,Sheet1!$Q$800,Sheet1!$Q$801,Sheet1!$Q$802,Sheet1!$Q$803</definedName>
    <definedName name="QB_FORMULA_5" localSheetId="2" hidden="1">Sheet1!$Q$85,Sheet1!$Q$86,Sheet1!$Q$87,Sheet1!$Q$88,Sheet1!$Q$89,Sheet1!$Q$90,Sheet1!$Q$91,Sheet1!$Q$92,Sheet1!$Q$93,Sheet1!$Q$94,Sheet1!$Q$95,Sheet1!$Q$96,Sheet1!$Q$97,Sheet1!$Q$98,Sheet1!$Q$99,Sheet1!$Q$100</definedName>
    <definedName name="QB_FORMULA_50" localSheetId="2" hidden="1">Sheet1!$Q$804,Sheet1!$Q$805,Sheet1!$Q$806,Sheet1!$Q$807,Sheet1!$Q$808,Sheet1!$Q$809,Sheet1!$Q$810,Sheet1!$Q$811,Sheet1!$Q$812,Sheet1!$Q$813,Sheet1!$Q$814,Sheet1!$Q$815,Sheet1!$Q$816,Sheet1!$Q$817,Sheet1!$Q$818,Sheet1!$Q$819</definedName>
    <definedName name="QB_FORMULA_51" localSheetId="2" hidden="1">Sheet1!$Q$820,Sheet1!$Q$821,Sheet1!$Q$822,Sheet1!$Q$823,Sheet1!$Q$824,Sheet1!$Q$825,Sheet1!$Q$826,Sheet1!$Q$827,Sheet1!$Q$828,Sheet1!$Q$829,Sheet1!$Q$830,Sheet1!$Q$831,Sheet1!$Q$832,Sheet1!$Q$833,Sheet1!$Q$834,Sheet1!$Q$835</definedName>
    <definedName name="QB_FORMULA_52" localSheetId="2" hidden="1">Sheet1!$Q$836,Sheet1!$Q$837,Sheet1!$Q$838,Sheet1!$Q$839,Sheet1!$Q$840,Sheet1!$Q$841,Sheet1!$Q$842,Sheet1!$Q$843,Sheet1!$Q$844,Sheet1!$Q$845,Sheet1!$Q$846,Sheet1!$Q$847,Sheet1!$Q$848,Sheet1!$Q$849,Sheet1!$Q$850,Sheet1!$Q$851</definedName>
    <definedName name="QB_FORMULA_53" localSheetId="2" hidden="1">Sheet1!$Q$852,Sheet1!$Q$853,Sheet1!$Q$854,Sheet1!$Q$855,Sheet1!$Q$856,Sheet1!$Q$857,Sheet1!$Q$858,Sheet1!$Q$859,Sheet1!$Q$860,Sheet1!$Q$861,Sheet1!$Q$862,Sheet1!$Q$863,Sheet1!$Q$864,Sheet1!$Q$865,Sheet1!$Q$866,Sheet1!$Q$867</definedName>
    <definedName name="QB_FORMULA_54" localSheetId="2" hidden="1">Sheet1!$Q$868,Sheet1!$Q$869,Sheet1!$Q$870,Sheet1!$Q$871,Sheet1!$Q$872,Sheet1!$Q$873,Sheet1!$Q$874,Sheet1!$Q$875,Sheet1!$Q$876,Sheet1!$Q$877,Sheet1!$Q$878,Sheet1!$Q$879,Sheet1!$Q$880,Sheet1!$Q$881,Sheet1!$Q$882,Sheet1!$Q$883</definedName>
    <definedName name="QB_FORMULA_55" localSheetId="2" hidden="1">Sheet1!$Q$884,Sheet1!$Q$885,Sheet1!$Q$886,Sheet1!$Q$887,Sheet1!$Q$888,Sheet1!$Q$889,Sheet1!$Q$890,Sheet1!$Q$891,Sheet1!$Q$892,Sheet1!$Q$893,Sheet1!$Q$894,Sheet1!$Q$895,Sheet1!$Q$896,Sheet1!$Q$897,Sheet1!$Q$898,Sheet1!$Q$899</definedName>
    <definedName name="QB_FORMULA_56" localSheetId="2" hidden="1">Sheet1!$Q$900,Sheet1!$Q$901,Sheet1!$Q$902,Sheet1!$Q$903,Sheet1!$Q$904,Sheet1!$Q$905,Sheet1!$Q$906,Sheet1!$Q$907,Sheet1!$Q$908,Sheet1!$Q$909,Sheet1!$Q$910,Sheet1!$Q$911,Sheet1!$Q$912,Sheet1!$Q$913,Sheet1!$Q$914,Sheet1!$Q$915</definedName>
    <definedName name="QB_FORMULA_57" localSheetId="2" hidden="1">Sheet1!$Q$916,Sheet1!$Q$917,Sheet1!$Q$918,Sheet1!$Q$919,Sheet1!$Q$920,Sheet1!$Q$921,Sheet1!$Q$922,Sheet1!$Q$923,Sheet1!$Q$924,Sheet1!$Q$925,Sheet1!$Q$926,Sheet1!$Q$927,Sheet1!$Q$928,Sheet1!$Q$929,Sheet1!$Q$930,Sheet1!$Q$931</definedName>
    <definedName name="QB_FORMULA_58" localSheetId="2" hidden="1">Sheet1!$Q$932,Sheet1!$Q$933,Sheet1!$Q$934,Sheet1!$Q$935,Sheet1!$Q$936,Sheet1!$Q$937,Sheet1!$Q$938,Sheet1!$Q$939,Sheet1!$Q$940,Sheet1!$Q$941,Sheet1!$Q$942,Sheet1!$Q$943,Sheet1!$Q$944,Sheet1!$Q$945,Sheet1!$Q$946,Sheet1!$Q$947</definedName>
    <definedName name="QB_FORMULA_59" localSheetId="2" hidden="1">Sheet1!$Q$948,Sheet1!$Q$949,Sheet1!$Q$950,Sheet1!$Q$951,Sheet1!$Q$952,Sheet1!$Q$953,Sheet1!$Q$954,Sheet1!$Q$955,Sheet1!$Q$956,Sheet1!$Q$957,Sheet1!$Q$958,Sheet1!$Q$959,Sheet1!$Q$960,Sheet1!$Q$961,Sheet1!$Q$962,Sheet1!$Q$963</definedName>
    <definedName name="QB_FORMULA_6" localSheetId="2" hidden="1">Sheet1!$Q$101,Sheet1!$Q$102,Sheet1!$Q$103,Sheet1!$Q$104,Sheet1!$Q$105,Sheet1!$Q$106,Sheet1!$Q$107,Sheet1!$Q$108,Sheet1!$Q$109,Sheet1!$Q$110,Sheet1!$Q$111,Sheet1!$Q$112,Sheet1!$Q$113,Sheet1!$Q$114,Sheet1!$Q$115,Sheet1!$Q$116</definedName>
    <definedName name="QB_FORMULA_60" localSheetId="2" hidden="1">Sheet1!$Q$964,Sheet1!$Q$965,Sheet1!$Q$966,Sheet1!$Q$967,Sheet1!$Q$968,Sheet1!$Q$969,Sheet1!$Q$970,Sheet1!$Q$971,Sheet1!$Q$972,Sheet1!$Q$973,Sheet1!$Q$974,Sheet1!$Q$975,Sheet1!$Q$976,Sheet1!$Q$977,Sheet1!$Q$978,Sheet1!$Q$979</definedName>
    <definedName name="QB_FORMULA_61" localSheetId="2" hidden="1">Sheet1!$Q$980,Sheet1!$Q$981,Sheet1!$Q$982,Sheet1!$Q$983,Sheet1!$Q$984,Sheet1!$Q$985,Sheet1!$Q$986,Sheet1!$Q$987,Sheet1!$Q$988,Sheet1!$Q$989,Sheet1!$Q$990,Sheet1!$Q$991,Sheet1!$Q$992,Sheet1!$Q$993,Sheet1!$Q$994,Sheet1!$Q$995</definedName>
    <definedName name="QB_FORMULA_62" localSheetId="2" hidden="1">Sheet1!$Q$996,Sheet1!$Q$997,Sheet1!$Q$998,Sheet1!$Q$999,Sheet1!$Q$1000,Sheet1!$Q$1001,Sheet1!$Q$1002,Sheet1!$Q$1003,Sheet1!$Q$1004,Sheet1!$Q$1005,Sheet1!$Q$1006,Sheet1!$Q$1007,Sheet1!$Q$1008,Sheet1!$Q$1009,Sheet1!$Q$1010,Sheet1!$Q$1011</definedName>
    <definedName name="QB_FORMULA_63" localSheetId="2" hidden="1">Sheet1!$Q$1012,Sheet1!$Q$1013,Sheet1!$Q$1014,Sheet1!$Q$1015,Sheet1!$Q$1016,Sheet1!$Q$1017,Sheet1!$Q$1018,Sheet1!$Q$1019,Sheet1!$Q$1020,Sheet1!$Q$1021,Sheet1!$Q$1022,Sheet1!$Q$1023,Sheet1!$Q$1024,Sheet1!$Q$1025,Sheet1!$Q$1026,Sheet1!$Q$1027</definedName>
    <definedName name="QB_FORMULA_64" localSheetId="2" hidden="1">Sheet1!$Q$1028,Sheet1!$Q$1029,Sheet1!$Q$1030,Sheet1!$Q$1031,Sheet1!$Q$1032,Sheet1!$Q$1033,Sheet1!$Q$1034,Sheet1!$Q$1035,Sheet1!$Q$1036,Sheet1!$Q$1037,Sheet1!$Q$1038,Sheet1!$Q$1039,Sheet1!$Q$1040,Sheet1!$Q$1041,Sheet1!$Q$1042,Sheet1!$Q$1043</definedName>
    <definedName name="QB_FORMULA_65" localSheetId="2" hidden="1">Sheet1!$Q$1044,Sheet1!$Q$1045,Sheet1!$Q$1046,Sheet1!$Q$1047,Sheet1!$Q$1048,Sheet1!$Q$1049,Sheet1!$Q$1050,Sheet1!$Q$1051,Sheet1!$Q$1052,Sheet1!$Q$1053,Sheet1!$Q$1054,Sheet1!$Q$1055,Sheet1!$Q$1056,Sheet1!$Q$1057,Sheet1!$Q$1058,Sheet1!$Q$1059</definedName>
    <definedName name="QB_FORMULA_66" localSheetId="2" hidden="1">Sheet1!$Q$1060,Sheet1!$Q$1061,Sheet1!$Q$1062,Sheet1!$Q$1063,Sheet1!$Q$1064,Sheet1!$Q$1065,Sheet1!$Q$1066,Sheet1!$Q$1067,Sheet1!$Q$1068,Sheet1!$Q$1069,Sheet1!$Q$1070,Sheet1!$Q$1071,Sheet1!$Q$1072,Sheet1!$Q$1073,Sheet1!$Q$1074,Sheet1!$Q$1075</definedName>
    <definedName name="QB_FORMULA_67" localSheetId="2" hidden="1">Sheet1!$Q$1076,Sheet1!$Q$1077,Sheet1!$Q$1078,Sheet1!$Q$1079,Sheet1!$Q$1080,Sheet1!$Q$1081,Sheet1!$Q$1082,Sheet1!$Q$1083,Sheet1!$Q$1084,Sheet1!$Q$1085,Sheet1!$Q$1086,Sheet1!$Q$1087,Sheet1!$Q$1088,Sheet1!$Q$1089,Sheet1!$Q$1090,Sheet1!$Q$1091</definedName>
    <definedName name="QB_FORMULA_68" localSheetId="2" hidden="1">Sheet1!$Q$1092,Sheet1!$Q$1093,Sheet1!$Q$1094,Sheet1!$Q$1095,Sheet1!$Q$1096,Sheet1!$Q$1097,Sheet1!$Q$1098,Sheet1!$Q$1099,Sheet1!$Q$1100,Sheet1!$Q$1101,Sheet1!$Q$1102,Sheet1!$Q$1103,Sheet1!$Q$1104,Sheet1!$Q$1105,Sheet1!$Q$1106,Sheet1!$Q$1107</definedName>
    <definedName name="QB_FORMULA_69" localSheetId="2" hidden="1">Sheet1!$Q$1108,Sheet1!$Q$1109,Sheet1!$Q$1110,Sheet1!$Q$1111,Sheet1!$Q$1112,Sheet1!$Q$1113,Sheet1!$Q$1114,Sheet1!$Q$1115,Sheet1!$Q$1116,Sheet1!$Q$1117,Sheet1!$Q$1118,Sheet1!$Q$1119,Sheet1!$Q$1120,Sheet1!$Q$1121,Sheet1!$Q$1122,Sheet1!$Q$1123</definedName>
    <definedName name="QB_FORMULA_7" localSheetId="2" hidden="1">Sheet1!$Q$117,Sheet1!$Q$118,Sheet1!$Q$119,Sheet1!$Q$120,Sheet1!$Q$121,Sheet1!$Q$122,Sheet1!$Q$123,Sheet1!$Q$124,Sheet1!$Q$125,Sheet1!$Q$126,Sheet1!$Q$127,Sheet1!$Q$128,Sheet1!$Q$129,Sheet1!$Q$130,Sheet1!$Q$131,Sheet1!$Q$132</definedName>
    <definedName name="QB_FORMULA_70" localSheetId="2" hidden="1">Sheet1!$Q$1124,Sheet1!$Q$1125,Sheet1!$Q$1126,Sheet1!$Q$1127,Sheet1!$Q$1128,Sheet1!$Q$1129,Sheet1!$Q$1130,Sheet1!$Q$1131,Sheet1!$Q$1132,Sheet1!$Q$1133,Sheet1!$Q$1134,Sheet1!$Q$1135,Sheet1!$Q$1136,Sheet1!$P$1137,Sheet1!$Q$1137,Sheet1!$Q$1139</definedName>
    <definedName name="QB_FORMULA_71" localSheetId="2" hidden="1">Sheet1!$Q$1140,Sheet1!$P$1141,Sheet1!$Q$1141,Sheet1!$Q$1143,Sheet1!$Q$1144,Sheet1!$Q$1145,Sheet1!$P$1146,Sheet1!$Q$1146,Sheet1!$Q$1148,Sheet1!$Q$1149,Sheet1!$Q$1150,Sheet1!$Q$1151,Sheet1!$Q$1152,Sheet1!$Q$1153,Sheet1!$Q$1154,Sheet1!$Q$1155</definedName>
    <definedName name="QB_FORMULA_72" localSheetId="2" hidden="1">Sheet1!$Q$1156,Sheet1!$P$1157,Sheet1!$Q$1157,Sheet1!$Q$1159,Sheet1!$Q$1160,Sheet1!$Q$1161,Sheet1!$P$1162,Sheet1!$Q$1162,Sheet1!$Q$1164,Sheet1!$Q$1165,Sheet1!$Q$1166,Sheet1!$Q$1167,Sheet1!$Q$1168,Sheet1!$P$1169,Sheet1!$Q$1169,Sheet1!$Q$1171</definedName>
    <definedName name="QB_FORMULA_73" localSheetId="2" hidden="1">Sheet1!$Q$1172,Sheet1!$Q$1173,Sheet1!$P$1174,Sheet1!$Q$1174,Sheet1!$Q$1176,Sheet1!$Q$1177,Sheet1!$Q$1178,Sheet1!$Q$1179,Sheet1!$Q$1180,Sheet1!$Q$1181,Sheet1!$Q$1182,Sheet1!$Q$1183,Sheet1!$Q$1184,Sheet1!$Q$1185,Sheet1!$Q$1186,Sheet1!$Q$1187</definedName>
    <definedName name="QB_FORMULA_74" localSheetId="2" hidden="1">Sheet1!$Q$1188,Sheet1!$Q$1189,Sheet1!$Q$1190,Sheet1!$Q$1191,Sheet1!$Q$1192,Sheet1!$Q$1193,Sheet1!$Q$1194,Sheet1!$Q$1195,Sheet1!$P$1196,Sheet1!$Q$1196,Sheet1!$P$1197,Sheet1!$Q$1197,Sheet1!$P$1198,Sheet1!$Q$1198,Sheet1!$P$1199,Sheet1!$Q$1199</definedName>
    <definedName name="QB_FORMULA_8" localSheetId="2" hidden="1">Sheet1!$Q$133,Sheet1!$Q$134,Sheet1!$Q$135,Sheet1!$Q$136,Sheet1!$Q$137,Sheet1!$Q$138,Sheet1!$Q$139,Sheet1!$Q$140,Sheet1!$Q$141,Sheet1!$Q$142,Sheet1!$Q$143,Sheet1!$Q$144,Sheet1!$Q$145,Sheet1!$Q$146,Sheet1!$Q$147,Sheet1!$Q$148</definedName>
    <definedName name="QB_FORMULA_9" localSheetId="2" hidden="1">Sheet1!$Q$149,Sheet1!$Q$150,Sheet1!$Q$151,Sheet1!$Q$152,Sheet1!$Q$153,Sheet1!$Q$154,Sheet1!$Q$155,Sheet1!$Q$156,Sheet1!$Q$157,Sheet1!$Q$158,Sheet1!$Q$159,Sheet1!$Q$160,Sheet1!$Q$161,Sheet1!$Q$162,Sheet1!$Q$163,Sheet1!$Q$164</definedName>
    <definedName name="QB_ROW_114040" localSheetId="2" hidden="1">Sheet1!$E$1138</definedName>
    <definedName name="QB_ROW_114340" localSheetId="2" hidden="1">Sheet1!$E$1141</definedName>
    <definedName name="QB_ROW_116040" localSheetId="2" hidden="1">Sheet1!$E$530</definedName>
    <definedName name="QB_ROW_116340" localSheetId="2" hidden="1">Sheet1!$E$533</definedName>
    <definedName name="QB_ROW_13040" localSheetId="2" hidden="1">Sheet1!$E$534</definedName>
    <definedName name="QB_ROW_13340" localSheetId="2" hidden="1">Sheet1!$E$546</definedName>
    <definedName name="QB_ROW_14040" localSheetId="2" hidden="1">Sheet1!$E$580</definedName>
    <definedName name="QB_ROW_14340" localSheetId="2" hidden="1">Sheet1!$E$595</definedName>
    <definedName name="QB_ROW_16040" localSheetId="2" hidden="1">Sheet1!$E$596</definedName>
    <definedName name="QB_ROW_16340" localSheetId="2" hidden="1">Sheet1!$E$599</definedName>
    <definedName name="QB_ROW_17040" localSheetId="2" hidden="1">Sheet1!$E$605</definedName>
    <definedName name="QB_ROW_17340" localSheetId="2" hidden="1">Sheet1!$E$607</definedName>
    <definedName name="QB_ROW_18301" localSheetId="2" hidden="1">Sheet1!$A$1199</definedName>
    <definedName name="QB_ROW_19011" localSheetId="2" hidden="1">Sheet1!$B$2</definedName>
    <definedName name="QB_ROW_19311" localSheetId="2" hidden="1">Sheet1!$B$1198</definedName>
    <definedName name="QB_ROW_20031" localSheetId="2" hidden="1">Sheet1!$D$3</definedName>
    <definedName name="QB_ROW_20331" localSheetId="2" hidden="1">Sheet1!$D$427</definedName>
    <definedName name="QB_ROW_21031" localSheetId="2" hidden="1">Sheet1!$D$529</definedName>
    <definedName name="QB_ROW_21331" localSheetId="2" hidden="1">Sheet1!$D$1197</definedName>
    <definedName name="QB_ROW_25040" localSheetId="2" hidden="1">Sheet1!$E$608</definedName>
    <definedName name="QB_ROW_25340" localSheetId="2" hidden="1">Sheet1!$E$617</definedName>
    <definedName name="QB_ROW_27040" localSheetId="2" hidden="1">Sheet1!$E$4</definedName>
    <definedName name="QB_ROW_27340" localSheetId="2" hidden="1">Sheet1!$E$417</definedName>
    <definedName name="QB_ROW_28040" localSheetId="2" hidden="1">Sheet1!$E$429</definedName>
    <definedName name="QB_ROW_28340" localSheetId="2" hidden="1">Sheet1!$E$473</definedName>
    <definedName name="QB_ROW_3040" localSheetId="2" hidden="1">Sheet1!$E$696</definedName>
    <definedName name="QB_ROW_31040" localSheetId="2" hidden="1">Sheet1!$E$639</definedName>
    <definedName name="QB_ROW_31340" localSheetId="2" hidden="1">Sheet1!$E$641</definedName>
    <definedName name="QB_ROW_32040" localSheetId="2" hidden="1">Sheet1!$E$667</definedName>
    <definedName name="QB_ROW_32340" localSheetId="2" hidden="1">Sheet1!$E$695</definedName>
    <definedName name="QB_ROW_3340" localSheetId="2" hidden="1">Sheet1!$E$1137</definedName>
    <definedName name="QB_ROW_35040" localSheetId="2" hidden="1">Sheet1!$E$1147</definedName>
    <definedName name="QB_ROW_35340" localSheetId="2" hidden="1">Sheet1!$E$1157</definedName>
    <definedName name="QB_ROW_38040" localSheetId="2" hidden="1">Sheet1!$E$474</definedName>
    <definedName name="QB_ROW_38340" localSheetId="2" hidden="1">Sheet1!$E$526</definedName>
    <definedName name="QB_ROW_39040" localSheetId="2" hidden="1">Sheet1!$E$1163</definedName>
    <definedName name="QB_ROW_39340" localSheetId="2" hidden="1">Sheet1!$E$1169</definedName>
    <definedName name="QB_ROW_41040" localSheetId="2" hidden="1">Sheet1!$E$1175</definedName>
    <definedName name="QB_ROW_41340" localSheetId="2" hidden="1">Sheet1!$E$1196</definedName>
    <definedName name="QB_ROW_61040" localSheetId="2" hidden="1">Sheet1!$E$424</definedName>
    <definedName name="QB_ROW_61340" localSheetId="2" hidden="1">Sheet1!$E$426</definedName>
    <definedName name="QB_ROW_65040" localSheetId="2" hidden="1">Sheet1!$E$618</definedName>
    <definedName name="QB_ROW_65340" localSheetId="2" hidden="1">Sheet1!$E$626</definedName>
    <definedName name="QB_ROW_66040" localSheetId="2" hidden="1">Sheet1!$E$556</definedName>
    <definedName name="QB_ROW_66340" localSheetId="2" hidden="1">Sheet1!$E$579</definedName>
    <definedName name="QB_ROW_67040" localSheetId="2" hidden="1">Sheet1!$E$551</definedName>
    <definedName name="QB_ROW_67340" localSheetId="2" hidden="1">Sheet1!$E$555</definedName>
    <definedName name="QB_ROW_68040" localSheetId="2" hidden="1">Sheet1!$E$547</definedName>
    <definedName name="QB_ROW_68340" localSheetId="2" hidden="1">Sheet1!$E$550</definedName>
    <definedName name="QB_ROW_69040" localSheetId="2" hidden="1">Sheet1!$E$1158</definedName>
    <definedName name="QB_ROW_69340" localSheetId="2" hidden="1">Sheet1!$E$1162</definedName>
    <definedName name="QB_ROW_70040" localSheetId="2" hidden="1">Sheet1!$E$1170</definedName>
    <definedName name="QB_ROW_70340" localSheetId="2" hidden="1">Sheet1!$E$1174</definedName>
    <definedName name="QB_ROW_71040" localSheetId="2" hidden="1">Sheet1!$E$653</definedName>
    <definedName name="QB_ROW_71340" localSheetId="2" hidden="1">Sheet1!$E$666</definedName>
    <definedName name="QB_ROW_74040" localSheetId="2" hidden="1">Sheet1!$E$642</definedName>
    <definedName name="QB_ROW_74340" localSheetId="2" hidden="1">Sheet1!$E$652</definedName>
    <definedName name="QB_ROW_77040" localSheetId="2" hidden="1">Sheet1!$E$600</definedName>
    <definedName name="QB_ROW_77340" localSheetId="2" hidden="1">Sheet1!$E$604</definedName>
    <definedName name="QB_ROW_79040" localSheetId="2" hidden="1">Sheet1!$E$418</definedName>
    <definedName name="QB_ROW_79340" localSheetId="2" hidden="1">Sheet1!$E$423</definedName>
    <definedName name="QB_ROW_80040" localSheetId="2" hidden="1">Sheet1!$E$1142</definedName>
    <definedName name="QB_ROW_80340" localSheetId="2" hidden="1">Sheet1!$E$1146</definedName>
    <definedName name="QB_ROW_82040" localSheetId="2" hidden="1">Sheet1!$E$627</definedName>
    <definedName name="QB_ROW_82340" localSheetId="2" hidden="1">Sheet1!$E$638</definedName>
    <definedName name="QB_ROW_86321" localSheetId="2" hidden="1">Sheet1!$C$528</definedName>
    <definedName name="QB_ROW_87031" localSheetId="2" hidden="1">Sheet1!$D$428</definedName>
    <definedName name="QB_ROW_87331" localSheetId="2" hidden="1">Sheet1!$D$527</definedName>
    <definedName name="QBCANSUPPORTUPDATE" localSheetId="2">TRUE</definedName>
    <definedName name="QBCOMPANYFILENAME" localSheetId="2">"C:\Users\Public\Documents\Intuit\QuickBooks\Company Files\AC at it's cleanest.qbw"</definedName>
    <definedName name="QBENDDATE" localSheetId="2">20221231</definedName>
    <definedName name="QBHEADERSONSCREEN" localSheetId="2">FALSE</definedName>
    <definedName name="QBMETADATASIZE" localSheetId="2">7549</definedName>
    <definedName name="QBPRESERVECOLOR" localSheetId="2">TRUE</definedName>
    <definedName name="QBPRESERVEFONT" localSheetId="2">TRUE</definedName>
    <definedName name="QBPRESERVEROWHEIGHT" localSheetId="2">TRUE</definedName>
    <definedName name="QBPRESERVESPACE" localSheetId="2">TRUE</definedName>
    <definedName name="QBREPORTCOLAXIS" localSheetId="2">0</definedName>
    <definedName name="QBREPORTCOMPANYID" localSheetId="2">"4c1fbb052f9e457f8ee90835a57ca7e2"</definedName>
    <definedName name="QBREPORTCOMPARECOL_ANNUALBUDGET" localSheetId="2">FALSE</definedName>
    <definedName name="QBREPORTCOMPARECOL_AVGCOGS" localSheetId="2">FALSE</definedName>
    <definedName name="QBREPORTCOMPARECOL_AVGPRICE" localSheetId="2">FALSE</definedName>
    <definedName name="QBREPORTCOMPARECOL_BUDDIFF" localSheetId="2">FALSE</definedName>
    <definedName name="QBREPORTCOMPARECOL_BUDGET" localSheetId="2">FALSE</definedName>
    <definedName name="QBREPORTCOMPARECOL_BUDPCT" localSheetId="2">FALSE</definedName>
    <definedName name="QBREPORTCOMPARECOL_COGS" localSheetId="2">FALSE</definedName>
    <definedName name="QBREPORTCOMPARECOL_EXCLUDEAMOUNT" localSheetId="2">FALSE</definedName>
    <definedName name="QBREPORTCOMPARECOL_EXCLUDECURPERIOD" localSheetId="2">FALSE</definedName>
    <definedName name="QBREPORTCOMPARECOL_FORECAST" localSheetId="2">FALSE</definedName>
    <definedName name="QBREPORTCOMPARECOL_GROSSMARGIN" localSheetId="2">FALSE</definedName>
    <definedName name="QBREPORTCOMPARECOL_GROSSMARGINPCT" localSheetId="2">FALSE</definedName>
    <definedName name="QBREPORTCOMPARECOL_HOURS" localSheetId="2">FALSE</definedName>
    <definedName name="QBREPORTCOMPARECOL_PCTCOL" localSheetId="2">FALSE</definedName>
    <definedName name="QBREPORTCOMPARECOL_PCTEXPENSE" localSheetId="2">FALSE</definedName>
    <definedName name="QBREPORTCOMPARECOL_PCTINCOME" localSheetId="2">FALSE</definedName>
    <definedName name="QBREPORTCOMPARECOL_PCTOFSALES" localSheetId="2">FALSE</definedName>
    <definedName name="QBREPORTCOMPARECOL_PCTROW" localSheetId="2">FALSE</definedName>
    <definedName name="QBREPORTCOMPARECOL_PPDIFF" localSheetId="2">FALSE</definedName>
    <definedName name="QBREPORTCOMPARECOL_PPPCT" localSheetId="2">FALSE</definedName>
    <definedName name="QBREPORTCOMPARECOL_PREVPERIOD" localSheetId="2">FALSE</definedName>
    <definedName name="QBREPORTCOMPARECOL_PREVYEAR" localSheetId="2">FALSE</definedName>
    <definedName name="QBREPORTCOMPARECOL_PYDIFF" localSheetId="2">FALSE</definedName>
    <definedName name="QBREPORTCOMPARECOL_PYPCT" localSheetId="2">FALSE</definedName>
    <definedName name="QBREPORTCOMPARECOL_QTY" localSheetId="2">FALSE</definedName>
    <definedName name="QBREPORTCOMPARECOL_RATE" localSheetId="2">FALSE</definedName>
    <definedName name="QBREPORTCOMPARECOL_TRIPBILLEDMILES" localSheetId="2">FALSE</definedName>
    <definedName name="QBREPORTCOMPARECOL_TRIPBILLINGAMOUNT" localSheetId="2">FALSE</definedName>
    <definedName name="QBREPORTCOMPARECOL_TRIPMILES" localSheetId="2">FALSE</definedName>
    <definedName name="QBREPORTCOMPARECOL_TRIPNOTBILLABLEMILES" localSheetId="2">FALSE</definedName>
    <definedName name="QBREPORTCOMPARECOL_TRIPTAXDEDUCTIBLEAMOUNT" localSheetId="2">FALSE</definedName>
    <definedName name="QBREPORTCOMPARECOL_TRIPUNBILLEDMILES" localSheetId="2">FALSE</definedName>
    <definedName name="QBREPORTCOMPARECOL_YTD" localSheetId="2">FALSE</definedName>
    <definedName name="QBREPORTCOMPARECOL_YTDBUDGET" localSheetId="2">FALSE</definedName>
    <definedName name="QBREPORTCOMPARECOL_YTDPCT" localSheetId="2">FALSE</definedName>
    <definedName name="QBREPORTROWAXIS" localSheetId="2">11</definedName>
    <definedName name="QBREPORTSUBCOLAXIS" localSheetId="2">0</definedName>
    <definedName name="QBREPORTTYPE" localSheetId="2">4</definedName>
    <definedName name="QBROWHEADERS" localSheetId="2">5</definedName>
    <definedName name="QBSTARTDATE" localSheetId="2">20220401</definedName>
    <definedName name="Slicer_Months">#N/A</definedName>
  </definedNames>
  <calcPr calcId="191029"/>
  <pivotCaches>
    <pivotCache cacheId="0" r:id="rId7"/>
    <pivotCache cacheId="1" r:id="rId8"/>
    <pivotCache cacheId="2" r:id="rId9"/>
    <pivotCache cacheId="3" r:id="rId10"/>
    <pivotCache cacheId="4"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196" i="6" l="1"/>
  <c r="Q1176" i="6"/>
  <c r="Q1177" i="6" s="1"/>
  <c r="Q1178" i="6" s="1"/>
  <c r="Q1179" i="6" s="1"/>
  <c r="Q1180" i="6" s="1"/>
  <c r="Q1181" i="6" s="1"/>
  <c r="Q1182" i="6" s="1"/>
  <c r="Q1183" i="6" s="1"/>
  <c r="Q1184" i="6" s="1"/>
  <c r="Q1185" i="6" s="1"/>
  <c r="Q1186" i="6" s="1"/>
  <c r="Q1187" i="6" s="1"/>
  <c r="Q1188" i="6" s="1"/>
  <c r="Q1189" i="6" s="1"/>
  <c r="Q1190" i="6" s="1"/>
  <c r="Q1191" i="6" s="1"/>
  <c r="Q1192" i="6" s="1"/>
  <c r="Q1193" i="6" s="1"/>
  <c r="Q1194" i="6" s="1"/>
  <c r="Q1195" i="6" s="1"/>
  <c r="Q1196" i="6" s="1"/>
  <c r="P1174" i="6"/>
  <c r="Q1171" i="6"/>
  <c r="Q1172" i="6" s="1"/>
  <c r="Q1173" i="6" s="1"/>
  <c r="Q1174" i="6" s="1"/>
  <c r="P1169" i="6"/>
  <c r="Q1164" i="6"/>
  <c r="Q1165" i="6" s="1"/>
  <c r="Q1166" i="6" s="1"/>
  <c r="Q1167" i="6" s="1"/>
  <c r="Q1168" i="6" s="1"/>
  <c r="Q1169" i="6" s="1"/>
  <c r="P1162" i="6"/>
  <c r="Q1159" i="6"/>
  <c r="Q1160" i="6" s="1"/>
  <c r="Q1161" i="6" s="1"/>
  <c r="Q1162" i="6" s="1"/>
  <c r="P1157" i="6"/>
  <c r="Q1148" i="6"/>
  <c r="Q1149" i="6" s="1"/>
  <c r="Q1150" i="6" s="1"/>
  <c r="Q1151" i="6" s="1"/>
  <c r="Q1152" i="6" s="1"/>
  <c r="Q1153" i="6" s="1"/>
  <c r="Q1154" i="6" s="1"/>
  <c r="Q1155" i="6" s="1"/>
  <c r="Q1156" i="6" s="1"/>
  <c r="Q1157" i="6" s="1"/>
  <c r="P1146" i="6"/>
  <c r="Q1145" i="6"/>
  <c r="Q1146" i="6" s="1"/>
  <c r="Q1144" i="6"/>
  <c r="Q1143" i="6"/>
  <c r="P1141" i="6"/>
  <c r="Q1140" i="6"/>
  <c r="Q1141" i="6" s="1"/>
  <c r="Q1139" i="6"/>
  <c r="P1137" i="6"/>
  <c r="Q697" i="6"/>
  <c r="Q698" i="6" s="1"/>
  <c r="Q699" i="6" s="1"/>
  <c r="Q700" i="6" s="1"/>
  <c r="Q701" i="6" s="1"/>
  <c r="Q702" i="6" s="1"/>
  <c r="Q703" i="6" s="1"/>
  <c r="Q704" i="6" s="1"/>
  <c r="Q705" i="6" s="1"/>
  <c r="Q706" i="6" s="1"/>
  <c r="Q707" i="6" s="1"/>
  <c r="Q708" i="6" s="1"/>
  <c r="Q709" i="6" s="1"/>
  <c r="Q710" i="6" s="1"/>
  <c r="Q711" i="6" s="1"/>
  <c r="Q712" i="6" s="1"/>
  <c r="Q713" i="6" s="1"/>
  <c r="Q714" i="6" s="1"/>
  <c r="Q715" i="6" s="1"/>
  <c r="Q716" i="6" s="1"/>
  <c r="Q717" i="6" s="1"/>
  <c r="Q718" i="6" s="1"/>
  <c r="Q719" i="6" s="1"/>
  <c r="Q720" i="6" s="1"/>
  <c r="Q721" i="6" s="1"/>
  <c r="Q722" i="6" s="1"/>
  <c r="Q723" i="6" s="1"/>
  <c r="Q724" i="6" s="1"/>
  <c r="Q725" i="6" s="1"/>
  <c r="Q726" i="6" s="1"/>
  <c r="Q727" i="6" s="1"/>
  <c r="Q728" i="6" s="1"/>
  <c r="Q729" i="6" s="1"/>
  <c r="Q730" i="6" s="1"/>
  <c r="Q731" i="6" s="1"/>
  <c r="Q732" i="6" s="1"/>
  <c r="Q733" i="6" s="1"/>
  <c r="Q734" i="6" s="1"/>
  <c r="Q735" i="6" s="1"/>
  <c r="Q736" i="6" s="1"/>
  <c r="Q737" i="6" s="1"/>
  <c r="Q738" i="6" s="1"/>
  <c r="Q739" i="6" s="1"/>
  <c r="Q740" i="6" s="1"/>
  <c r="Q741" i="6" s="1"/>
  <c r="Q742" i="6" s="1"/>
  <c r="Q743" i="6" s="1"/>
  <c r="Q744" i="6" s="1"/>
  <c r="Q745" i="6" s="1"/>
  <c r="Q746" i="6" s="1"/>
  <c r="Q747" i="6" s="1"/>
  <c r="Q748" i="6" s="1"/>
  <c r="Q749" i="6" s="1"/>
  <c r="Q750" i="6" s="1"/>
  <c r="Q751" i="6" s="1"/>
  <c r="Q752" i="6" s="1"/>
  <c r="Q753" i="6" s="1"/>
  <c r="Q754" i="6" s="1"/>
  <c r="Q755" i="6" s="1"/>
  <c r="Q756" i="6" s="1"/>
  <c r="Q757" i="6" s="1"/>
  <c r="Q758" i="6" s="1"/>
  <c r="Q759" i="6" s="1"/>
  <c r="Q760" i="6" s="1"/>
  <c r="Q761" i="6" s="1"/>
  <c r="Q762" i="6" s="1"/>
  <c r="Q763" i="6" s="1"/>
  <c r="Q764" i="6" s="1"/>
  <c r="Q765" i="6" s="1"/>
  <c r="Q766" i="6" s="1"/>
  <c r="Q767" i="6" s="1"/>
  <c r="Q768" i="6" s="1"/>
  <c r="Q769" i="6" s="1"/>
  <c r="Q770" i="6" s="1"/>
  <c r="Q771" i="6" s="1"/>
  <c r="Q772" i="6" s="1"/>
  <c r="Q773" i="6" s="1"/>
  <c r="Q774" i="6" s="1"/>
  <c r="Q775" i="6" s="1"/>
  <c r="Q776" i="6" s="1"/>
  <c r="Q777" i="6" s="1"/>
  <c r="Q778" i="6" s="1"/>
  <c r="Q779" i="6" s="1"/>
  <c r="Q780" i="6" s="1"/>
  <c r="Q781" i="6" s="1"/>
  <c r="Q782" i="6" s="1"/>
  <c r="Q783" i="6" s="1"/>
  <c r="Q784" i="6" s="1"/>
  <c r="Q785" i="6" s="1"/>
  <c r="Q786" i="6" s="1"/>
  <c r="Q787" i="6" s="1"/>
  <c r="Q788" i="6" s="1"/>
  <c r="Q789" i="6" s="1"/>
  <c r="Q790" i="6" s="1"/>
  <c r="Q791" i="6" s="1"/>
  <c r="Q792" i="6" s="1"/>
  <c r="Q793" i="6" s="1"/>
  <c r="Q794" i="6" s="1"/>
  <c r="Q795" i="6" s="1"/>
  <c r="Q796" i="6" s="1"/>
  <c r="Q797" i="6" s="1"/>
  <c r="Q798" i="6" s="1"/>
  <c r="Q799" i="6" s="1"/>
  <c r="Q800" i="6" s="1"/>
  <c r="Q801" i="6" s="1"/>
  <c r="Q802" i="6" s="1"/>
  <c r="Q803" i="6" s="1"/>
  <c r="Q804" i="6" s="1"/>
  <c r="Q805" i="6" s="1"/>
  <c r="Q806" i="6" s="1"/>
  <c r="Q807" i="6" s="1"/>
  <c r="Q808" i="6" s="1"/>
  <c r="Q809" i="6" s="1"/>
  <c r="Q810" i="6" s="1"/>
  <c r="Q811" i="6" s="1"/>
  <c r="Q812" i="6" s="1"/>
  <c r="Q813" i="6" s="1"/>
  <c r="Q814" i="6" s="1"/>
  <c r="Q815" i="6" s="1"/>
  <c r="Q816" i="6" s="1"/>
  <c r="Q817" i="6" s="1"/>
  <c r="Q818" i="6" s="1"/>
  <c r="Q819" i="6" s="1"/>
  <c r="Q820" i="6" s="1"/>
  <c r="Q821" i="6" s="1"/>
  <c r="Q822" i="6" s="1"/>
  <c r="Q823" i="6" s="1"/>
  <c r="Q824" i="6" s="1"/>
  <c r="Q825" i="6" s="1"/>
  <c r="Q826" i="6" s="1"/>
  <c r="Q827" i="6" s="1"/>
  <c r="Q828" i="6" s="1"/>
  <c r="Q829" i="6" s="1"/>
  <c r="Q830" i="6" s="1"/>
  <c r="Q831" i="6" s="1"/>
  <c r="Q832" i="6" s="1"/>
  <c r="Q833" i="6" s="1"/>
  <c r="Q834" i="6" s="1"/>
  <c r="Q835" i="6" s="1"/>
  <c r="Q836" i="6" s="1"/>
  <c r="Q837" i="6" s="1"/>
  <c r="Q838" i="6" s="1"/>
  <c r="Q839" i="6" s="1"/>
  <c r="Q840" i="6" s="1"/>
  <c r="Q841" i="6" s="1"/>
  <c r="Q842" i="6" s="1"/>
  <c r="Q843" i="6" s="1"/>
  <c r="Q844" i="6" s="1"/>
  <c r="Q845" i="6" s="1"/>
  <c r="Q846" i="6" s="1"/>
  <c r="Q847" i="6" s="1"/>
  <c r="Q848" i="6" s="1"/>
  <c r="Q849" i="6" s="1"/>
  <c r="Q850" i="6" s="1"/>
  <c r="Q851" i="6" s="1"/>
  <c r="Q852" i="6" s="1"/>
  <c r="Q853" i="6" s="1"/>
  <c r="Q854" i="6" s="1"/>
  <c r="Q855" i="6" s="1"/>
  <c r="Q856" i="6" s="1"/>
  <c r="Q857" i="6" s="1"/>
  <c r="Q858" i="6" s="1"/>
  <c r="Q859" i="6" s="1"/>
  <c r="Q860" i="6" s="1"/>
  <c r="Q861" i="6" s="1"/>
  <c r="Q862" i="6" s="1"/>
  <c r="Q863" i="6" s="1"/>
  <c r="Q864" i="6" s="1"/>
  <c r="Q865" i="6" s="1"/>
  <c r="Q866" i="6" s="1"/>
  <c r="Q867" i="6" s="1"/>
  <c r="Q868" i="6" s="1"/>
  <c r="Q869" i="6" s="1"/>
  <c r="Q870" i="6" s="1"/>
  <c r="Q871" i="6" s="1"/>
  <c r="Q872" i="6" s="1"/>
  <c r="Q873" i="6" s="1"/>
  <c r="Q874" i="6" s="1"/>
  <c r="Q875" i="6" s="1"/>
  <c r="Q876" i="6" s="1"/>
  <c r="Q877" i="6" s="1"/>
  <c r="Q878" i="6" s="1"/>
  <c r="Q879" i="6" s="1"/>
  <c r="Q880" i="6" s="1"/>
  <c r="Q881" i="6" s="1"/>
  <c r="Q882" i="6" s="1"/>
  <c r="Q883" i="6" s="1"/>
  <c r="Q884" i="6" s="1"/>
  <c r="Q885" i="6" s="1"/>
  <c r="Q886" i="6" s="1"/>
  <c r="Q887" i="6" s="1"/>
  <c r="Q888" i="6" s="1"/>
  <c r="Q889" i="6" s="1"/>
  <c r="Q890" i="6" s="1"/>
  <c r="Q891" i="6" s="1"/>
  <c r="Q892" i="6" s="1"/>
  <c r="Q893" i="6" s="1"/>
  <c r="Q894" i="6" s="1"/>
  <c r="Q895" i="6" s="1"/>
  <c r="Q896" i="6" s="1"/>
  <c r="Q897" i="6" s="1"/>
  <c r="Q898" i="6" s="1"/>
  <c r="Q899" i="6" s="1"/>
  <c r="Q900" i="6" s="1"/>
  <c r="Q901" i="6" s="1"/>
  <c r="Q902" i="6" s="1"/>
  <c r="Q903" i="6" s="1"/>
  <c r="Q904" i="6" s="1"/>
  <c r="Q905" i="6" s="1"/>
  <c r="Q906" i="6" s="1"/>
  <c r="Q907" i="6" s="1"/>
  <c r="Q908" i="6" s="1"/>
  <c r="Q909" i="6" s="1"/>
  <c r="Q910" i="6" s="1"/>
  <c r="Q911" i="6" s="1"/>
  <c r="Q912" i="6" s="1"/>
  <c r="Q913" i="6" s="1"/>
  <c r="Q914" i="6" s="1"/>
  <c r="Q915" i="6" s="1"/>
  <c r="Q916" i="6" s="1"/>
  <c r="Q917" i="6" s="1"/>
  <c r="Q918" i="6" s="1"/>
  <c r="Q919" i="6" s="1"/>
  <c r="Q920" i="6" s="1"/>
  <c r="Q921" i="6" s="1"/>
  <c r="Q922" i="6" s="1"/>
  <c r="Q923" i="6" s="1"/>
  <c r="Q924" i="6" s="1"/>
  <c r="Q925" i="6" s="1"/>
  <c r="Q926" i="6" s="1"/>
  <c r="Q927" i="6" s="1"/>
  <c r="Q928" i="6" s="1"/>
  <c r="Q929" i="6" s="1"/>
  <c r="Q930" i="6" s="1"/>
  <c r="Q931" i="6" s="1"/>
  <c r="Q932" i="6" s="1"/>
  <c r="Q933" i="6" s="1"/>
  <c r="Q934" i="6" s="1"/>
  <c r="Q935" i="6" s="1"/>
  <c r="Q936" i="6" s="1"/>
  <c r="Q937" i="6" s="1"/>
  <c r="Q938" i="6" s="1"/>
  <c r="Q939" i="6" s="1"/>
  <c r="Q940" i="6" s="1"/>
  <c r="Q941" i="6" s="1"/>
  <c r="Q942" i="6" s="1"/>
  <c r="Q943" i="6" s="1"/>
  <c r="Q944" i="6" s="1"/>
  <c r="Q945" i="6" s="1"/>
  <c r="Q946" i="6" s="1"/>
  <c r="Q947" i="6" s="1"/>
  <c r="Q948" i="6" s="1"/>
  <c r="Q949" i="6" s="1"/>
  <c r="Q950" i="6" s="1"/>
  <c r="Q951" i="6" s="1"/>
  <c r="Q952" i="6" s="1"/>
  <c r="Q953" i="6" s="1"/>
  <c r="Q954" i="6" s="1"/>
  <c r="Q955" i="6" s="1"/>
  <c r="Q956" i="6" s="1"/>
  <c r="Q957" i="6" s="1"/>
  <c r="Q958" i="6" s="1"/>
  <c r="Q959" i="6" s="1"/>
  <c r="Q960" i="6" s="1"/>
  <c r="Q961" i="6" s="1"/>
  <c r="Q962" i="6" s="1"/>
  <c r="Q963" i="6" s="1"/>
  <c r="Q964" i="6" s="1"/>
  <c r="Q965" i="6" s="1"/>
  <c r="Q966" i="6" s="1"/>
  <c r="Q967" i="6" s="1"/>
  <c r="Q968" i="6" s="1"/>
  <c r="Q969" i="6" s="1"/>
  <c r="Q970" i="6" s="1"/>
  <c r="Q971" i="6" s="1"/>
  <c r="Q972" i="6" s="1"/>
  <c r="Q973" i="6" s="1"/>
  <c r="Q974" i="6" s="1"/>
  <c r="Q975" i="6" s="1"/>
  <c r="Q976" i="6" s="1"/>
  <c r="Q977" i="6" s="1"/>
  <c r="Q978" i="6" s="1"/>
  <c r="Q979" i="6" s="1"/>
  <c r="Q980" i="6" s="1"/>
  <c r="Q981" i="6" s="1"/>
  <c r="Q982" i="6" s="1"/>
  <c r="Q983" i="6" s="1"/>
  <c r="Q984" i="6" s="1"/>
  <c r="Q985" i="6" s="1"/>
  <c r="Q986" i="6" s="1"/>
  <c r="Q987" i="6" s="1"/>
  <c r="Q988" i="6" s="1"/>
  <c r="Q989" i="6" s="1"/>
  <c r="Q990" i="6" s="1"/>
  <c r="Q991" i="6" s="1"/>
  <c r="Q992" i="6" s="1"/>
  <c r="Q993" i="6" s="1"/>
  <c r="Q994" i="6" s="1"/>
  <c r="Q995" i="6" s="1"/>
  <c r="Q996" i="6" s="1"/>
  <c r="Q997" i="6" s="1"/>
  <c r="Q998" i="6" s="1"/>
  <c r="Q999" i="6" s="1"/>
  <c r="Q1000" i="6" s="1"/>
  <c r="Q1001" i="6" s="1"/>
  <c r="Q1002" i="6" s="1"/>
  <c r="Q1003" i="6" s="1"/>
  <c r="Q1004" i="6" s="1"/>
  <c r="Q1005" i="6" s="1"/>
  <c r="Q1006" i="6" s="1"/>
  <c r="Q1007" i="6" s="1"/>
  <c r="Q1008" i="6" s="1"/>
  <c r="Q1009" i="6" s="1"/>
  <c r="Q1010" i="6" s="1"/>
  <c r="Q1011" i="6" s="1"/>
  <c r="Q1012" i="6" s="1"/>
  <c r="Q1013" i="6" s="1"/>
  <c r="Q1014" i="6" s="1"/>
  <c r="Q1015" i="6" s="1"/>
  <c r="Q1016" i="6" s="1"/>
  <c r="Q1017" i="6" s="1"/>
  <c r="Q1018" i="6" s="1"/>
  <c r="Q1019" i="6" s="1"/>
  <c r="Q1020" i="6" s="1"/>
  <c r="Q1021" i="6" s="1"/>
  <c r="Q1022" i="6" s="1"/>
  <c r="Q1023" i="6" s="1"/>
  <c r="Q1024" i="6" s="1"/>
  <c r="Q1025" i="6" s="1"/>
  <c r="Q1026" i="6" s="1"/>
  <c r="Q1027" i="6" s="1"/>
  <c r="Q1028" i="6" s="1"/>
  <c r="Q1029" i="6" s="1"/>
  <c r="Q1030" i="6" s="1"/>
  <c r="Q1031" i="6" s="1"/>
  <c r="Q1032" i="6" s="1"/>
  <c r="Q1033" i="6" s="1"/>
  <c r="Q1034" i="6" s="1"/>
  <c r="Q1035" i="6" s="1"/>
  <c r="Q1036" i="6" s="1"/>
  <c r="Q1037" i="6" s="1"/>
  <c r="Q1038" i="6" s="1"/>
  <c r="Q1039" i="6" s="1"/>
  <c r="Q1040" i="6" s="1"/>
  <c r="Q1041" i="6" s="1"/>
  <c r="Q1042" i="6" s="1"/>
  <c r="Q1043" i="6" s="1"/>
  <c r="Q1044" i="6" s="1"/>
  <c r="Q1045" i="6" s="1"/>
  <c r="Q1046" i="6" s="1"/>
  <c r="Q1047" i="6" s="1"/>
  <c r="Q1048" i="6" s="1"/>
  <c r="Q1049" i="6" s="1"/>
  <c r="Q1050" i="6" s="1"/>
  <c r="Q1051" i="6" s="1"/>
  <c r="Q1052" i="6" s="1"/>
  <c r="Q1053" i="6" s="1"/>
  <c r="Q1054" i="6" s="1"/>
  <c r="Q1055" i="6" s="1"/>
  <c r="Q1056" i="6" s="1"/>
  <c r="Q1057" i="6" s="1"/>
  <c r="Q1058" i="6" s="1"/>
  <c r="Q1059" i="6" s="1"/>
  <c r="Q1060" i="6" s="1"/>
  <c r="Q1061" i="6" s="1"/>
  <c r="Q1062" i="6" s="1"/>
  <c r="Q1063" i="6" s="1"/>
  <c r="Q1064" i="6" s="1"/>
  <c r="Q1065" i="6" s="1"/>
  <c r="Q1066" i="6" s="1"/>
  <c r="Q1067" i="6" s="1"/>
  <c r="Q1068" i="6" s="1"/>
  <c r="Q1069" i="6" s="1"/>
  <c r="Q1070" i="6" s="1"/>
  <c r="Q1071" i="6" s="1"/>
  <c r="Q1072" i="6" s="1"/>
  <c r="Q1073" i="6" s="1"/>
  <c r="Q1074" i="6" s="1"/>
  <c r="Q1075" i="6" s="1"/>
  <c r="Q1076" i="6" s="1"/>
  <c r="Q1077" i="6" s="1"/>
  <c r="Q1078" i="6" s="1"/>
  <c r="Q1079" i="6" s="1"/>
  <c r="Q1080" i="6" s="1"/>
  <c r="Q1081" i="6" s="1"/>
  <c r="Q1082" i="6" s="1"/>
  <c r="Q1083" i="6" s="1"/>
  <c r="Q1084" i="6" s="1"/>
  <c r="Q1085" i="6" s="1"/>
  <c r="Q1086" i="6" s="1"/>
  <c r="Q1087" i="6" s="1"/>
  <c r="Q1088" i="6" s="1"/>
  <c r="Q1089" i="6" s="1"/>
  <c r="Q1090" i="6" s="1"/>
  <c r="Q1091" i="6" s="1"/>
  <c r="Q1092" i="6" s="1"/>
  <c r="Q1093" i="6" s="1"/>
  <c r="Q1094" i="6" s="1"/>
  <c r="Q1095" i="6" s="1"/>
  <c r="Q1096" i="6" s="1"/>
  <c r="Q1097" i="6" s="1"/>
  <c r="Q1098" i="6" s="1"/>
  <c r="Q1099" i="6" s="1"/>
  <c r="Q1100" i="6" s="1"/>
  <c r="Q1101" i="6" s="1"/>
  <c r="Q1102" i="6" s="1"/>
  <c r="Q1103" i="6" s="1"/>
  <c r="Q1104" i="6" s="1"/>
  <c r="Q1105" i="6" s="1"/>
  <c r="Q1106" i="6" s="1"/>
  <c r="Q1107" i="6" s="1"/>
  <c r="Q1108" i="6" s="1"/>
  <c r="Q1109" i="6" s="1"/>
  <c r="Q1110" i="6" s="1"/>
  <c r="Q1111" i="6" s="1"/>
  <c r="Q1112" i="6" s="1"/>
  <c r="Q1113" i="6" s="1"/>
  <c r="Q1114" i="6" s="1"/>
  <c r="Q1115" i="6" s="1"/>
  <c r="Q1116" i="6" s="1"/>
  <c r="Q1117" i="6" s="1"/>
  <c r="Q1118" i="6" s="1"/>
  <c r="Q1119" i="6" s="1"/>
  <c r="Q1120" i="6" s="1"/>
  <c r="Q1121" i="6" s="1"/>
  <c r="Q1122" i="6" s="1"/>
  <c r="Q1123" i="6" s="1"/>
  <c r="Q1124" i="6" s="1"/>
  <c r="Q1125" i="6" s="1"/>
  <c r="Q1126" i="6" s="1"/>
  <c r="Q1127" i="6" s="1"/>
  <c r="Q1128" i="6" s="1"/>
  <c r="Q1129" i="6" s="1"/>
  <c r="Q1130" i="6" s="1"/>
  <c r="Q1131" i="6" s="1"/>
  <c r="Q1132" i="6" s="1"/>
  <c r="Q1133" i="6" s="1"/>
  <c r="Q1134" i="6" s="1"/>
  <c r="Q1135" i="6" s="1"/>
  <c r="Q1136" i="6" s="1"/>
  <c r="Q1137" i="6" s="1"/>
  <c r="P695" i="6"/>
  <c r="Q668" i="6"/>
  <c r="Q669" i="6" s="1"/>
  <c r="Q670" i="6" s="1"/>
  <c r="Q671" i="6" s="1"/>
  <c r="Q672" i="6" s="1"/>
  <c r="Q673" i="6" s="1"/>
  <c r="Q674" i="6" s="1"/>
  <c r="Q675" i="6" s="1"/>
  <c r="Q676" i="6" s="1"/>
  <c r="Q677" i="6" s="1"/>
  <c r="Q678" i="6" s="1"/>
  <c r="Q679" i="6" s="1"/>
  <c r="Q680" i="6" s="1"/>
  <c r="Q681" i="6" s="1"/>
  <c r="Q682" i="6" s="1"/>
  <c r="Q683" i="6" s="1"/>
  <c r="Q684" i="6" s="1"/>
  <c r="Q685" i="6" s="1"/>
  <c r="Q686" i="6" s="1"/>
  <c r="Q687" i="6" s="1"/>
  <c r="Q688" i="6" s="1"/>
  <c r="Q689" i="6" s="1"/>
  <c r="Q690" i="6" s="1"/>
  <c r="Q691" i="6" s="1"/>
  <c r="Q692" i="6" s="1"/>
  <c r="Q693" i="6" s="1"/>
  <c r="Q694" i="6" s="1"/>
  <c r="Q695" i="6" s="1"/>
  <c r="P666" i="6"/>
  <c r="Q656" i="6"/>
  <c r="Q657" i="6" s="1"/>
  <c r="Q658" i="6" s="1"/>
  <c r="Q659" i="6" s="1"/>
  <c r="Q660" i="6" s="1"/>
  <c r="Q661" i="6" s="1"/>
  <c r="Q662" i="6" s="1"/>
  <c r="Q663" i="6" s="1"/>
  <c r="Q664" i="6" s="1"/>
  <c r="Q665" i="6" s="1"/>
  <c r="Q666" i="6" s="1"/>
  <c r="Q655" i="6"/>
  <c r="Q654" i="6"/>
  <c r="P652" i="6"/>
  <c r="Q644" i="6"/>
  <c r="Q645" i="6" s="1"/>
  <c r="Q646" i="6" s="1"/>
  <c r="Q647" i="6" s="1"/>
  <c r="Q648" i="6" s="1"/>
  <c r="Q649" i="6" s="1"/>
  <c r="Q650" i="6" s="1"/>
  <c r="Q651" i="6" s="1"/>
  <c r="Q652" i="6" s="1"/>
  <c r="Q643" i="6"/>
  <c r="Q641" i="6"/>
  <c r="P641" i="6"/>
  <c r="Q640" i="6"/>
  <c r="P638" i="6"/>
  <c r="Q629" i="6"/>
  <c r="Q630" i="6" s="1"/>
  <c r="Q631" i="6" s="1"/>
  <c r="Q632" i="6" s="1"/>
  <c r="Q633" i="6" s="1"/>
  <c r="Q634" i="6" s="1"/>
  <c r="Q635" i="6" s="1"/>
  <c r="Q636" i="6" s="1"/>
  <c r="Q637" i="6" s="1"/>
  <c r="Q638" i="6" s="1"/>
  <c r="Q628" i="6"/>
  <c r="P626" i="6"/>
  <c r="Q620" i="6"/>
  <c r="Q621" i="6" s="1"/>
  <c r="Q622" i="6" s="1"/>
  <c r="Q623" i="6" s="1"/>
  <c r="Q624" i="6" s="1"/>
  <c r="Q625" i="6" s="1"/>
  <c r="Q626" i="6" s="1"/>
  <c r="Q619" i="6"/>
  <c r="P617" i="6"/>
  <c r="Q611" i="6"/>
  <c r="Q612" i="6" s="1"/>
  <c r="Q613" i="6" s="1"/>
  <c r="Q614" i="6" s="1"/>
  <c r="Q615" i="6" s="1"/>
  <c r="Q616" i="6" s="1"/>
  <c r="Q617" i="6" s="1"/>
  <c r="Q610" i="6"/>
  <c r="Q609" i="6"/>
  <c r="Q607" i="6"/>
  <c r="P607" i="6"/>
  <c r="Q606" i="6"/>
  <c r="Q604" i="6"/>
  <c r="P604" i="6"/>
  <c r="Q601" i="6"/>
  <c r="Q602" i="6" s="1"/>
  <c r="Q603" i="6" s="1"/>
  <c r="Q599" i="6"/>
  <c r="P599" i="6"/>
  <c r="Q598" i="6"/>
  <c r="Q597" i="6"/>
  <c r="P595" i="6"/>
  <c r="Q593" i="6"/>
  <c r="Q594" i="6" s="1"/>
  <c r="Q595" i="6" s="1"/>
  <c r="Q581" i="6"/>
  <c r="Q582" i="6" s="1"/>
  <c r="Q583" i="6" s="1"/>
  <c r="Q584" i="6" s="1"/>
  <c r="Q585" i="6" s="1"/>
  <c r="Q586" i="6" s="1"/>
  <c r="Q587" i="6" s="1"/>
  <c r="Q588" i="6" s="1"/>
  <c r="Q589" i="6" s="1"/>
  <c r="Q590" i="6" s="1"/>
  <c r="Q591" i="6" s="1"/>
  <c r="Q592" i="6" s="1"/>
  <c r="P579" i="6"/>
  <c r="Q557" i="6"/>
  <c r="Q558" i="6" s="1"/>
  <c r="Q559" i="6" s="1"/>
  <c r="Q560" i="6" s="1"/>
  <c r="Q561" i="6" s="1"/>
  <c r="Q562" i="6" s="1"/>
  <c r="Q563" i="6" s="1"/>
  <c r="Q564" i="6" s="1"/>
  <c r="Q565" i="6" s="1"/>
  <c r="Q566" i="6" s="1"/>
  <c r="Q567" i="6" s="1"/>
  <c r="Q568" i="6" s="1"/>
  <c r="Q569" i="6" s="1"/>
  <c r="Q570" i="6" s="1"/>
  <c r="Q571" i="6" s="1"/>
  <c r="Q572" i="6" s="1"/>
  <c r="Q573" i="6" s="1"/>
  <c r="Q574" i="6" s="1"/>
  <c r="Q575" i="6" s="1"/>
  <c r="Q576" i="6" s="1"/>
  <c r="Q577" i="6" s="1"/>
  <c r="Q578" i="6" s="1"/>
  <c r="Q579" i="6" s="1"/>
  <c r="P555" i="6"/>
  <c r="Q552" i="6"/>
  <c r="Q553" i="6" s="1"/>
  <c r="Q554" i="6" s="1"/>
  <c r="Q555" i="6" s="1"/>
  <c r="P550" i="6"/>
  <c r="Q548" i="6"/>
  <c r="Q549" i="6" s="1"/>
  <c r="Q550" i="6" s="1"/>
  <c r="P546" i="6"/>
  <c r="Q536" i="6"/>
  <c r="Q537" i="6" s="1"/>
  <c r="Q538" i="6" s="1"/>
  <c r="Q539" i="6" s="1"/>
  <c r="Q540" i="6" s="1"/>
  <c r="Q541" i="6" s="1"/>
  <c r="Q542" i="6" s="1"/>
  <c r="Q543" i="6" s="1"/>
  <c r="Q544" i="6" s="1"/>
  <c r="Q545" i="6" s="1"/>
  <c r="Q546" i="6" s="1"/>
  <c r="Q535" i="6"/>
  <c r="Q533" i="6"/>
  <c r="P533" i="6"/>
  <c r="Q532" i="6"/>
  <c r="Q531" i="6"/>
  <c r="P527" i="6"/>
  <c r="P526" i="6"/>
  <c r="Q486" i="6"/>
  <c r="Q487" i="6" s="1"/>
  <c r="Q488" i="6" s="1"/>
  <c r="Q489" i="6" s="1"/>
  <c r="Q490" i="6" s="1"/>
  <c r="Q491" i="6" s="1"/>
  <c r="Q492" i="6" s="1"/>
  <c r="Q493" i="6" s="1"/>
  <c r="Q494" i="6" s="1"/>
  <c r="Q495" i="6" s="1"/>
  <c r="Q496" i="6" s="1"/>
  <c r="Q497" i="6" s="1"/>
  <c r="Q498" i="6" s="1"/>
  <c r="Q499" i="6" s="1"/>
  <c r="Q500" i="6" s="1"/>
  <c r="Q501" i="6" s="1"/>
  <c r="Q502" i="6" s="1"/>
  <c r="Q503" i="6" s="1"/>
  <c r="Q504" i="6" s="1"/>
  <c r="Q505" i="6" s="1"/>
  <c r="Q506" i="6" s="1"/>
  <c r="Q507" i="6" s="1"/>
  <c r="Q508" i="6" s="1"/>
  <c r="Q509" i="6" s="1"/>
  <c r="Q510" i="6" s="1"/>
  <c r="Q511" i="6" s="1"/>
  <c r="Q512" i="6" s="1"/>
  <c r="Q513" i="6" s="1"/>
  <c r="Q514" i="6" s="1"/>
  <c r="Q515" i="6" s="1"/>
  <c r="Q516" i="6" s="1"/>
  <c r="Q517" i="6" s="1"/>
  <c r="Q518" i="6" s="1"/>
  <c r="Q519" i="6" s="1"/>
  <c r="Q520" i="6" s="1"/>
  <c r="Q521" i="6" s="1"/>
  <c r="Q522" i="6" s="1"/>
  <c r="Q523" i="6" s="1"/>
  <c r="Q524" i="6" s="1"/>
  <c r="Q525" i="6" s="1"/>
  <c r="Q526" i="6" s="1"/>
  <c r="Q477" i="6"/>
  <c r="Q478" i="6" s="1"/>
  <c r="Q479" i="6" s="1"/>
  <c r="Q480" i="6" s="1"/>
  <c r="Q481" i="6" s="1"/>
  <c r="Q482" i="6" s="1"/>
  <c r="Q483" i="6" s="1"/>
  <c r="Q484" i="6" s="1"/>
  <c r="Q485" i="6" s="1"/>
  <c r="Q476" i="6"/>
  <c r="Q475" i="6"/>
  <c r="P473" i="6"/>
  <c r="Q432" i="6"/>
  <c r="Q433" i="6" s="1"/>
  <c r="Q434" i="6" s="1"/>
  <c r="Q435" i="6" s="1"/>
  <c r="Q436" i="6" s="1"/>
  <c r="Q437" i="6" s="1"/>
  <c r="Q438" i="6" s="1"/>
  <c r="Q439" i="6" s="1"/>
  <c r="Q440" i="6" s="1"/>
  <c r="Q441" i="6" s="1"/>
  <c r="Q442" i="6" s="1"/>
  <c r="Q443" i="6" s="1"/>
  <c r="Q444" i="6" s="1"/>
  <c r="Q445" i="6" s="1"/>
  <c r="Q446" i="6" s="1"/>
  <c r="Q447" i="6" s="1"/>
  <c r="Q448" i="6" s="1"/>
  <c r="Q449" i="6" s="1"/>
  <c r="Q450" i="6" s="1"/>
  <c r="Q451" i="6" s="1"/>
  <c r="Q452" i="6" s="1"/>
  <c r="Q453" i="6" s="1"/>
  <c r="Q454" i="6" s="1"/>
  <c r="Q455" i="6" s="1"/>
  <c r="Q456" i="6" s="1"/>
  <c r="Q457" i="6" s="1"/>
  <c r="Q458" i="6" s="1"/>
  <c r="Q459" i="6" s="1"/>
  <c r="Q460" i="6" s="1"/>
  <c r="Q461" i="6" s="1"/>
  <c r="Q462" i="6" s="1"/>
  <c r="Q463" i="6" s="1"/>
  <c r="Q464" i="6" s="1"/>
  <c r="Q465" i="6" s="1"/>
  <c r="Q466" i="6" s="1"/>
  <c r="Q467" i="6" s="1"/>
  <c r="Q468" i="6" s="1"/>
  <c r="Q469" i="6" s="1"/>
  <c r="Q470" i="6" s="1"/>
  <c r="Q471" i="6" s="1"/>
  <c r="Q472" i="6" s="1"/>
  <c r="Q473" i="6" s="1"/>
  <c r="Q431" i="6"/>
  <c r="Q430" i="6"/>
  <c r="P426" i="6"/>
  <c r="Q425" i="6"/>
  <c r="Q426" i="6" s="1"/>
  <c r="P423" i="6"/>
  <c r="Q421" i="6"/>
  <c r="Q422" i="6" s="1"/>
  <c r="Q423" i="6" s="1"/>
  <c r="Q420" i="6"/>
  <c r="Q419" i="6"/>
  <c r="P427" i="6"/>
  <c r="P528" i="6" s="1"/>
  <c r="Q5" i="6"/>
  <c r="Q6" i="6" s="1"/>
  <c r="Q7" i="6" s="1"/>
  <c r="Q8" i="6" s="1"/>
  <c r="Q9" i="6" s="1"/>
  <c r="Q10" i="6" s="1"/>
  <c r="Q11" i="6" s="1"/>
  <c r="Q12" i="6" s="1"/>
  <c r="Q13" i="6" s="1"/>
  <c r="Q14" i="6" s="1"/>
  <c r="Q15" i="6" s="1"/>
  <c r="Q16" i="6" s="1"/>
  <c r="Q17" i="6" s="1"/>
  <c r="Q18" i="6" s="1"/>
  <c r="Q19" i="6" s="1"/>
  <c r="Q20" i="6" s="1"/>
  <c r="Q21" i="6" s="1"/>
  <c r="Q22" i="6" s="1"/>
  <c r="Q23" i="6" s="1"/>
  <c r="Q24" i="6" s="1"/>
  <c r="Q25" i="6" s="1"/>
  <c r="Q26" i="6" s="1"/>
  <c r="Q27" i="6" s="1"/>
  <c r="Q28" i="6" s="1"/>
  <c r="Q29" i="6" s="1"/>
  <c r="Q30" i="6" s="1"/>
  <c r="Q31" i="6" s="1"/>
  <c r="Q32" i="6" s="1"/>
  <c r="Q33" i="6" s="1"/>
  <c r="Q34" i="6" s="1"/>
  <c r="Q35" i="6" s="1"/>
  <c r="Q36" i="6" s="1"/>
  <c r="Q37" i="6" s="1"/>
  <c r="Q38" i="6" s="1"/>
  <c r="Q39" i="6" s="1"/>
  <c r="Q40" i="6" s="1"/>
  <c r="Q41" i="6" s="1"/>
  <c r="Q42" i="6" s="1"/>
  <c r="Q43" i="6" s="1"/>
  <c r="Q44" i="6" s="1"/>
  <c r="Q45" i="6" s="1"/>
  <c r="Q46" i="6" s="1"/>
  <c r="Q47" i="6" s="1"/>
  <c r="Q48" i="6" s="1"/>
  <c r="Q49" i="6" s="1"/>
  <c r="Q50" i="6" s="1"/>
  <c r="Q51" i="6" s="1"/>
  <c r="Q52" i="6" s="1"/>
  <c r="Q53" i="6" s="1"/>
  <c r="Q54" i="6" s="1"/>
  <c r="Q55" i="6" s="1"/>
  <c r="Q56" i="6" s="1"/>
  <c r="Q57" i="6" s="1"/>
  <c r="Q58" i="6" s="1"/>
  <c r="Q59" i="6" s="1"/>
  <c r="Q60" i="6" s="1"/>
  <c r="Q61" i="6" s="1"/>
  <c r="Q62" i="6" s="1"/>
  <c r="Q63" i="6" s="1"/>
  <c r="Q64" i="6" s="1"/>
  <c r="Q65" i="6" s="1"/>
  <c r="Q66" i="6" s="1"/>
  <c r="Q67" i="6" s="1"/>
  <c r="Q68" i="6" s="1"/>
  <c r="Q69" i="6" s="1"/>
  <c r="Q70" i="6" s="1"/>
  <c r="Q71" i="6" s="1"/>
  <c r="Q72" i="6" s="1"/>
  <c r="Q73" i="6" s="1"/>
  <c r="Q74" i="6" s="1"/>
  <c r="Q75" i="6" s="1"/>
  <c r="Q76" i="6" s="1"/>
  <c r="Q77" i="6" s="1"/>
  <c r="Q78" i="6" s="1"/>
  <c r="Q79" i="6" s="1"/>
  <c r="Q80" i="6" s="1"/>
  <c r="Q81" i="6" s="1"/>
  <c r="Q82" i="6" s="1"/>
  <c r="Q83" i="6" s="1"/>
  <c r="Q84" i="6" s="1"/>
  <c r="Q85" i="6" s="1"/>
  <c r="Q86" i="6" s="1"/>
  <c r="Q87" i="6" s="1"/>
  <c r="Q88" i="6" s="1"/>
  <c r="Q89" i="6" s="1"/>
  <c r="Q90" i="6" s="1"/>
  <c r="Q91" i="6" s="1"/>
  <c r="Q92" i="6" s="1"/>
  <c r="Q93" i="6" s="1"/>
  <c r="Q94" i="6" s="1"/>
  <c r="Q95" i="6" s="1"/>
  <c r="Q96" i="6" s="1"/>
  <c r="Q97" i="6" s="1"/>
  <c r="Q98" i="6" s="1"/>
  <c r="Q99" i="6" s="1"/>
  <c r="Q100" i="6" s="1"/>
  <c r="Q101" i="6" s="1"/>
  <c r="Q102" i="6" s="1"/>
  <c r="Q103" i="6" s="1"/>
  <c r="Q104" i="6" s="1"/>
  <c r="Q105" i="6" s="1"/>
  <c r="Q106" i="6" s="1"/>
  <c r="Q107" i="6" s="1"/>
  <c r="Q108" i="6" s="1"/>
  <c r="Q109" i="6" s="1"/>
  <c r="Q110" i="6" s="1"/>
  <c r="Q111" i="6" s="1"/>
  <c r="Q112" i="6" s="1"/>
  <c r="Q113" i="6" s="1"/>
  <c r="Q114" i="6" s="1"/>
  <c r="Q115" i="6" s="1"/>
  <c r="Q116" i="6" s="1"/>
  <c r="Q117" i="6" s="1"/>
  <c r="Q118" i="6" s="1"/>
  <c r="Q119" i="6" s="1"/>
  <c r="Q120" i="6" s="1"/>
  <c r="Q121" i="6" s="1"/>
  <c r="Q122" i="6" s="1"/>
  <c r="Q123" i="6" s="1"/>
  <c r="Q124" i="6" s="1"/>
  <c r="Q125" i="6" s="1"/>
  <c r="Q126" i="6" s="1"/>
  <c r="Q127" i="6" s="1"/>
  <c r="Q128" i="6" s="1"/>
  <c r="Q129" i="6" s="1"/>
  <c r="Q130" i="6" s="1"/>
  <c r="Q131" i="6" s="1"/>
  <c r="Q132" i="6" s="1"/>
  <c r="Q133" i="6" s="1"/>
  <c r="Q134" i="6" s="1"/>
  <c r="Q135" i="6" s="1"/>
  <c r="Q136" i="6" s="1"/>
  <c r="Q137" i="6" s="1"/>
  <c r="Q138" i="6" s="1"/>
  <c r="Q139" i="6" s="1"/>
  <c r="Q140" i="6" s="1"/>
  <c r="Q141" i="6" s="1"/>
  <c r="Q142" i="6" s="1"/>
  <c r="Q143" i="6" s="1"/>
  <c r="Q144" i="6" s="1"/>
  <c r="Q145" i="6" s="1"/>
  <c r="Q146" i="6" s="1"/>
  <c r="Q147" i="6" s="1"/>
  <c r="Q148" i="6" s="1"/>
  <c r="Q149" i="6" s="1"/>
  <c r="Q150" i="6" s="1"/>
  <c r="Q151" i="6" s="1"/>
  <c r="Q152" i="6" s="1"/>
  <c r="Q153" i="6" s="1"/>
  <c r="Q154" i="6" s="1"/>
  <c r="Q155" i="6" s="1"/>
  <c r="Q156" i="6" s="1"/>
  <c r="Q157" i="6" s="1"/>
  <c r="Q158" i="6" s="1"/>
  <c r="Q159" i="6" s="1"/>
  <c r="Q160" i="6" s="1"/>
  <c r="Q161" i="6" s="1"/>
  <c r="Q162" i="6" s="1"/>
  <c r="Q163" i="6" s="1"/>
  <c r="Q164" i="6" s="1"/>
  <c r="Q165" i="6" s="1"/>
  <c r="Q166" i="6" s="1"/>
  <c r="Q167" i="6" s="1"/>
  <c r="Q168" i="6" s="1"/>
  <c r="Q169" i="6" s="1"/>
  <c r="Q170" i="6" s="1"/>
  <c r="Q171" i="6" s="1"/>
  <c r="Q172" i="6" s="1"/>
  <c r="Q173" i="6" s="1"/>
  <c r="Q174" i="6" s="1"/>
  <c r="Q175" i="6" s="1"/>
  <c r="Q176" i="6" s="1"/>
  <c r="Q177" i="6" s="1"/>
  <c r="Q178" i="6" s="1"/>
  <c r="Q179" i="6" s="1"/>
  <c r="Q180" i="6" s="1"/>
  <c r="Q181" i="6" s="1"/>
  <c r="Q182" i="6" s="1"/>
  <c r="Q183" i="6" s="1"/>
  <c r="Q184" i="6" s="1"/>
  <c r="Q185" i="6" s="1"/>
  <c r="Q186" i="6" s="1"/>
  <c r="Q187" i="6" s="1"/>
  <c r="Q188" i="6" s="1"/>
  <c r="Q189" i="6" s="1"/>
  <c r="Q190" i="6" s="1"/>
  <c r="Q191" i="6" s="1"/>
  <c r="Q192" i="6" s="1"/>
  <c r="Q193" i="6" s="1"/>
  <c r="Q194" i="6" s="1"/>
  <c r="Q195" i="6" s="1"/>
  <c r="Q196" i="6" s="1"/>
  <c r="Q197" i="6" s="1"/>
  <c r="Q198" i="6" s="1"/>
  <c r="Q199" i="6" s="1"/>
  <c r="Q200" i="6" s="1"/>
  <c r="Q201" i="6" s="1"/>
  <c r="Q202" i="6" s="1"/>
  <c r="Q203" i="6" s="1"/>
  <c r="Q204" i="6" s="1"/>
  <c r="Q205" i="6" s="1"/>
  <c r="Q206" i="6" s="1"/>
  <c r="Q207" i="6" s="1"/>
  <c r="Q208" i="6" s="1"/>
  <c r="Q209" i="6" s="1"/>
  <c r="Q210" i="6" s="1"/>
  <c r="Q211" i="6" s="1"/>
  <c r="Q212" i="6" s="1"/>
  <c r="Q213" i="6" s="1"/>
  <c r="Q214" i="6" s="1"/>
  <c r="Q215" i="6" s="1"/>
  <c r="Q216" i="6" s="1"/>
  <c r="Q217" i="6" s="1"/>
  <c r="Q218" i="6" s="1"/>
  <c r="Q219" i="6" s="1"/>
  <c r="Q220" i="6" s="1"/>
  <c r="Q221" i="6" s="1"/>
  <c r="Q222" i="6" s="1"/>
  <c r="Q223" i="6" s="1"/>
  <c r="Q224" i="6" s="1"/>
  <c r="Q225" i="6" s="1"/>
  <c r="Q226" i="6" s="1"/>
  <c r="Q227" i="6" s="1"/>
  <c r="Q228" i="6" s="1"/>
  <c r="Q229" i="6" s="1"/>
  <c r="Q230" i="6" s="1"/>
  <c r="Q231" i="6" s="1"/>
  <c r="Q232" i="6" s="1"/>
  <c r="Q233" i="6" s="1"/>
  <c r="Q234" i="6" s="1"/>
  <c r="Q235" i="6" s="1"/>
  <c r="Q236" i="6" s="1"/>
  <c r="Q237" i="6" s="1"/>
  <c r="Q238" i="6" s="1"/>
  <c r="Q239" i="6" s="1"/>
  <c r="Q240" i="6" s="1"/>
  <c r="Q241" i="6" s="1"/>
  <c r="Q242" i="6" s="1"/>
  <c r="Q243" i="6" s="1"/>
  <c r="Q244" i="6" s="1"/>
  <c r="Q245" i="6" s="1"/>
  <c r="Q246" i="6" s="1"/>
  <c r="Q247" i="6" s="1"/>
  <c r="Q248" i="6" s="1"/>
  <c r="Q249" i="6" s="1"/>
  <c r="Q250" i="6" s="1"/>
  <c r="Q251" i="6" s="1"/>
  <c r="Q252" i="6" s="1"/>
  <c r="Q253" i="6" s="1"/>
  <c r="Q254" i="6" s="1"/>
  <c r="Q255" i="6" s="1"/>
  <c r="Q256" i="6" s="1"/>
  <c r="Q257" i="6" s="1"/>
  <c r="Q258" i="6" s="1"/>
  <c r="Q259" i="6" s="1"/>
  <c r="Q260" i="6" s="1"/>
  <c r="Q261" i="6" s="1"/>
  <c r="Q262" i="6" s="1"/>
  <c r="Q263" i="6" s="1"/>
  <c r="Q264" i="6" s="1"/>
  <c r="Q265" i="6" s="1"/>
  <c r="Q266" i="6" s="1"/>
  <c r="Q267" i="6" s="1"/>
  <c r="Q268" i="6" s="1"/>
  <c r="Q269" i="6" s="1"/>
  <c r="Q270" i="6" s="1"/>
  <c r="Q271" i="6" s="1"/>
  <c r="Q272" i="6" s="1"/>
  <c r="Q273" i="6" s="1"/>
  <c r="Q274" i="6" s="1"/>
  <c r="Q275" i="6" s="1"/>
  <c r="Q276" i="6" s="1"/>
  <c r="Q277" i="6" s="1"/>
  <c r="Q278" i="6" s="1"/>
  <c r="Q279" i="6" s="1"/>
  <c r="Q280" i="6" s="1"/>
  <c r="Q281" i="6" s="1"/>
  <c r="Q282" i="6" s="1"/>
  <c r="Q283" i="6" s="1"/>
  <c r="Q284" i="6" s="1"/>
  <c r="Q285" i="6" s="1"/>
  <c r="Q286" i="6" s="1"/>
  <c r="Q287" i="6" s="1"/>
  <c r="Q288" i="6" s="1"/>
  <c r="Q289" i="6" s="1"/>
  <c r="Q290" i="6" s="1"/>
  <c r="Q291" i="6" s="1"/>
  <c r="Q292" i="6" s="1"/>
  <c r="Q293" i="6" s="1"/>
  <c r="Q294" i="6" s="1"/>
  <c r="Q295" i="6" s="1"/>
  <c r="Q296" i="6" s="1"/>
  <c r="Q297" i="6" s="1"/>
  <c r="Q298" i="6" s="1"/>
  <c r="Q299" i="6" s="1"/>
  <c r="Q300" i="6" s="1"/>
  <c r="Q301" i="6" s="1"/>
  <c r="Q302" i="6" s="1"/>
  <c r="Q303" i="6" s="1"/>
  <c r="Q304" i="6" s="1"/>
  <c r="Q305" i="6" s="1"/>
  <c r="Q306" i="6" s="1"/>
  <c r="Q307" i="6" s="1"/>
  <c r="Q308" i="6" s="1"/>
  <c r="Q309" i="6" s="1"/>
  <c r="Q310" i="6" s="1"/>
  <c r="Q311" i="6" s="1"/>
  <c r="Q312" i="6" s="1"/>
  <c r="Q313" i="6" s="1"/>
  <c r="Q314" i="6" s="1"/>
  <c r="Q315" i="6" s="1"/>
  <c r="Q316" i="6" s="1"/>
  <c r="Q317" i="6" s="1"/>
  <c r="Q318" i="6" s="1"/>
  <c r="Q319" i="6" s="1"/>
  <c r="Q320" i="6" s="1"/>
  <c r="Q321" i="6" s="1"/>
  <c r="Q322" i="6" s="1"/>
  <c r="Q323" i="6" s="1"/>
  <c r="Q324" i="6" s="1"/>
  <c r="Q325" i="6" s="1"/>
  <c r="Q326" i="6" s="1"/>
  <c r="Q327" i="6" s="1"/>
  <c r="Q328" i="6" s="1"/>
  <c r="Q329" i="6" s="1"/>
  <c r="Q330" i="6" s="1"/>
  <c r="Q331" i="6" s="1"/>
  <c r="Q332" i="6" s="1"/>
  <c r="Q333" i="6" s="1"/>
  <c r="Q334" i="6" s="1"/>
  <c r="Q335" i="6" s="1"/>
  <c r="Q336" i="6" s="1"/>
  <c r="Q337" i="6" s="1"/>
  <c r="Q338" i="6" s="1"/>
  <c r="Q339" i="6" s="1"/>
  <c r="Q340" i="6" s="1"/>
  <c r="Q341" i="6" s="1"/>
  <c r="Q342" i="6" s="1"/>
  <c r="Q343" i="6" s="1"/>
  <c r="Q344" i="6" s="1"/>
  <c r="Q345" i="6" s="1"/>
  <c r="Q346" i="6" s="1"/>
  <c r="Q347" i="6" s="1"/>
  <c r="Q348" i="6" s="1"/>
  <c r="Q349" i="6" s="1"/>
  <c r="Q350" i="6" s="1"/>
  <c r="Q351" i="6" s="1"/>
  <c r="Q352" i="6" s="1"/>
  <c r="Q353" i="6" s="1"/>
  <c r="Q354" i="6" s="1"/>
  <c r="Q355" i="6" s="1"/>
  <c r="Q356" i="6" s="1"/>
  <c r="Q357" i="6" s="1"/>
  <c r="Q358" i="6" s="1"/>
  <c r="Q359" i="6" s="1"/>
  <c r="Q360" i="6" s="1"/>
  <c r="Q361" i="6" s="1"/>
  <c r="Q362" i="6" s="1"/>
  <c r="Q363" i="6" s="1"/>
  <c r="Q364" i="6" s="1"/>
  <c r="Q365" i="6" s="1"/>
  <c r="Q366" i="6" s="1"/>
  <c r="Q367" i="6" s="1"/>
  <c r="Q368" i="6" s="1"/>
  <c r="Q369" i="6" s="1"/>
  <c r="Q370" i="6" s="1"/>
  <c r="Q371" i="6" s="1"/>
  <c r="Q372" i="6" s="1"/>
  <c r="Q373" i="6" s="1"/>
  <c r="Q374" i="6" s="1"/>
  <c r="Q375" i="6" s="1"/>
  <c r="Q376" i="6" s="1"/>
  <c r="Q377" i="6" s="1"/>
  <c r="Q378" i="6" s="1"/>
  <c r="Q379" i="6" s="1"/>
  <c r="Q380" i="6" s="1"/>
  <c r="Q381" i="6" s="1"/>
  <c r="Q382" i="6" s="1"/>
  <c r="Q383" i="6" s="1"/>
  <c r="Q384" i="6" s="1"/>
  <c r="Q385" i="6" s="1"/>
  <c r="Q386" i="6" s="1"/>
  <c r="Q387" i="6" s="1"/>
  <c r="Q388" i="6" s="1"/>
  <c r="Q389" i="6" s="1"/>
  <c r="Q390" i="6" s="1"/>
  <c r="Q391" i="6" s="1"/>
  <c r="Q392" i="6" s="1"/>
  <c r="Q393" i="6" s="1"/>
  <c r="Q394" i="6" s="1"/>
  <c r="Q395" i="6" s="1"/>
  <c r="Q396" i="6" s="1"/>
  <c r="Q397" i="6" s="1"/>
  <c r="Q398" i="6" s="1"/>
  <c r="Q399" i="6" s="1"/>
  <c r="Q400" i="6" s="1"/>
  <c r="Q401" i="6" s="1"/>
  <c r="Q402" i="6" s="1"/>
  <c r="Q403" i="6" s="1"/>
  <c r="Q404" i="6" s="1"/>
  <c r="Q405" i="6" s="1"/>
  <c r="Q406" i="6" s="1"/>
  <c r="Q407" i="6" s="1"/>
  <c r="Q408" i="6" s="1"/>
  <c r="Q409" i="6" s="1"/>
  <c r="Q410" i="6" s="1"/>
  <c r="Q411" i="6" s="1"/>
  <c r="Q412" i="6" s="1"/>
  <c r="Q413" i="6" s="1"/>
  <c r="Q414" i="6" s="1"/>
  <c r="Q415" i="6" s="1"/>
  <c r="Q416" i="6" s="1"/>
  <c r="Q417" i="6" s="1"/>
  <c r="Q427" i="6" s="1"/>
  <c r="P528" i="1"/>
  <c r="P1196" i="1"/>
  <c r="Q1176" i="1"/>
  <c r="Q1177" i="1" s="1"/>
  <c r="Q1178" i="1" s="1"/>
  <c r="Q1179" i="1" s="1"/>
  <c r="Q1180" i="1" s="1"/>
  <c r="Q1181" i="1" s="1"/>
  <c r="Q1182" i="1" s="1"/>
  <c r="Q1183" i="1" s="1"/>
  <c r="Q1184" i="1" s="1"/>
  <c r="Q1185" i="1" s="1"/>
  <c r="Q1186" i="1" s="1"/>
  <c r="Q1187" i="1" s="1"/>
  <c r="Q1188" i="1" s="1"/>
  <c r="Q1189" i="1" s="1"/>
  <c r="Q1190" i="1" s="1"/>
  <c r="Q1191" i="1" s="1"/>
  <c r="Q1192" i="1" s="1"/>
  <c r="Q1193" i="1" s="1"/>
  <c r="Q1194" i="1" s="1"/>
  <c r="Q1195" i="1" s="1"/>
  <c r="Q1196" i="1" s="1"/>
  <c r="P1174" i="1"/>
  <c r="Q1171" i="1"/>
  <c r="Q1172" i="1" s="1"/>
  <c r="Q1173" i="1" s="1"/>
  <c r="Q1174" i="1" s="1"/>
  <c r="P1169" i="1"/>
  <c r="Q1164" i="1"/>
  <c r="Q1165" i="1" s="1"/>
  <c r="Q1166" i="1" s="1"/>
  <c r="Q1167" i="1" s="1"/>
  <c r="Q1168" i="1" s="1"/>
  <c r="Q1169" i="1" s="1"/>
  <c r="P1162" i="1"/>
  <c r="Q1159" i="1"/>
  <c r="Q1160" i="1" s="1"/>
  <c r="Q1161" i="1" s="1"/>
  <c r="Q1162" i="1" s="1"/>
  <c r="P1157" i="1"/>
  <c r="Q1148" i="1"/>
  <c r="Q1149" i="1" s="1"/>
  <c r="Q1150" i="1" s="1"/>
  <c r="Q1151" i="1" s="1"/>
  <c r="Q1152" i="1" s="1"/>
  <c r="Q1153" i="1" s="1"/>
  <c r="Q1154" i="1" s="1"/>
  <c r="Q1155" i="1" s="1"/>
  <c r="Q1156" i="1" s="1"/>
  <c r="Q1157" i="1" s="1"/>
  <c r="P1146" i="1"/>
  <c r="Q1143" i="1"/>
  <c r="Q1144" i="1" s="1"/>
  <c r="Q1145" i="1" s="1"/>
  <c r="Q1146" i="1" s="1"/>
  <c r="P1141" i="1"/>
  <c r="Q1139" i="1"/>
  <c r="Q1140" i="1" s="1"/>
  <c r="Q1141" i="1" s="1"/>
  <c r="P1137" i="1"/>
  <c r="Q697" i="1"/>
  <c r="Q698" i="1" s="1"/>
  <c r="Q699" i="1" s="1"/>
  <c r="Q700" i="1" s="1"/>
  <c r="Q701" i="1" s="1"/>
  <c r="Q702" i="1" s="1"/>
  <c r="Q703" i="1" s="1"/>
  <c r="Q704" i="1" s="1"/>
  <c r="Q705" i="1" s="1"/>
  <c r="Q706" i="1" s="1"/>
  <c r="Q707" i="1" s="1"/>
  <c r="Q708" i="1" s="1"/>
  <c r="Q709" i="1" s="1"/>
  <c r="Q710" i="1" s="1"/>
  <c r="Q711" i="1" s="1"/>
  <c r="Q712" i="1" s="1"/>
  <c r="Q713" i="1" s="1"/>
  <c r="Q714" i="1" s="1"/>
  <c r="Q715" i="1" s="1"/>
  <c r="Q716" i="1" s="1"/>
  <c r="Q717" i="1" s="1"/>
  <c r="Q718" i="1" s="1"/>
  <c r="Q719" i="1" s="1"/>
  <c r="Q720" i="1" s="1"/>
  <c r="Q721" i="1" s="1"/>
  <c r="Q722" i="1" s="1"/>
  <c r="Q723" i="1" s="1"/>
  <c r="Q724" i="1" s="1"/>
  <c r="Q725" i="1" s="1"/>
  <c r="Q726" i="1" s="1"/>
  <c r="Q727" i="1" s="1"/>
  <c r="Q728" i="1" s="1"/>
  <c r="Q729" i="1" s="1"/>
  <c r="Q730" i="1" s="1"/>
  <c r="Q731" i="1" s="1"/>
  <c r="Q732" i="1" s="1"/>
  <c r="Q733" i="1" s="1"/>
  <c r="Q734" i="1" s="1"/>
  <c r="Q735" i="1" s="1"/>
  <c r="Q736" i="1" s="1"/>
  <c r="Q737" i="1" s="1"/>
  <c r="Q738" i="1" s="1"/>
  <c r="Q739" i="1" s="1"/>
  <c r="Q740" i="1" s="1"/>
  <c r="Q741" i="1" s="1"/>
  <c r="Q742" i="1" s="1"/>
  <c r="Q743" i="1" s="1"/>
  <c r="Q744" i="1" s="1"/>
  <c r="Q745" i="1" s="1"/>
  <c r="Q746" i="1" s="1"/>
  <c r="Q747" i="1" s="1"/>
  <c r="Q748" i="1" s="1"/>
  <c r="Q749" i="1" s="1"/>
  <c r="Q750" i="1" s="1"/>
  <c r="Q751" i="1" s="1"/>
  <c r="Q752" i="1" s="1"/>
  <c r="Q753" i="1" s="1"/>
  <c r="Q754" i="1" s="1"/>
  <c r="Q755" i="1" s="1"/>
  <c r="Q756" i="1" s="1"/>
  <c r="Q757" i="1" s="1"/>
  <c r="Q758" i="1" s="1"/>
  <c r="Q759" i="1" s="1"/>
  <c r="Q760" i="1" s="1"/>
  <c r="Q761" i="1" s="1"/>
  <c r="Q762" i="1" s="1"/>
  <c r="Q763" i="1" s="1"/>
  <c r="Q764" i="1" s="1"/>
  <c r="Q765" i="1" s="1"/>
  <c r="Q766" i="1" s="1"/>
  <c r="Q767" i="1" s="1"/>
  <c r="Q768" i="1" s="1"/>
  <c r="Q769" i="1" s="1"/>
  <c r="Q770" i="1" s="1"/>
  <c r="Q771" i="1" s="1"/>
  <c r="Q772" i="1" s="1"/>
  <c r="Q773" i="1" s="1"/>
  <c r="Q774" i="1" s="1"/>
  <c r="Q775" i="1" s="1"/>
  <c r="Q776" i="1" s="1"/>
  <c r="Q777" i="1" s="1"/>
  <c r="Q778" i="1" s="1"/>
  <c r="Q779" i="1" s="1"/>
  <c r="Q780" i="1" s="1"/>
  <c r="Q781" i="1" s="1"/>
  <c r="Q782" i="1" s="1"/>
  <c r="Q783" i="1" s="1"/>
  <c r="Q784" i="1" s="1"/>
  <c r="Q785" i="1" s="1"/>
  <c r="Q786" i="1" s="1"/>
  <c r="Q787" i="1" s="1"/>
  <c r="Q788" i="1" s="1"/>
  <c r="Q789" i="1" s="1"/>
  <c r="Q790" i="1" s="1"/>
  <c r="Q791" i="1" s="1"/>
  <c r="Q792" i="1" s="1"/>
  <c r="Q793" i="1" s="1"/>
  <c r="Q794" i="1" s="1"/>
  <c r="Q795" i="1" s="1"/>
  <c r="Q796" i="1" s="1"/>
  <c r="Q797" i="1" s="1"/>
  <c r="Q798" i="1" s="1"/>
  <c r="Q799" i="1" s="1"/>
  <c r="Q800" i="1" s="1"/>
  <c r="Q801" i="1" s="1"/>
  <c r="Q802" i="1" s="1"/>
  <c r="Q803" i="1" s="1"/>
  <c r="Q804" i="1" s="1"/>
  <c r="Q805" i="1" s="1"/>
  <c r="Q806" i="1" s="1"/>
  <c r="Q807" i="1" s="1"/>
  <c r="Q808" i="1" s="1"/>
  <c r="Q809" i="1" s="1"/>
  <c r="Q810" i="1" s="1"/>
  <c r="Q811" i="1" s="1"/>
  <c r="Q812" i="1" s="1"/>
  <c r="Q813" i="1" s="1"/>
  <c r="Q814" i="1" s="1"/>
  <c r="Q815" i="1" s="1"/>
  <c r="Q816" i="1" s="1"/>
  <c r="Q817" i="1" s="1"/>
  <c r="Q818" i="1" s="1"/>
  <c r="Q819" i="1" s="1"/>
  <c r="Q820" i="1" s="1"/>
  <c r="Q821" i="1" s="1"/>
  <c r="Q822" i="1" s="1"/>
  <c r="Q823" i="1" s="1"/>
  <c r="Q824" i="1" s="1"/>
  <c r="Q825" i="1" s="1"/>
  <c r="Q826" i="1" s="1"/>
  <c r="Q827" i="1" s="1"/>
  <c r="Q828" i="1" s="1"/>
  <c r="Q829" i="1" s="1"/>
  <c r="Q830" i="1" s="1"/>
  <c r="Q831" i="1" s="1"/>
  <c r="Q832" i="1" s="1"/>
  <c r="Q833" i="1" s="1"/>
  <c r="Q834" i="1" s="1"/>
  <c r="Q835" i="1" s="1"/>
  <c r="Q836" i="1" s="1"/>
  <c r="Q837" i="1" s="1"/>
  <c r="Q838" i="1" s="1"/>
  <c r="Q839" i="1" s="1"/>
  <c r="Q840" i="1" s="1"/>
  <c r="Q841" i="1" s="1"/>
  <c r="Q842" i="1" s="1"/>
  <c r="Q843" i="1" s="1"/>
  <c r="Q844" i="1" s="1"/>
  <c r="Q845" i="1" s="1"/>
  <c r="Q846" i="1" s="1"/>
  <c r="Q847" i="1" s="1"/>
  <c r="Q848" i="1" s="1"/>
  <c r="Q849" i="1" s="1"/>
  <c r="Q850" i="1" s="1"/>
  <c r="Q851" i="1" s="1"/>
  <c r="Q852" i="1" s="1"/>
  <c r="Q853" i="1" s="1"/>
  <c r="Q854" i="1" s="1"/>
  <c r="Q855" i="1" s="1"/>
  <c r="Q856" i="1" s="1"/>
  <c r="Q857" i="1" s="1"/>
  <c r="Q858" i="1" s="1"/>
  <c r="Q859" i="1" s="1"/>
  <c r="Q860" i="1" s="1"/>
  <c r="Q861" i="1" s="1"/>
  <c r="Q862" i="1" s="1"/>
  <c r="Q863" i="1" s="1"/>
  <c r="Q864" i="1" s="1"/>
  <c r="Q865" i="1" s="1"/>
  <c r="Q866" i="1" s="1"/>
  <c r="Q867" i="1" s="1"/>
  <c r="Q868" i="1" s="1"/>
  <c r="Q869" i="1" s="1"/>
  <c r="Q870" i="1" s="1"/>
  <c r="Q871" i="1" s="1"/>
  <c r="Q872" i="1" s="1"/>
  <c r="Q873" i="1" s="1"/>
  <c r="Q874" i="1" s="1"/>
  <c r="Q875" i="1" s="1"/>
  <c r="Q876" i="1" s="1"/>
  <c r="Q877" i="1" s="1"/>
  <c r="Q878" i="1" s="1"/>
  <c r="Q879" i="1" s="1"/>
  <c r="Q880" i="1" s="1"/>
  <c r="Q881" i="1" s="1"/>
  <c r="Q882" i="1" s="1"/>
  <c r="Q883" i="1" s="1"/>
  <c r="Q884" i="1" s="1"/>
  <c r="Q885" i="1" s="1"/>
  <c r="Q886" i="1" s="1"/>
  <c r="Q887" i="1" s="1"/>
  <c r="Q888" i="1" s="1"/>
  <c r="Q889" i="1" s="1"/>
  <c r="Q890" i="1" s="1"/>
  <c r="Q891" i="1" s="1"/>
  <c r="Q892" i="1" s="1"/>
  <c r="Q893" i="1" s="1"/>
  <c r="Q894" i="1" s="1"/>
  <c r="Q895" i="1" s="1"/>
  <c r="Q896" i="1" s="1"/>
  <c r="Q897" i="1" s="1"/>
  <c r="Q898" i="1" s="1"/>
  <c r="Q899" i="1" s="1"/>
  <c r="Q900" i="1" s="1"/>
  <c r="Q901" i="1" s="1"/>
  <c r="Q902" i="1" s="1"/>
  <c r="Q903" i="1" s="1"/>
  <c r="Q904" i="1" s="1"/>
  <c r="Q905" i="1" s="1"/>
  <c r="Q906" i="1" s="1"/>
  <c r="Q907" i="1" s="1"/>
  <c r="Q908" i="1" s="1"/>
  <c r="Q909" i="1" s="1"/>
  <c r="Q910" i="1" s="1"/>
  <c r="Q911" i="1" s="1"/>
  <c r="Q912" i="1" s="1"/>
  <c r="Q913" i="1" s="1"/>
  <c r="Q914" i="1" s="1"/>
  <c r="Q915" i="1" s="1"/>
  <c r="Q916" i="1" s="1"/>
  <c r="Q917" i="1" s="1"/>
  <c r="Q918" i="1" s="1"/>
  <c r="Q919" i="1" s="1"/>
  <c r="Q920" i="1" s="1"/>
  <c r="Q921" i="1" s="1"/>
  <c r="Q922" i="1" s="1"/>
  <c r="Q923" i="1" s="1"/>
  <c r="Q924" i="1" s="1"/>
  <c r="Q925" i="1" s="1"/>
  <c r="Q926" i="1" s="1"/>
  <c r="Q927" i="1" s="1"/>
  <c r="Q928" i="1" s="1"/>
  <c r="Q929" i="1" s="1"/>
  <c r="Q930" i="1" s="1"/>
  <c r="Q931" i="1" s="1"/>
  <c r="Q932" i="1" s="1"/>
  <c r="Q933" i="1" s="1"/>
  <c r="Q934" i="1" s="1"/>
  <c r="Q935" i="1" s="1"/>
  <c r="Q936" i="1" s="1"/>
  <c r="Q937" i="1" s="1"/>
  <c r="Q938" i="1" s="1"/>
  <c r="Q939" i="1" s="1"/>
  <c r="Q940" i="1" s="1"/>
  <c r="Q941" i="1" s="1"/>
  <c r="Q942" i="1" s="1"/>
  <c r="Q943" i="1" s="1"/>
  <c r="Q944" i="1" s="1"/>
  <c r="Q945" i="1" s="1"/>
  <c r="Q946" i="1" s="1"/>
  <c r="Q947" i="1" s="1"/>
  <c r="Q948" i="1" s="1"/>
  <c r="Q949" i="1" s="1"/>
  <c r="Q950" i="1" s="1"/>
  <c r="Q951" i="1" s="1"/>
  <c r="Q952" i="1" s="1"/>
  <c r="Q953" i="1" s="1"/>
  <c r="Q954" i="1" s="1"/>
  <c r="Q955" i="1" s="1"/>
  <c r="Q956" i="1" s="1"/>
  <c r="Q957" i="1" s="1"/>
  <c r="Q958" i="1" s="1"/>
  <c r="Q959" i="1" s="1"/>
  <c r="Q960" i="1" s="1"/>
  <c r="Q961" i="1" s="1"/>
  <c r="Q962" i="1" s="1"/>
  <c r="Q963" i="1" s="1"/>
  <c r="Q964" i="1" s="1"/>
  <c r="Q965" i="1" s="1"/>
  <c r="Q966" i="1" s="1"/>
  <c r="Q967" i="1" s="1"/>
  <c r="Q968" i="1" s="1"/>
  <c r="Q969" i="1" s="1"/>
  <c r="Q970" i="1" s="1"/>
  <c r="Q971" i="1" s="1"/>
  <c r="Q972" i="1" s="1"/>
  <c r="Q973" i="1" s="1"/>
  <c r="Q974" i="1" s="1"/>
  <c r="Q975" i="1" s="1"/>
  <c r="Q976" i="1" s="1"/>
  <c r="Q977" i="1" s="1"/>
  <c r="Q978" i="1" s="1"/>
  <c r="Q979" i="1" s="1"/>
  <c r="Q980" i="1" s="1"/>
  <c r="Q981" i="1" s="1"/>
  <c r="Q982" i="1" s="1"/>
  <c r="Q983" i="1" s="1"/>
  <c r="Q984" i="1" s="1"/>
  <c r="Q985" i="1" s="1"/>
  <c r="Q986" i="1" s="1"/>
  <c r="Q987" i="1" s="1"/>
  <c r="Q988" i="1" s="1"/>
  <c r="Q989" i="1" s="1"/>
  <c r="Q990" i="1" s="1"/>
  <c r="Q991" i="1" s="1"/>
  <c r="Q992" i="1" s="1"/>
  <c r="Q993" i="1" s="1"/>
  <c r="Q994" i="1" s="1"/>
  <c r="Q995" i="1" s="1"/>
  <c r="Q996" i="1" s="1"/>
  <c r="Q997" i="1" s="1"/>
  <c r="Q998" i="1" s="1"/>
  <c r="Q999" i="1" s="1"/>
  <c r="Q1000" i="1" s="1"/>
  <c r="Q1001" i="1" s="1"/>
  <c r="Q1002" i="1" s="1"/>
  <c r="Q1003" i="1" s="1"/>
  <c r="Q1004" i="1" s="1"/>
  <c r="Q1005" i="1" s="1"/>
  <c r="Q1006" i="1" s="1"/>
  <c r="Q1007" i="1" s="1"/>
  <c r="Q1008" i="1" s="1"/>
  <c r="Q1009" i="1" s="1"/>
  <c r="Q1010" i="1" s="1"/>
  <c r="Q1011" i="1" s="1"/>
  <c r="Q1012" i="1" s="1"/>
  <c r="Q1013" i="1" s="1"/>
  <c r="Q1014" i="1" s="1"/>
  <c r="Q1015" i="1" s="1"/>
  <c r="Q1016" i="1" s="1"/>
  <c r="Q1017" i="1" s="1"/>
  <c r="Q1018" i="1" s="1"/>
  <c r="Q1019" i="1" s="1"/>
  <c r="Q1020" i="1" s="1"/>
  <c r="Q1021" i="1" s="1"/>
  <c r="Q1022" i="1" s="1"/>
  <c r="Q1023" i="1" s="1"/>
  <c r="Q1024" i="1" s="1"/>
  <c r="Q1025" i="1" s="1"/>
  <c r="Q1026" i="1" s="1"/>
  <c r="Q1027" i="1" s="1"/>
  <c r="Q1028" i="1" s="1"/>
  <c r="Q1029" i="1" s="1"/>
  <c r="Q1030" i="1" s="1"/>
  <c r="Q1031" i="1" s="1"/>
  <c r="Q1032" i="1" s="1"/>
  <c r="Q1033" i="1" s="1"/>
  <c r="Q1034" i="1" s="1"/>
  <c r="Q1035" i="1" s="1"/>
  <c r="Q1036" i="1" s="1"/>
  <c r="Q1037" i="1" s="1"/>
  <c r="Q1038" i="1" s="1"/>
  <c r="Q1039" i="1" s="1"/>
  <c r="Q1040" i="1" s="1"/>
  <c r="Q1041" i="1" s="1"/>
  <c r="Q1042" i="1" s="1"/>
  <c r="Q1043" i="1" s="1"/>
  <c r="Q1044" i="1" s="1"/>
  <c r="Q1045" i="1" s="1"/>
  <c r="Q1046" i="1" s="1"/>
  <c r="Q1047" i="1" s="1"/>
  <c r="Q1048" i="1" s="1"/>
  <c r="Q1049" i="1" s="1"/>
  <c r="Q1050" i="1" s="1"/>
  <c r="Q1051" i="1" s="1"/>
  <c r="Q1052" i="1" s="1"/>
  <c r="Q1053" i="1" s="1"/>
  <c r="Q1054" i="1" s="1"/>
  <c r="Q1055" i="1" s="1"/>
  <c r="Q1056" i="1" s="1"/>
  <c r="Q1057" i="1" s="1"/>
  <c r="Q1058" i="1" s="1"/>
  <c r="Q1059" i="1" s="1"/>
  <c r="Q1060" i="1" s="1"/>
  <c r="Q1061" i="1" s="1"/>
  <c r="Q1062" i="1" s="1"/>
  <c r="Q1063" i="1" s="1"/>
  <c r="Q1064" i="1" s="1"/>
  <c r="Q1065" i="1" s="1"/>
  <c r="Q1066" i="1" s="1"/>
  <c r="Q1067" i="1" s="1"/>
  <c r="Q1068" i="1" s="1"/>
  <c r="Q1069" i="1" s="1"/>
  <c r="Q1070" i="1" s="1"/>
  <c r="Q1071" i="1" s="1"/>
  <c r="Q1072" i="1" s="1"/>
  <c r="Q1073" i="1" s="1"/>
  <c r="Q1074" i="1" s="1"/>
  <c r="Q1075" i="1" s="1"/>
  <c r="Q1076" i="1" s="1"/>
  <c r="Q1077" i="1" s="1"/>
  <c r="Q1078" i="1" s="1"/>
  <c r="Q1079" i="1" s="1"/>
  <c r="Q1080" i="1" s="1"/>
  <c r="Q1081" i="1" s="1"/>
  <c r="Q1082" i="1" s="1"/>
  <c r="Q1083" i="1" s="1"/>
  <c r="Q1084" i="1" s="1"/>
  <c r="Q1085" i="1" s="1"/>
  <c r="Q1086" i="1" s="1"/>
  <c r="Q1087" i="1" s="1"/>
  <c r="Q1088" i="1" s="1"/>
  <c r="Q1089" i="1" s="1"/>
  <c r="Q1090" i="1" s="1"/>
  <c r="Q1091" i="1" s="1"/>
  <c r="Q1092" i="1" s="1"/>
  <c r="Q1093" i="1" s="1"/>
  <c r="Q1094" i="1" s="1"/>
  <c r="Q1095" i="1" s="1"/>
  <c r="Q1096" i="1" s="1"/>
  <c r="Q1097" i="1" s="1"/>
  <c r="Q1098" i="1" s="1"/>
  <c r="Q1099" i="1" s="1"/>
  <c r="Q1100" i="1" s="1"/>
  <c r="Q1101" i="1" s="1"/>
  <c r="Q1102" i="1" s="1"/>
  <c r="Q1103" i="1" s="1"/>
  <c r="Q1104" i="1" s="1"/>
  <c r="Q1105" i="1" s="1"/>
  <c r="Q1106" i="1" s="1"/>
  <c r="Q1107" i="1" s="1"/>
  <c r="Q1108" i="1" s="1"/>
  <c r="Q1109" i="1" s="1"/>
  <c r="Q1110" i="1" s="1"/>
  <c r="Q1111" i="1" s="1"/>
  <c r="Q1112" i="1" s="1"/>
  <c r="Q1113" i="1" s="1"/>
  <c r="Q1114" i="1" s="1"/>
  <c r="Q1115" i="1" s="1"/>
  <c r="Q1116" i="1" s="1"/>
  <c r="Q1117" i="1" s="1"/>
  <c r="Q1118" i="1" s="1"/>
  <c r="Q1119" i="1" s="1"/>
  <c r="Q1120" i="1" s="1"/>
  <c r="Q1121" i="1" s="1"/>
  <c r="Q1122" i="1" s="1"/>
  <c r="Q1123" i="1" s="1"/>
  <c r="Q1124" i="1" s="1"/>
  <c r="Q1125" i="1" s="1"/>
  <c r="Q1126" i="1" s="1"/>
  <c r="Q1127" i="1" s="1"/>
  <c r="Q1128" i="1" s="1"/>
  <c r="Q1129" i="1" s="1"/>
  <c r="Q1130" i="1" s="1"/>
  <c r="Q1131" i="1" s="1"/>
  <c r="Q1132" i="1" s="1"/>
  <c r="Q1133" i="1" s="1"/>
  <c r="Q1134" i="1" s="1"/>
  <c r="Q1135" i="1" s="1"/>
  <c r="Q1136" i="1" s="1"/>
  <c r="Q1137" i="1" s="1"/>
  <c r="P695" i="1"/>
  <c r="Q668" i="1"/>
  <c r="Q669" i="1" s="1"/>
  <c r="Q670" i="1" s="1"/>
  <c r="Q671" i="1" s="1"/>
  <c r="Q672" i="1" s="1"/>
  <c r="Q673" i="1" s="1"/>
  <c r="Q674" i="1" s="1"/>
  <c r="Q675" i="1" s="1"/>
  <c r="Q676" i="1" s="1"/>
  <c r="Q677" i="1" s="1"/>
  <c r="Q678" i="1" s="1"/>
  <c r="Q679" i="1" s="1"/>
  <c r="Q680" i="1" s="1"/>
  <c r="Q681" i="1" s="1"/>
  <c r="Q682" i="1" s="1"/>
  <c r="Q683" i="1" s="1"/>
  <c r="Q684" i="1" s="1"/>
  <c r="Q685" i="1" s="1"/>
  <c r="Q686" i="1" s="1"/>
  <c r="Q687" i="1" s="1"/>
  <c r="Q688" i="1" s="1"/>
  <c r="Q689" i="1" s="1"/>
  <c r="Q690" i="1" s="1"/>
  <c r="Q691" i="1" s="1"/>
  <c r="Q692" i="1" s="1"/>
  <c r="Q693" i="1" s="1"/>
  <c r="Q694" i="1" s="1"/>
  <c r="Q695" i="1" s="1"/>
  <c r="P666" i="1"/>
  <c r="Q654" i="1"/>
  <c r="Q655" i="1" s="1"/>
  <c r="Q656" i="1" s="1"/>
  <c r="Q657" i="1" s="1"/>
  <c r="Q658" i="1" s="1"/>
  <c r="Q659" i="1" s="1"/>
  <c r="Q660" i="1" s="1"/>
  <c r="Q661" i="1" s="1"/>
  <c r="Q662" i="1" s="1"/>
  <c r="Q663" i="1" s="1"/>
  <c r="Q664" i="1" s="1"/>
  <c r="Q665" i="1" s="1"/>
  <c r="Q666" i="1" s="1"/>
  <c r="P652" i="1"/>
  <c r="Q643" i="1"/>
  <c r="Q644" i="1" s="1"/>
  <c r="Q645" i="1" s="1"/>
  <c r="Q646" i="1" s="1"/>
  <c r="Q647" i="1" s="1"/>
  <c r="Q648" i="1" s="1"/>
  <c r="Q649" i="1" s="1"/>
  <c r="Q650" i="1" s="1"/>
  <c r="Q651" i="1" s="1"/>
  <c r="Q652" i="1" s="1"/>
  <c r="P641" i="1"/>
  <c r="Q640" i="1"/>
  <c r="Q641" i="1" s="1"/>
  <c r="P638" i="1"/>
  <c r="Q628" i="1"/>
  <c r="Q629" i="1" s="1"/>
  <c r="Q630" i="1" s="1"/>
  <c r="Q631" i="1" s="1"/>
  <c r="Q632" i="1" s="1"/>
  <c r="Q633" i="1" s="1"/>
  <c r="Q634" i="1" s="1"/>
  <c r="Q635" i="1" s="1"/>
  <c r="Q636" i="1" s="1"/>
  <c r="Q637" i="1" s="1"/>
  <c r="Q638" i="1" s="1"/>
  <c r="P626" i="1"/>
  <c r="Q619" i="1"/>
  <c r="Q620" i="1" s="1"/>
  <c r="Q621" i="1" s="1"/>
  <c r="Q622" i="1" s="1"/>
  <c r="Q623" i="1" s="1"/>
  <c r="Q624" i="1" s="1"/>
  <c r="Q625" i="1" s="1"/>
  <c r="Q626" i="1" s="1"/>
  <c r="P617" i="1"/>
  <c r="Q609" i="1"/>
  <c r="Q610" i="1" s="1"/>
  <c r="Q611" i="1" s="1"/>
  <c r="Q612" i="1" s="1"/>
  <c r="Q613" i="1" s="1"/>
  <c r="Q614" i="1" s="1"/>
  <c r="Q615" i="1" s="1"/>
  <c r="Q616" i="1" s="1"/>
  <c r="Q617" i="1" s="1"/>
  <c r="P607" i="1"/>
  <c r="Q606" i="1"/>
  <c r="Q607" i="1" s="1"/>
  <c r="P604" i="1"/>
  <c r="Q601" i="1"/>
  <c r="Q602" i="1" s="1"/>
  <c r="Q603" i="1" s="1"/>
  <c r="Q604" i="1" s="1"/>
  <c r="P599" i="1"/>
  <c r="Q597" i="1"/>
  <c r="Q598" i="1" s="1"/>
  <c r="Q599" i="1" s="1"/>
  <c r="P595" i="1"/>
  <c r="Q581" i="1"/>
  <c r="Q582" i="1" s="1"/>
  <c r="Q583" i="1" s="1"/>
  <c r="Q584" i="1" s="1"/>
  <c r="Q585" i="1" s="1"/>
  <c r="Q586" i="1" s="1"/>
  <c r="Q587" i="1" s="1"/>
  <c r="Q588" i="1" s="1"/>
  <c r="Q589" i="1" s="1"/>
  <c r="Q590" i="1" s="1"/>
  <c r="Q591" i="1" s="1"/>
  <c r="Q592" i="1" s="1"/>
  <c r="Q593" i="1" s="1"/>
  <c r="Q594" i="1" s="1"/>
  <c r="Q595" i="1" s="1"/>
  <c r="P579" i="1"/>
  <c r="Q557" i="1"/>
  <c r="Q558" i="1" s="1"/>
  <c r="Q559" i="1" s="1"/>
  <c r="Q560" i="1" s="1"/>
  <c r="Q561" i="1" s="1"/>
  <c r="Q562" i="1" s="1"/>
  <c r="Q563" i="1" s="1"/>
  <c r="Q564" i="1" s="1"/>
  <c r="Q565" i="1" s="1"/>
  <c r="Q566" i="1" s="1"/>
  <c r="Q567" i="1" s="1"/>
  <c r="Q568" i="1" s="1"/>
  <c r="Q569" i="1" s="1"/>
  <c r="Q570" i="1" s="1"/>
  <c r="Q571" i="1" s="1"/>
  <c r="Q572" i="1" s="1"/>
  <c r="Q573" i="1" s="1"/>
  <c r="Q574" i="1" s="1"/>
  <c r="Q575" i="1" s="1"/>
  <c r="Q576" i="1" s="1"/>
  <c r="Q577" i="1" s="1"/>
  <c r="Q578" i="1" s="1"/>
  <c r="Q579" i="1" s="1"/>
  <c r="P555" i="1"/>
  <c r="Q552" i="1"/>
  <c r="Q553" i="1" s="1"/>
  <c r="Q554" i="1" s="1"/>
  <c r="Q555" i="1" s="1"/>
  <c r="P550" i="1"/>
  <c r="Q548" i="1"/>
  <c r="Q549" i="1" s="1"/>
  <c r="Q550" i="1" s="1"/>
  <c r="P546" i="1"/>
  <c r="Q535" i="1"/>
  <c r="Q536" i="1" s="1"/>
  <c r="Q537" i="1" s="1"/>
  <c r="Q538" i="1" s="1"/>
  <c r="Q539" i="1" s="1"/>
  <c r="Q540" i="1" s="1"/>
  <c r="Q541" i="1" s="1"/>
  <c r="Q542" i="1" s="1"/>
  <c r="Q543" i="1" s="1"/>
  <c r="Q544" i="1" s="1"/>
  <c r="Q545" i="1" s="1"/>
  <c r="Q546" i="1" s="1"/>
  <c r="P533" i="1"/>
  <c r="Q531" i="1"/>
  <c r="Q532" i="1" s="1"/>
  <c r="Q533" i="1" s="1"/>
  <c r="P526" i="1"/>
  <c r="Q475" i="1"/>
  <c r="Q476" i="1" s="1"/>
  <c r="Q477" i="1" s="1"/>
  <c r="Q478" i="1" s="1"/>
  <c r="Q479" i="1" s="1"/>
  <c r="Q480" i="1" s="1"/>
  <c r="Q481" i="1" s="1"/>
  <c r="Q482" i="1" s="1"/>
  <c r="Q483" i="1" s="1"/>
  <c r="Q484" i="1" s="1"/>
  <c r="Q485" i="1" s="1"/>
  <c r="Q486" i="1" s="1"/>
  <c r="Q487" i="1" s="1"/>
  <c r="Q488" i="1" s="1"/>
  <c r="Q489" i="1" s="1"/>
  <c r="Q490" i="1" s="1"/>
  <c r="Q491" i="1" s="1"/>
  <c r="Q492" i="1" s="1"/>
  <c r="Q493" i="1" s="1"/>
  <c r="Q494" i="1" s="1"/>
  <c r="Q495" i="1" s="1"/>
  <c r="Q496" i="1" s="1"/>
  <c r="Q497" i="1" s="1"/>
  <c r="Q498" i="1" s="1"/>
  <c r="Q499" i="1" s="1"/>
  <c r="Q500" i="1" s="1"/>
  <c r="Q501" i="1" s="1"/>
  <c r="Q502" i="1" s="1"/>
  <c r="Q503" i="1" s="1"/>
  <c r="Q504" i="1" s="1"/>
  <c r="Q505" i="1" s="1"/>
  <c r="Q506" i="1" s="1"/>
  <c r="Q507" i="1" s="1"/>
  <c r="Q508" i="1" s="1"/>
  <c r="Q509" i="1" s="1"/>
  <c r="Q510" i="1" s="1"/>
  <c r="Q511" i="1" s="1"/>
  <c r="Q512" i="1" s="1"/>
  <c r="Q513" i="1" s="1"/>
  <c r="Q514" i="1" s="1"/>
  <c r="Q515" i="1" s="1"/>
  <c r="Q516" i="1" s="1"/>
  <c r="Q517" i="1" s="1"/>
  <c r="Q518" i="1" s="1"/>
  <c r="Q519" i="1" s="1"/>
  <c r="Q520" i="1" s="1"/>
  <c r="Q521" i="1" s="1"/>
  <c r="Q522" i="1" s="1"/>
  <c r="Q523" i="1" s="1"/>
  <c r="Q524" i="1" s="1"/>
  <c r="Q525" i="1" s="1"/>
  <c r="Q526" i="1" s="1"/>
  <c r="P473" i="1"/>
  <c r="P527" i="1" s="1"/>
  <c r="Q430" i="1"/>
  <c r="Q431" i="1" s="1"/>
  <c r="Q432" i="1" s="1"/>
  <c r="Q433" i="1" s="1"/>
  <c r="Q434" i="1" s="1"/>
  <c r="Q435" i="1" s="1"/>
  <c r="Q436" i="1" s="1"/>
  <c r="Q437" i="1" s="1"/>
  <c r="Q438" i="1" s="1"/>
  <c r="Q439" i="1" s="1"/>
  <c r="Q440" i="1" s="1"/>
  <c r="Q441" i="1" s="1"/>
  <c r="Q442" i="1" s="1"/>
  <c r="Q443" i="1" s="1"/>
  <c r="Q444" i="1" s="1"/>
  <c r="Q445" i="1" s="1"/>
  <c r="Q446" i="1" s="1"/>
  <c r="Q447" i="1" s="1"/>
  <c r="Q448" i="1" s="1"/>
  <c r="Q449" i="1" s="1"/>
  <c r="Q450" i="1" s="1"/>
  <c r="Q451" i="1" s="1"/>
  <c r="Q452" i="1" s="1"/>
  <c r="Q453" i="1" s="1"/>
  <c r="Q454" i="1" s="1"/>
  <c r="Q455" i="1" s="1"/>
  <c r="Q456" i="1" s="1"/>
  <c r="Q457" i="1" s="1"/>
  <c r="Q458" i="1" s="1"/>
  <c r="Q459" i="1" s="1"/>
  <c r="Q460" i="1" s="1"/>
  <c r="Q461" i="1" s="1"/>
  <c r="Q462" i="1" s="1"/>
  <c r="Q463" i="1" s="1"/>
  <c r="Q464" i="1" s="1"/>
  <c r="Q465" i="1" s="1"/>
  <c r="Q466" i="1" s="1"/>
  <c r="Q467" i="1" s="1"/>
  <c r="Q468" i="1" s="1"/>
  <c r="Q469" i="1" s="1"/>
  <c r="Q470" i="1" s="1"/>
  <c r="Q471" i="1" s="1"/>
  <c r="Q472" i="1" s="1"/>
  <c r="Q473" i="1" s="1"/>
  <c r="P426" i="1"/>
  <c r="Q425" i="1"/>
  <c r="Q426" i="1" s="1"/>
  <c r="P423" i="1"/>
  <c r="Q419" i="1"/>
  <c r="Q420" i="1" s="1"/>
  <c r="Q421" i="1" s="1"/>
  <c r="Q422" i="1" s="1"/>
  <c r="Q423" i="1" s="1"/>
  <c r="P417" i="1"/>
  <c r="Q5" i="1"/>
  <c r="Q6" i="1" s="1"/>
  <c r="Q7" i="1" s="1"/>
  <c r="Q8" i="1" s="1"/>
  <c r="Q9" i="1" s="1"/>
  <c r="Q10" i="1" s="1"/>
  <c r="Q11" i="1" s="1"/>
  <c r="Q12" i="1" s="1"/>
  <c r="Q13" i="1" s="1"/>
  <c r="Q14" i="1" s="1"/>
  <c r="Q15" i="1" s="1"/>
  <c r="Q16" i="1" s="1"/>
  <c r="Q17" i="1" s="1"/>
  <c r="Q18" i="1" s="1"/>
  <c r="Q19" i="1" s="1"/>
  <c r="Q20" i="1" s="1"/>
  <c r="Q21" i="1" s="1"/>
  <c r="Q22" i="1" s="1"/>
  <c r="Q23" i="1" s="1"/>
  <c r="Q24" i="1" s="1"/>
  <c r="Q25" i="1" s="1"/>
  <c r="Q26" i="1" s="1"/>
  <c r="Q27" i="1" s="1"/>
  <c r="Q28" i="1" s="1"/>
  <c r="Q29" i="1" s="1"/>
  <c r="Q30" i="1" s="1"/>
  <c r="Q31" i="1" s="1"/>
  <c r="Q32" i="1" s="1"/>
  <c r="Q33" i="1" s="1"/>
  <c r="Q34" i="1" s="1"/>
  <c r="Q35" i="1" s="1"/>
  <c r="Q36" i="1" s="1"/>
  <c r="Q37" i="1" s="1"/>
  <c r="Q38" i="1" s="1"/>
  <c r="Q39" i="1" s="1"/>
  <c r="Q40" i="1" s="1"/>
  <c r="Q41" i="1" s="1"/>
  <c r="Q42" i="1" s="1"/>
  <c r="Q43" i="1" s="1"/>
  <c r="Q44" i="1" s="1"/>
  <c r="Q45" i="1" s="1"/>
  <c r="Q46" i="1" s="1"/>
  <c r="Q47" i="1" s="1"/>
  <c r="Q48" i="1" s="1"/>
  <c r="Q49" i="1" s="1"/>
  <c r="Q50" i="1" s="1"/>
  <c r="Q51" i="1" s="1"/>
  <c r="Q52" i="1" s="1"/>
  <c r="Q53" i="1" s="1"/>
  <c r="Q54" i="1" s="1"/>
  <c r="Q55" i="1" s="1"/>
  <c r="Q56" i="1" s="1"/>
  <c r="Q57" i="1" s="1"/>
  <c r="Q58" i="1" s="1"/>
  <c r="Q59" i="1" s="1"/>
  <c r="Q60" i="1" s="1"/>
  <c r="Q61" i="1" s="1"/>
  <c r="Q62" i="1" s="1"/>
  <c r="Q63" i="1" s="1"/>
  <c r="Q64" i="1" s="1"/>
  <c r="Q65" i="1" s="1"/>
  <c r="Q66" i="1" s="1"/>
  <c r="Q67" i="1" s="1"/>
  <c r="Q68" i="1" s="1"/>
  <c r="Q69" i="1" s="1"/>
  <c r="Q70" i="1" s="1"/>
  <c r="Q71" i="1" s="1"/>
  <c r="Q72" i="1" s="1"/>
  <c r="Q73" i="1" s="1"/>
  <c r="Q74" i="1" s="1"/>
  <c r="Q75" i="1" s="1"/>
  <c r="Q76" i="1" s="1"/>
  <c r="Q77" i="1" s="1"/>
  <c r="Q78" i="1" s="1"/>
  <c r="Q79" i="1" s="1"/>
  <c r="Q80" i="1" s="1"/>
  <c r="Q81" i="1" s="1"/>
  <c r="Q82" i="1" s="1"/>
  <c r="Q83" i="1" s="1"/>
  <c r="Q84" i="1" s="1"/>
  <c r="Q85" i="1" s="1"/>
  <c r="Q86" i="1" s="1"/>
  <c r="Q87" i="1" s="1"/>
  <c r="Q88" i="1" s="1"/>
  <c r="Q89" i="1" s="1"/>
  <c r="Q90" i="1" s="1"/>
  <c r="Q91" i="1" s="1"/>
  <c r="Q92" i="1" s="1"/>
  <c r="Q93" i="1" s="1"/>
  <c r="Q94" i="1" s="1"/>
  <c r="Q95" i="1" s="1"/>
  <c r="Q96" i="1" s="1"/>
  <c r="Q97" i="1" s="1"/>
  <c r="Q98" i="1" s="1"/>
  <c r="Q99" i="1" s="1"/>
  <c r="Q100" i="1" s="1"/>
  <c r="Q101" i="1" s="1"/>
  <c r="Q102" i="1" s="1"/>
  <c r="Q103" i="1" s="1"/>
  <c r="Q104" i="1" s="1"/>
  <c r="Q105" i="1" s="1"/>
  <c r="Q106" i="1" s="1"/>
  <c r="Q107" i="1" s="1"/>
  <c r="Q108" i="1" s="1"/>
  <c r="Q109" i="1" s="1"/>
  <c r="Q110" i="1" s="1"/>
  <c r="Q111" i="1" s="1"/>
  <c r="Q112" i="1" s="1"/>
  <c r="Q113" i="1" s="1"/>
  <c r="Q114" i="1" s="1"/>
  <c r="Q115" i="1" s="1"/>
  <c r="Q116" i="1" s="1"/>
  <c r="Q117" i="1" s="1"/>
  <c r="Q118" i="1" s="1"/>
  <c r="Q119" i="1" s="1"/>
  <c r="Q120" i="1" s="1"/>
  <c r="Q121" i="1" s="1"/>
  <c r="Q122" i="1" s="1"/>
  <c r="Q123" i="1" s="1"/>
  <c r="Q124" i="1" s="1"/>
  <c r="Q125" i="1" s="1"/>
  <c r="Q126" i="1" s="1"/>
  <c r="Q127" i="1" s="1"/>
  <c r="Q128" i="1" s="1"/>
  <c r="Q129" i="1" s="1"/>
  <c r="Q130" i="1" s="1"/>
  <c r="Q131" i="1" s="1"/>
  <c r="Q132" i="1" s="1"/>
  <c r="Q133" i="1" s="1"/>
  <c r="Q134" i="1" s="1"/>
  <c r="Q135" i="1" s="1"/>
  <c r="Q136" i="1" s="1"/>
  <c r="Q137" i="1" s="1"/>
  <c r="Q138" i="1" s="1"/>
  <c r="Q139" i="1" s="1"/>
  <c r="Q140" i="1" s="1"/>
  <c r="Q141" i="1" s="1"/>
  <c r="Q142" i="1" s="1"/>
  <c r="Q143" i="1" s="1"/>
  <c r="Q144" i="1" s="1"/>
  <c r="Q145" i="1" s="1"/>
  <c r="Q146" i="1" s="1"/>
  <c r="Q147" i="1" s="1"/>
  <c r="Q148" i="1" s="1"/>
  <c r="Q149" i="1" s="1"/>
  <c r="Q150" i="1" s="1"/>
  <c r="Q151" i="1" s="1"/>
  <c r="Q152" i="1" s="1"/>
  <c r="Q153" i="1" s="1"/>
  <c r="Q154" i="1" s="1"/>
  <c r="Q155" i="1" s="1"/>
  <c r="Q156" i="1" s="1"/>
  <c r="Q157" i="1" s="1"/>
  <c r="Q158" i="1" s="1"/>
  <c r="Q159" i="1" s="1"/>
  <c r="Q160" i="1" s="1"/>
  <c r="Q161" i="1" s="1"/>
  <c r="Q162" i="1" s="1"/>
  <c r="Q163" i="1" s="1"/>
  <c r="Q164" i="1" s="1"/>
  <c r="Q165" i="1" s="1"/>
  <c r="Q166" i="1" s="1"/>
  <c r="Q167" i="1" s="1"/>
  <c r="Q168" i="1" s="1"/>
  <c r="Q169" i="1" s="1"/>
  <c r="Q170" i="1" s="1"/>
  <c r="Q171" i="1" s="1"/>
  <c r="Q172" i="1" s="1"/>
  <c r="Q173" i="1" s="1"/>
  <c r="Q174" i="1" s="1"/>
  <c r="Q175" i="1" s="1"/>
  <c r="Q176" i="1" s="1"/>
  <c r="Q177" i="1" s="1"/>
  <c r="Q178" i="1" s="1"/>
  <c r="Q179" i="1" s="1"/>
  <c r="Q180" i="1" s="1"/>
  <c r="Q181" i="1" s="1"/>
  <c r="Q182" i="1" s="1"/>
  <c r="Q183" i="1" s="1"/>
  <c r="Q184" i="1" s="1"/>
  <c r="Q185" i="1" s="1"/>
  <c r="Q186" i="1" s="1"/>
  <c r="Q187" i="1" s="1"/>
  <c r="Q188" i="1" s="1"/>
  <c r="Q189" i="1" s="1"/>
  <c r="Q190" i="1" s="1"/>
  <c r="Q191" i="1" s="1"/>
  <c r="Q192" i="1" s="1"/>
  <c r="Q193" i="1" s="1"/>
  <c r="Q194" i="1" s="1"/>
  <c r="Q195" i="1" s="1"/>
  <c r="Q196" i="1" s="1"/>
  <c r="Q197" i="1" s="1"/>
  <c r="Q198" i="1" s="1"/>
  <c r="Q199" i="1" s="1"/>
  <c r="Q200" i="1" s="1"/>
  <c r="Q201" i="1" s="1"/>
  <c r="Q202" i="1" s="1"/>
  <c r="Q203" i="1" s="1"/>
  <c r="Q204" i="1" s="1"/>
  <c r="Q205" i="1" s="1"/>
  <c r="Q206" i="1" s="1"/>
  <c r="Q207" i="1" s="1"/>
  <c r="Q208" i="1" s="1"/>
  <c r="Q209" i="1" s="1"/>
  <c r="Q210" i="1" s="1"/>
  <c r="Q211" i="1" s="1"/>
  <c r="Q212" i="1" s="1"/>
  <c r="Q213" i="1" s="1"/>
  <c r="Q214" i="1" s="1"/>
  <c r="Q215" i="1" s="1"/>
  <c r="Q216" i="1" s="1"/>
  <c r="Q217" i="1" s="1"/>
  <c r="Q218" i="1" s="1"/>
  <c r="Q219" i="1" s="1"/>
  <c r="Q220" i="1" s="1"/>
  <c r="Q221" i="1" s="1"/>
  <c r="Q222" i="1" s="1"/>
  <c r="Q223" i="1" s="1"/>
  <c r="Q224" i="1" s="1"/>
  <c r="Q225" i="1" s="1"/>
  <c r="Q226" i="1" s="1"/>
  <c r="Q227" i="1" s="1"/>
  <c r="Q228" i="1" s="1"/>
  <c r="Q229" i="1" s="1"/>
  <c r="Q230" i="1" s="1"/>
  <c r="Q231" i="1" s="1"/>
  <c r="Q232" i="1" s="1"/>
  <c r="Q233" i="1" s="1"/>
  <c r="Q234" i="1" s="1"/>
  <c r="Q235" i="1" s="1"/>
  <c r="Q236" i="1" s="1"/>
  <c r="Q237" i="1" s="1"/>
  <c r="Q238" i="1" s="1"/>
  <c r="Q239" i="1" s="1"/>
  <c r="Q240" i="1" s="1"/>
  <c r="Q241" i="1" s="1"/>
  <c r="Q242" i="1" s="1"/>
  <c r="Q243" i="1" s="1"/>
  <c r="Q244" i="1" s="1"/>
  <c r="Q245" i="1" s="1"/>
  <c r="Q246" i="1" s="1"/>
  <c r="Q247" i="1" s="1"/>
  <c r="Q248" i="1" s="1"/>
  <c r="Q249" i="1" s="1"/>
  <c r="Q250" i="1" s="1"/>
  <c r="Q251" i="1" s="1"/>
  <c r="Q252" i="1" s="1"/>
  <c r="Q253" i="1" s="1"/>
  <c r="Q254" i="1" s="1"/>
  <c r="Q255" i="1" s="1"/>
  <c r="Q256" i="1" s="1"/>
  <c r="Q257" i="1" s="1"/>
  <c r="Q258" i="1" s="1"/>
  <c r="Q259" i="1" s="1"/>
  <c r="Q260" i="1" s="1"/>
  <c r="Q261" i="1" s="1"/>
  <c r="Q262" i="1" s="1"/>
  <c r="Q263" i="1" s="1"/>
  <c r="Q264" i="1" s="1"/>
  <c r="Q265" i="1" s="1"/>
  <c r="Q266" i="1" s="1"/>
  <c r="Q267" i="1" s="1"/>
  <c r="Q268" i="1" s="1"/>
  <c r="Q269" i="1" s="1"/>
  <c r="Q270" i="1" s="1"/>
  <c r="Q271" i="1" s="1"/>
  <c r="Q272" i="1" s="1"/>
  <c r="Q273" i="1" s="1"/>
  <c r="Q274" i="1" s="1"/>
  <c r="Q275" i="1" s="1"/>
  <c r="Q276" i="1" s="1"/>
  <c r="Q277" i="1" s="1"/>
  <c r="Q278" i="1" s="1"/>
  <c r="Q279" i="1" s="1"/>
  <c r="Q280" i="1" s="1"/>
  <c r="Q281" i="1" s="1"/>
  <c r="Q282" i="1" s="1"/>
  <c r="Q283" i="1" s="1"/>
  <c r="Q284" i="1" s="1"/>
  <c r="Q285" i="1" s="1"/>
  <c r="Q286" i="1" s="1"/>
  <c r="Q287" i="1" s="1"/>
  <c r="Q288" i="1" s="1"/>
  <c r="Q289" i="1" s="1"/>
  <c r="Q290" i="1" s="1"/>
  <c r="Q291" i="1" s="1"/>
  <c r="Q292" i="1" s="1"/>
  <c r="Q293" i="1" s="1"/>
  <c r="Q294" i="1" s="1"/>
  <c r="Q295" i="1" s="1"/>
  <c r="Q296" i="1" s="1"/>
  <c r="Q297" i="1" s="1"/>
  <c r="Q298" i="1" s="1"/>
  <c r="Q299" i="1" s="1"/>
  <c r="Q300" i="1" s="1"/>
  <c r="Q301" i="1" s="1"/>
  <c r="Q302" i="1" s="1"/>
  <c r="Q303" i="1" s="1"/>
  <c r="Q304" i="1" s="1"/>
  <c r="Q305" i="1" s="1"/>
  <c r="Q306" i="1" s="1"/>
  <c r="Q307" i="1" s="1"/>
  <c r="Q308" i="1" s="1"/>
  <c r="Q309" i="1" s="1"/>
  <c r="Q310" i="1" s="1"/>
  <c r="Q311" i="1" s="1"/>
  <c r="Q312" i="1" s="1"/>
  <c r="Q313" i="1" s="1"/>
  <c r="Q314" i="1" s="1"/>
  <c r="Q315" i="1" s="1"/>
  <c r="Q316" i="1" s="1"/>
  <c r="Q317" i="1" s="1"/>
  <c r="Q318" i="1" s="1"/>
  <c r="Q319" i="1" s="1"/>
  <c r="Q320" i="1" s="1"/>
  <c r="Q321" i="1" s="1"/>
  <c r="Q322" i="1" s="1"/>
  <c r="Q323" i="1" s="1"/>
  <c r="Q324" i="1" s="1"/>
  <c r="Q325" i="1" s="1"/>
  <c r="Q326" i="1" s="1"/>
  <c r="Q327" i="1" s="1"/>
  <c r="Q328" i="1" s="1"/>
  <c r="Q329" i="1" s="1"/>
  <c r="Q330" i="1" s="1"/>
  <c r="Q331" i="1" s="1"/>
  <c r="Q332" i="1" s="1"/>
  <c r="Q333" i="1" s="1"/>
  <c r="Q334" i="1" s="1"/>
  <c r="Q335" i="1" s="1"/>
  <c r="Q336" i="1" s="1"/>
  <c r="Q337" i="1" s="1"/>
  <c r="Q338" i="1" s="1"/>
  <c r="Q339" i="1" s="1"/>
  <c r="Q340" i="1" s="1"/>
  <c r="Q341" i="1" s="1"/>
  <c r="Q342" i="1" s="1"/>
  <c r="Q343" i="1" s="1"/>
  <c r="Q344" i="1" s="1"/>
  <c r="Q345" i="1" s="1"/>
  <c r="Q346" i="1" s="1"/>
  <c r="Q347" i="1" s="1"/>
  <c r="Q348" i="1" s="1"/>
  <c r="Q349" i="1" s="1"/>
  <c r="Q350" i="1" s="1"/>
  <c r="Q351" i="1" s="1"/>
  <c r="Q352" i="1" s="1"/>
  <c r="Q353" i="1" s="1"/>
  <c r="Q354" i="1" s="1"/>
  <c r="Q355" i="1" s="1"/>
  <c r="Q356" i="1" s="1"/>
  <c r="Q357" i="1" s="1"/>
  <c r="Q358" i="1" s="1"/>
  <c r="Q359" i="1" s="1"/>
  <c r="Q360" i="1" s="1"/>
  <c r="Q361" i="1" s="1"/>
  <c r="Q362" i="1" s="1"/>
  <c r="Q363" i="1" s="1"/>
  <c r="Q364" i="1" s="1"/>
  <c r="Q365" i="1" s="1"/>
  <c r="Q366" i="1" s="1"/>
  <c r="Q367" i="1" s="1"/>
  <c r="Q368" i="1" s="1"/>
  <c r="Q369" i="1" s="1"/>
  <c r="Q370" i="1" s="1"/>
  <c r="Q371" i="1" s="1"/>
  <c r="Q372" i="1" s="1"/>
  <c r="Q373" i="1" s="1"/>
  <c r="Q374" i="1" s="1"/>
  <c r="Q375" i="1" s="1"/>
  <c r="Q376" i="1" s="1"/>
  <c r="Q377" i="1" s="1"/>
  <c r="Q378" i="1" s="1"/>
  <c r="Q379" i="1" s="1"/>
  <c r="Q380" i="1" s="1"/>
  <c r="Q381" i="1" s="1"/>
  <c r="Q382" i="1" s="1"/>
  <c r="Q383" i="1" s="1"/>
  <c r="Q384" i="1" s="1"/>
  <c r="Q385" i="1" s="1"/>
  <c r="Q386" i="1" s="1"/>
  <c r="Q387" i="1" s="1"/>
  <c r="Q388" i="1" s="1"/>
  <c r="Q389" i="1" s="1"/>
  <c r="Q390" i="1" s="1"/>
  <c r="Q391" i="1" s="1"/>
  <c r="Q392" i="1" s="1"/>
  <c r="Q393" i="1" s="1"/>
  <c r="Q394" i="1" s="1"/>
  <c r="Q395" i="1" s="1"/>
  <c r="Q396" i="1" s="1"/>
  <c r="Q397" i="1" s="1"/>
  <c r="Q398" i="1" s="1"/>
  <c r="Q399" i="1" s="1"/>
  <c r="Q400" i="1" s="1"/>
  <c r="Q401" i="1" s="1"/>
  <c r="Q402" i="1" s="1"/>
  <c r="Q403" i="1" s="1"/>
  <c r="Q404" i="1" s="1"/>
  <c r="Q405" i="1" s="1"/>
  <c r="Q406" i="1" s="1"/>
  <c r="Q407" i="1" s="1"/>
  <c r="Q408" i="1" s="1"/>
  <c r="Q409" i="1" s="1"/>
  <c r="Q410" i="1" s="1"/>
  <c r="Q411" i="1" s="1"/>
  <c r="Q412" i="1" s="1"/>
  <c r="Q413" i="1" s="1"/>
  <c r="Q414" i="1" s="1"/>
  <c r="Q415" i="1" s="1"/>
  <c r="Q416" i="1" s="1"/>
  <c r="Q417" i="1" s="1"/>
  <c r="Q427" i="1" s="1"/>
  <c r="B15" i="3"/>
  <c r="Q527" i="6" l="1"/>
  <c r="Q528" i="6"/>
  <c r="P1197" i="6"/>
  <c r="P1198" i="6" s="1"/>
  <c r="P1199" i="6" s="1"/>
  <c r="Q1197" i="6"/>
  <c r="P427" i="1"/>
  <c r="Q527" i="1"/>
  <c r="Q528" i="1" s="1"/>
  <c r="Q1197" i="1"/>
  <c r="P1197" i="1"/>
  <c r="Q1198" i="6" l="1"/>
  <c r="Q1199" i="6" s="1"/>
  <c r="P1198" i="1"/>
  <c r="P1199" i="1" s="1"/>
  <c r="Q1198" i="1"/>
  <c r="Q1199" i="1" s="1"/>
</calcChain>
</file>

<file path=xl/sharedStrings.xml><?xml version="1.0" encoding="utf-8"?>
<sst xmlns="http://schemas.openxmlformats.org/spreadsheetml/2006/main" count="10347" uniqueCount="889">
  <si>
    <t>Type</t>
  </si>
  <si>
    <t>Date</t>
  </si>
  <si>
    <t>Num</t>
  </si>
  <si>
    <t>Name</t>
  </si>
  <si>
    <t>Memo</t>
  </si>
  <si>
    <t>Class</t>
  </si>
  <si>
    <t>Clr</t>
  </si>
  <si>
    <t>Split</t>
  </si>
  <si>
    <t>Amount</t>
  </si>
  <si>
    <t>Balance</t>
  </si>
  <si>
    <t>Ordinary Income/Expense</t>
  </si>
  <si>
    <t>Income</t>
  </si>
  <si>
    <t>45100 · Job Income</t>
  </si>
  <si>
    <t>Total 45100 · Job Income</t>
  </si>
  <si>
    <t>45200 · Other Income</t>
  </si>
  <si>
    <t>Total 45200 · Other Income</t>
  </si>
  <si>
    <t>60450 · Credit Card Fees</t>
  </si>
  <si>
    <t>Total 60450 · Credit Card Fees</t>
  </si>
  <si>
    <t>Total Income</t>
  </si>
  <si>
    <t>Cost of Goods Sold</t>
  </si>
  <si>
    <t>51400 · Job Materials Purchased</t>
  </si>
  <si>
    <t>Total 51400 · Job Materials Purchased</t>
  </si>
  <si>
    <t>53600 · Subcontractors Expense</t>
  </si>
  <si>
    <t>Invoice</t>
  </si>
  <si>
    <t>Credit Memo</t>
  </si>
  <si>
    <t>General Journal</t>
  </si>
  <si>
    <t>Credit Card Charge</t>
  </si>
  <si>
    <t>Bill</t>
  </si>
  <si>
    <t>Cheque</t>
  </si>
  <si>
    <t>AC 80001-22</t>
  </si>
  <si>
    <t>AC 80003-22</t>
  </si>
  <si>
    <t>AC 80004-22</t>
  </si>
  <si>
    <t>AC0427-22</t>
  </si>
  <si>
    <t>AC 041922-3</t>
  </si>
  <si>
    <t>AC 0429-22</t>
  </si>
  <si>
    <t>AC0427-23</t>
  </si>
  <si>
    <t>AC 0224</t>
  </si>
  <si>
    <t>AC 062422</t>
  </si>
  <si>
    <t>AC M-160</t>
  </si>
  <si>
    <t>AC L-256</t>
  </si>
  <si>
    <t>AC L-755</t>
  </si>
  <si>
    <t>AC 0951</t>
  </si>
  <si>
    <t>AC 06-07-22</t>
  </si>
  <si>
    <t>AC L-1004</t>
  </si>
  <si>
    <t>0951</t>
  </si>
  <si>
    <t>07-01-30AC</t>
  </si>
  <si>
    <t>AC 06-10-22</t>
  </si>
  <si>
    <t>AC06-132209</t>
  </si>
  <si>
    <t>AC 06-13-22</t>
  </si>
  <si>
    <t>0692</t>
  </si>
  <si>
    <t>AC 14-06-22</t>
  </si>
  <si>
    <t>AC 14-06-23</t>
  </si>
  <si>
    <t>AC 06-15-22</t>
  </si>
  <si>
    <t>AC 06-06-22</t>
  </si>
  <si>
    <t>AC 22-15-06</t>
  </si>
  <si>
    <t>AC 06-16-22</t>
  </si>
  <si>
    <t>ACL-249</t>
  </si>
  <si>
    <t>AC 22-06-20</t>
  </si>
  <si>
    <t>AC 0952</t>
  </si>
  <si>
    <t>AC 0953</t>
  </si>
  <si>
    <t>AC 06-21-22</t>
  </si>
  <si>
    <t>0952</t>
  </si>
  <si>
    <t>0953</t>
  </si>
  <si>
    <t>AC 0903</t>
  </si>
  <si>
    <t>AC 0904</t>
  </si>
  <si>
    <t>07-01-27AC</t>
  </si>
  <si>
    <t>07-01-31AC</t>
  </si>
  <si>
    <t>0903</t>
  </si>
  <si>
    <t>0904</t>
  </si>
  <si>
    <t>AC 0694</t>
  </si>
  <si>
    <t>0694</t>
  </si>
  <si>
    <t>AC 0954</t>
  </si>
  <si>
    <t>0954</t>
  </si>
  <si>
    <t>07-01-22AC</t>
  </si>
  <si>
    <t>07-01-23AC</t>
  </si>
  <si>
    <t>0957</t>
  </si>
  <si>
    <t>0959</t>
  </si>
  <si>
    <t>0962</t>
  </si>
  <si>
    <t>0966</t>
  </si>
  <si>
    <t>0967</t>
  </si>
  <si>
    <t>0968</t>
  </si>
  <si>
    <t>0970</t>
  </si>
  <si>
    <t>0971</t>
  </si>
  <si>
    <t>0973</t>
  </si>
  <si>
    <t>0974</t>
  </si>
  <si>
    <t>0975</t>
  </si>
  <si>
    <t>0977</t>
  </si>
  <si>
    <t>0978</t>
  </si>
  <si>
    <t>0979</t>
  </si>
  <si>
    <t>0980</t>
  </si>
  <si>
    <t>0981</t>
  </si>
  <si>
    <t>0982</t>
  </si>
  <si>
    <t>0983</t>
  </si>
  <si>
    <t>0984</t>
  </si>
  <si>
    <t>0985</t>
  </si>
  <si>
    <t>0986</t>
  </si>
  <si>
    <t>0987</t>
  </si>
  <si>
    <t>1003</t>
  </si>
  <si>
    <t>ac22-07-18</t>
  </si>
  <si>
    <t>ac22-07-19</t>
  </si>
  <si>
    <t>ac22-07-20</t>
  </si>
  <si>
    <t>AC L-1006</t>
  </si>
  <si>
    <t>328 N RIVER</t>
  </si>
  <si>
    <t>34B MCIN</t>
  </si>
  <si>
    <t>2458 KINGST</t>
  </si>
  <si>
    <t>21 ESSA</t>
  </si>
  <si>
    <t>0988</t>
  </si>
  <si>
    <t>0991</t>
  </si>
  <si>
    <t>0992</t>
  </si>
  <si>
    <t>0993</t>
  </si>
  <si>
    <t>0994</t>
  </si>
  <si>
    <t>0995</t>
  </si>
  <si>
    <t>0996</t>
  </si>
  <si>
    <t>0998</t>
  </si>
  <si>
    <t>0999</t>
  </si>
  <si>
    <t>1000</t>
  </si>
  <si>
    <t>1001</t>
  </si>
  <si>
    <t>AC L-1007</t>
  </si>
  <si>
    <t>AC L-1008</t>
  </si>
  <si>
    <t>0224</t>
  </si>
  <si>
    <t>0955</t>
  </si>
  <si>
    <t>ac22-07-14</t>
  </si>
  <si>
    <t>ac22-07-15</t>
  </si>
  <si>
    <t>ac22-07-16</t>
  </si>
  <si>
    <t>ac22-07-17</t>
  </si>
  <si>
    <t>2860 DENISO</t>
  </si>
  <si>
    <t>2351 FINCH</t>
  </si>
  <si>
    <t>AC L-1010</t>
  </si>
  <si>
    <t>AC L-1011</t>
  </si>
  <si>
    <t>AC L-1012</t>
  </si>
  <si>
    <t>460 GARYRAY</t>
  </si>
  <si>
    <t>2760 DERRY</t>
  </si>
  <si>
    <t>0905</t>
  </si>
  <si>
    <t>0989</t>
  </si>
  <si>
    <t>AC L-1009</t>
  </si>
  <si>
    <t>AC L-1013</t>
  </si>
  <si>
    <t>AC L-1014</t>
  </si>
  <si>
    <t>17 TANNERY</t>
  </si>
  <si>
    <t>1634 EGLINT</t>
  </si>
  <si>
    <t>1253 KENNED</t>
  </si>
  <si>
    <t>1060</t>
  </si>
  <si>
    <t>1054</t>
  </si>
  <si>
    <t>0956</t>
  </si>
  <si>
    <t>0010/0009</t>
  </si>
  <si>
    <t>1 WEXFORD</t>
  </si>
  <si>
    <t>1355 ARTISA</t>
  </si>
  <si>
    <t>0907</t>
  </si>
  <si>
    <t>0901/0902</t>
  </si>
  <si>
    <t>0909</t>
  </si>
  <si>
    <t>0011</t>
  </si>
  <si>
    <t>7025 MARKHA</t>
  </si>
  <si>
    <t>07-01-25AC</t>
  </si>
  <si>
    <t>2979 BLOOR</t>
  </si>
  <si>
    <t>AC N-2020</t>
  </si>
  <si>
    <t>AC N-2019</t>
  </si>
  <si>
    <t>AC N-1995</t>
  </si>
  <si>
    <t>AC N--891</t>
  </si>
  <si>
    <t>0908</t>
  </si>
  <si>
    <t>0650</t>
  </si>
  <si>
    <t>AC L-1005</t>
  </si>
  <si>
    <t>91 PAT</t>
  </si>
  <si>
    <t>1055</t>
  </si>
  <si>
    <t>ac22-08-03</t>
  </si>
  <si>
    <t>ac22-08-034</t>
  </si>
  <si>
    <t>ac22-08-038</t>
  </si>
  <si>
    <t>ac22-08-030</t>
  </si>
  <si>
    <t>ac22-08-031</t>
  </si>
  <si>
    <t>ac22-08-032</t>
  </si>
  <si>
    <t>ac22-08-033</t>
  </si>
  <si>
    <t>AC N-1052</t>
  </si>
  <si>
    <t>848 BURNHAM</t>
  </si>
  <si>
    <t>0695</t>
  </si>
  <si>
    <t>0510-2210</t>
  </si>
  <si>
    <t>498 APPLEBY</t>
  </si>
  <si>
    <t>316 BURNHAM</t>
  </si>
  <si>
    <t>377 BURNHAM</t>
  </si>
  <si>
    <t>0696</t>
  </si>
  <si>
    <t>41 MAIN</t>
  </si>
  <si>
    <t>2185 STAVE</t>
  </si>
  <si>
    <t>106 SAUND</t>
  </si>
  <si>
    <t>18 AUTO</t>
  </si>
  <si>
    <t>306 KING</t>
  </si>
  <si>
    <t>33B MCIN</t>
  </si>
  <si>
    <t>252 NORS</t>
  </si>
  <si>
    <t>727 QUEEN</t>
  </si>
  <si>
    <t>1250 S SERV</t>
  </si>
  <si>
    <t>1900 FOWLER</t>
  </si>
  <si>
    <t>33A MCIN</t>
  </si>
  <si>
    <t>393 DONALDS</t>
  </si>
  <si>
    <t>1210 CALED</t>
  </si>
  <si>
    <t>964 WESTPO</t>
  </si>
  <si>
    <t>1119 FENNE</t>
  </si>
  <si>
    <t>740 BEAVER</t>
  </si>
  <si>
    <t>545 STEELES</t>
  </si>
  <si>
    <t>253 SUMMER</t>
  </si>
  <si>
    <t>1104 CANNON</t>
  </si>
  <si>
    <t>5353 LAKESH</t>
  </si>
  <si>
    <t>0013</t>
  </si>
  <si>
    <t>7025 UPS</t>
  </si>
  <si>
    <t>149 WEST</t>
  </si>
  <si>
    <t>3105 WINSTO</t>
  </si>
  <si>
    <t>1261 SHAW</t>
  </si>
  <si>
    <t>5230 DUNDAS</t>
  </si>
  <si>
    <t>6710 LUNDY</t>
  </si>
  <si>
    <t>1582 KING</t>
  </si>
  <si>
    <t>120 ERINGAT</t>
  </si>
  <si>
    <t>0910</t>
  </si>
  <si>
    <t>0911</t>
  </si>
  <si>
    <t>0958</t>
  </si>
  <si>
    <t>775 PACIFIC</t>
  </si>
  <si>
    <t>12101 AIRPO</t>
  </si>
  <si>
    <t>562 KIPLING</t>
  </si>
  <si>
    <t>4060A SLADV</t>
  </si>
  <si>
    <t>0016</t>
  </si>
  <si>
    <t>0959 12101</t>
  </si>
  <si>
    <t>222 ESPLAND</t>
  </si>
  <si>
    <t>1646 BLOOR</t>
  </si>
  <si>
    <t>0017</t>
  </si>
  <si>
    <t>0510-2217</t>
  </si>
  <si>
    <t>AC L-1015</t>
  </si>
  <si>
    <t>AC L-1016</t>
  </si>
  <si>
    <t>AC L-1017</t>
  </si>
  <si>
    <t>AC L-1018</t>
  </si>
  <si>
    <t>AC L-1019</t>
  </si>
  <si>
    <t>AC L-1020</t>
  </si>
  <si>
    <t>AC L-1021</t>
  </si>
  <si>
    <t>AC L-1022</t>
  </si>
  <si>
    <t>AC L-1023</t>
  </si>
  <si>
    <t>AC L-1024</t>
  </si>
  <si>
    <t>0912</t>
  </si>
  <si>
    <t>0913</t>
  </si>
  <si>
    <t>0226</t>
  </si>
  <si>
    <t>797 MINLER</t>
  </si>
  <si>
    <t>4060B SLAD</t>
  </si>
  <si>
    <t>3438 SHEPP</t>
  </si>
  <si>
    <t>4525 EBENE</t>
  </si>
  <si>
    <t>49 FERRIS</t>
  </si>
  <si>
    <t>371 BRADW</t>
  </si>
  <si>
    <t>670 HWY 7</t>
  </si>
  <si>
    <t>45 CARLTON</t>
  </si>
  <si>
    <t>531 PARLIA</t>
  </si>
  <si>
    <t>670 HWY7 G2</t>
  </si>
  <si>
    <t>0914</t>
  </si>
  <si>
    <t>1053</t>
  </si>
  <si>
    <t>2644 DAN</t>
  </si>
  <si>
    <t>251 NORS</t>
  </si>
  <si>
    <t>850 MAIN</t>
  </si>
  <si>
    <t>14 OXFORD</t>
  </si>
  <si>
    <t>0238</t>
  </si>
  <si>
    <t>363 YOUNG</t>
  </si>
  <si>
    <t>106 SAUN</t>
  </si>
  <si>
    <t>253 NORS</t>
  </si>
  <si>
    <t>5155 SPECT</t>
  </si>
  <si>
    <t>2455 CAWTHR</t>
  </si>
  <si>
    <t>6350 TOMKEN</t>
  </si>
  <si>
    <t>26A REXDALE</t>
  </si>
  <si>
    <t>361 JACKSON</t>
  </si>
  <si>
    <t>0239</t>
  </si>
  <si>
    <t>1056</t>
  </si>
  <si>
    <t>25 HERITAGE</t>
  </si>
  <si>
    <t>1154 RYMAL</t>
  </si>
  <si>
    <t>1051</t>
  </si>
  <si>
    <t>0697</t>
  </si>
  <si>
    <t>1131 GORHAM</t>
  </si>
  <si>
    <t>901 VICTOR</t>
  </si>
  <si>
    <t>4040 STEEL</t>
  </si>
  <si>
    <t>16 KING</t>
  </si>
  <si>
    <t>842 VICTOR</t>
  </si>
  <si>
    <t>14810 YOUNG</t>
  </si>
  <si>
    <t>1420 BAYLY</t>
  </si>
  <si>
    <t>255 INDUSTR</t>
  </si>
  <si>
    <t>1170 RYMAL</t>
  </si>
  <si>
    <t>1065</t>
  </si>
  <si>
    <t>418 HOR</t>
  </si>
  <si>
    <t>4060A SLAD</t>
  </si>
  <si>
    <t>122 FORTI</t>
  </si>
  <si>
    <t>2584 DANFOR</t>
  </si>
  <si>
    <t>813 O'CONN</t>
  </si>
  <si>
    <t>948 QUEEN</t>
  </si>
  <si>
    <t>0916</t>
  </si>
  <si>
    <t>400 BAYFILE</t>
  </si>
  <si>
    <t>1453 KING</t>
  </si>
  <si>
    <t>79 ELIGIN</t>
  </si>
  <si>
    <t>18 CONCESSI</t>
  </si>
  <si>
    <t>200 FRANKLI</t>
  </si>
  <si>
    <t>262 KING</t>
  </si>
  <si>
    <t>36 NORTHFIE</t>
  </si>
  <si>
    <t>338 ROSSLAN</t>
  </si>
  <si>
    <t>1383 WILSON</t>
  </si>
  <si>
    <t>2887 BLOOR</t>
  </si>
  <si>
    <t>21 ESSA RD</t>
  </si>
  <si>
    <t>371 WILSON</t>
  </si>
  <si>
    <t>179 UNION</t>
  </si>
  <si>
    <t>0917</t>
  </si>
  <si>
    <t>241 DUNS</t>
  </si>
  <si>
    <t>10671 CHING</t>
  </si>
  <si>
    <t>975 BROCK</t>
  </si>
  <si>
    <t>SEP 8,22</t>
  </si>
  <si>
    <t>84 WATER ST</t>
  </si>
  <si>
    <t>20 KINGSTON</t>
  </si>
  <si>
    <t>0014</t>
  </si>
  <si>
    <t>49 WAYNE</t>
  </si>
  <si>
    <t>0960</t>
  </si>
  <si>
    <t>AC 09/13/22</t>
  </si>
  <si>
    <t>0918</t>
  </si>
  <si>
    <t>1062</t>
  </si>
  <si>
    <t>1052</t>
  </si>
  <si>
    <t>0965</t>
  </si>
  <si>
    <t>31 RAILSIDE</t>
  </si>
  <si>
    <t>1794 DANFOR</t>
  </si>
  <si>
    <t>270 EGLINTO</t>
  </si>
  <si>
    <t>162 LIME ST</t>
  </si>
  <si>
    <t>280 GUELPH</t>
  </si>
  <si>
    <t>2873 KINGST</t>
  </si>
  <si>
    <t>3250 FINCH</t>
  </si>
  <si>
    <t>0919</t>
  </si>
  <si>
    <t>460 RENFORT</t>
  </si>
  <si>
    <t>1110 FINCH</t>
  </si>
  <si>
    <t>1061</t>
  </si>
  <si>
    <t>248 STIRLIN</t>
  </si>
  <si>
    <t>2203 DUNWIN</t>
  </si>
  <si>
    <t>0961</t>
  </si>
  <si>
    <t>0964</t>
  </si>
  <si>
    <t>71 GLEN CAM</t>
  </si>
  <si>
    <t>1288 RITSON</t>
  </si>
  <si>
    <t>487 CORNWAL</t>
  </si>
  <si>
    <t>491 APPLEBY</t>
  </si>
  <si>
    <t>80 CARLAUR</t>
  </si>
  <si>
    <t>300 GUELPH</t>
  </si>
  <si>
    <t>4580 EASTGA</t>
  </si>
  <si>
    <t>1063 MCNICO</t>
  </si>
  <si>
    <t>94 DUNDAS</t>
  </si>
  <si>
    <t>280 DERRY</t>
  </si>
  <si>
    <t>23546 WOOD</t>
  </si>
  <si>
    <t>270 KINGSWA</t>
  </si>
  <si>
    <t>UNIT 201B</t>
  </si>
  <si>
    <t>UNIT 201B F</t>
  </si>
  <si>
    <t>51 LEBOVIC</t>
  </si>
  <si>
    <t>2105 MIDLAN</t>
  </si>
  <si>
    <t>0963</t>
  </si>
  <si>
    <t>0700</t>
  </si>
  <si>
    <t>0510-2222</t>
  </si>
  <si>
    <t>AC80004-22</t>
  </si>
  <si>
    <t>9-27-22AC1</t>
  </si>
  <si>
    <t>0510-2228</t>
  </si>
  <si>
    <t>0510-2229</t>
  </si>
  <si>
    <t>0975c</t>
  </si>
  <si>
    <t>0977c</t>
  </si>
  <si>
    <t>0978c</t>
  </si>
  <si>
    <t>0979c</t>
  </si>
  <si>
    <t>0980c</t>
  </si>
  <si>
    <t>0981c</t>
  </si>
  <si>
    <t>0982c</t>
  </si>
  <si>
    <t>0983c</t>
  </si>
  <si>
    <t>0984c</t>
  </si>
  <si>
    <t>0985c</t>
  </si>
  <si>
    <t>0510-2214</t>
  </si>
  <si>
    <t>0510-2215</t>
  </si>
  <si>
    <t>0510-2220</t>
  </si>
  <si>
    <t>0510-2216</t>
  </si>
  <si>
    <t>0510-2218</t>
  </si>
  <si>
    <t>0510-2221</t>
  </si>
  <si>
    <t>0510-2224</t>
  </si>
  <si>
    <t>0510-2226</t>
  </si>
  <si>
    <t>0510-2227</t>
  </si>
  <si>
    <t>0510-2223</t>
  </si>
  <si>
    <t>0510-2225</t>
  </si>
  <si>
    <t>0510-2230</t>
  </si>
  <si>
    <t>0510-2231</t>
  </si>
  <si>
    <t>0510-2232</t>
  </si>
  <si>
    <t>0510-2233</t>
  </si>
  <si>
    <t>0510-2234</t>
  </si>
  <si>
    <t>40</t>
  </si>
  <si>
    <t>44</t>
  </si>
  <si>
    <t>46</t>
  </si>
  <si>
    <t>61</t>
  </si>
  <si>
    <t>4792779</t>
  </si>
  <si>
    <t>105482</t>
  </si>
  <si>
    <t>1684</t>
  </si>
  <si>
    <t>492153-00</t>
  </si>
  <si>
    <t>66</t>
  </si>
  <si>
    <t>1854</t>
  </si>
  <si>
    <t>March30-April8</t>
  </si>
  <si>
    <t>MARCH 30 TO APRIL 30</t>
  </si>
  <si>
    <t>april 28 -may6</t>
  </si>
  <si>
    <t>MAY 10 -MAY 19</t>
  </si>
  <si>
    <t>may1st -june1st</t>
  </si>
  <si>
    <t>MAY 24 TO JUNE 3</t>
  </si>
  <si>
    <t>MAY 31-JUNE 9</t>
  </si>
  <si>
    <t>24 JUNE -30 JUNE</t>
  </si>
  <si>
    <t>JUNE PAYSLIP</t>
  </si>
  <si>
    <t>june 9- june 23</t>
  </si>
  <si>
    <t>june3-june17</t>
  </si>
  <si>
    <t>JUNE20-JUNE30</t>
  </si>
  <si>
    <t>july 4-july 8</t>
  </si>
  <si>
    <t>JULY PAYSLIP</t>
  </si>
  <si>
    <t>JULY 18-JULY 29</t>
  </si>
  <si>
    <t>july 21-august 04</t>
  </si>
  <si>
    <t>july 21- august 04</t>
  </si>
  <si>
    <t>AUG2-AUG12</t>
  </si>
  <si>
    <t>AUG5TH-AUG18TH</t>
  </si>
  <si>
    <t>AUG15-AUG26</t>
  </si>
  <si>
    <t>AUG19-SEP1</t>
  </si>
  <si>
    <t>AUG29TH-SEPT9TH</t>
  </si>
  <si>
    <t>SEP2 -SEP15</t>
  </si>
  <si>
    <t>MY MARUTI CONSTRUCTION</t>
  </si>
  <si>
    <t>CREPE STAR</t>
  </si>
  <si>
    <t>MILLCREEK BATH AND KITCHEN</t>
  </si>
  <si>
    <t>CANMAR</t>
  </si>
  <si>
    <t>syed shah</t>
  </si>
  <si>
    <t>HYUNDAI</t>
  </si>
  <si>
    <t>Nedco Energy Services</t>
  </si>
  <si>
    <t>RETROFIT -GREENSAVER</t>
  </si>
  <si>
    <t>GREENSAVER</t>
  </si>
  <si>
    <t>City of Mississauga</t>
  </si>
  <si>
    <t>HALIBUT FISH AND CHIPS</t>
  </si>
  <si>
    <t>TOTAL EXHAUST FAN</t>
  </si>
  <si>
    <t>wael</t>
  </si>
  <si>
    <t>JAI BAJVANI</t>
  </si>
  <si>
    <t>KRISKA</t>
  </si>
  <si>
    <t>GOLDMOOR INC</t>
  </si>
  <si>
    <t>SUMMERSIDE FARM</t>
  </si>
  <si>
    <t>MOUNTAIN HOMES</t>
  </si>
  <si>
    <t>PEEL DISTRICT SCHOOL BOARD</t>
  </si>
  <si>
    <t>RP PAINTING</t>
  </si>
  <si>
    <t>ROLLER SKATING PLACE</t>
  </si>
  <si>
    <t>ROYAL PLAN &amp; PUNJAB RESTURANT</t>
  </si>
  <si>
    <t>BAYVIEW STEELS AUTO COLLISION</t>
  </si>
  <si>
    <t>POLAT AUTO SERVICE</t>
  </si>
  <si>
    <t>BAR BURRITTO -WINDSOR</t>
  </si>
  <si>
    <t>MANAR</t>
  </si>
  <si>
    <t>NADEEM AHMED</t>
  </si>
  <si>
    <t>MITS</t>
  </si>
  <si>
    <t>peaksaver</t>
  </si>
  <si>
    <t>VIA CANADA HOLDING GROUP</t>
  </si>
  <si>
    <t>TRINITY DRUG MART</t>
  </si>
  <si>
    <t>MARBLE SLAB CREAMERY GUELPH</t>
  </si>
  <si>
    <t>PREET KHALSA</t>
  </si>
  <si>
    <t>ONEIL ELECTRIC</t>
  </si>
  <si>
    <t>SURPLUS ELECTRICAL</t>
  </si>
  <si>
    <t>APA TORONTO</t>
  </si>
  <si>
    <t>Diaa Hijazi</t>
  </si>
  <si>
    <t>ARAY LED INC</t>
  </si>
  <si>
    <t>Nayef. Abboud</t>
  </si>
  <si>
    <t>Impulse</t>
  </si>
  <si>
    <t>ITM INSTRUMENTS INC</t>
  </si>
  <si>
    <t>HERITAGE ELECTRICAL SUPPLIES</t>
  </si>
  <si>
    <t>RBC</t>
  </si>
  <si>
    <t>TESLA  LIGHTING</t>
  </si>
  <si>
    <t>Home Depot</t>
  </si>
  <si>
    <t>Uline Canada Corporation</t>
  </si>
  <si>
    <t>RONA</t>
  </si>
  <si>
    <t>SESCO</t>
  </si>
  <si>
    <t>GLOBAL NGINEERING</t>
  </si>
  <si>
    <t>Nedco division of rexel canada electrical</t>
  </si>
  <si>
    <t>GTA  ATUOMATIC DOOR SYSTEMS INC</t>
  </si>
  <si>
    <t>WESTBURNE</t>
  </si>
  <si>
    <t>ASSAMCO</t>
  </si>
  <si>
    <t>LEMCO ELECTRIC</t>
  </si>
  <si>
    <t>PRIMARY LIGHTING INC</t>
  </si>
  <si>
    <t>Canadian Tire Store</t>
  </si>
  <si>
    <t>STANSERVICE</t>
  </si>
  <si>
    <t>YESSAY GHSHRANIAN</t>
  </si>
  <si>
    <t>Multedia box inc</t>
  </si>
  <si>
    <t>2580 shepard ave -9500 total job +hst</t>
  </si>
  <si>
    <t>-Installation of 7 RAB projectors.  -Pvc pipes, boxes wp(weather proof), T 90 wires, breakers.  ...</t>
  </si>
  <si>
    <t>-10% Discount</t>
  </si>
  <si>
    <t>Removals</t>
  </si>
  <si>
    <t>Churchill Meadows CC Mississauga - Supply and install 2 x “SPEC / IDAS – A7810 data loggers comp...</t>
  </si>
  <si>
    <t>AUTOMATION SYSTEM FOR EXHAUST FAN, MAKE UP AIR UNIT</t>
  </si>
  <si>
    <t>COMPUTER CABLE  AND ACCESSORIES</t>
  </si>
  <si>
    <t>AUTOMATION SYSTEM INSTALL</t>
  </si>
  <si>
    <t>RECONNECTING EMT</t>
  </si>
  <si>
    <t>5-212 pellatt ave</t>
  </si>
  <si>
    <t>1 wexford</t>
  </si>
  <si>
    <t>-ARRANGING ALL CABLES AND PANELS  -REMOVING AND RECYCLING ALL UNWANTED WIRES AND RECEPTACLES.  -...</t>
  </si>
  <si>
    <t>-2 DAYS WORKING LABOUR AND MATERIAL   -OPTIONS ( NOT INCLUDED IN THE ORIGINAL OFFER ).  -REMOVE ...</t>
  </si>
  <si>
    <t>-REMOVING FLUORESCENT 8' FIXTURES IN THE BACK AREA ( NO JUNK ). LABOUR AND MATERIAL .</t>
  </si>
  <si>
    <t>-REPLACING ALL SWITCHES AND RECEPTACLES IN THE OFFICES AREA. LABOUR AND MATERIAL.</t>
  </si>
  <si>
    <t>-EXIT SIGNS AND EMERGENCY LIGHTS IN THE WHOLE AREA ACCORDING TO THE ELECTRICAL BUILDING CODE IN ...</t>
  </si>
  <si>
    <t xml:space="preserve">SCOPE OF WORK:   ELECTRICAL INSTALLATION AS PER THE DRAWINGS   THE OFFER EXCLUDES:   </t>
  </si>
  <si>
    <t>1- AUTOMATIC DOORS INSTALLATION   2- COMPUTER CABLES INSTALLATION  3- MAIN TRANSFORMER</t>
  </si>
  <si>
    <t>REPLACE 6 LIGHT SWITCHES WITH COVERS ON WASHROOMS IN THE DRIVER BUILDING</t>
  </si>
  <si>
    <t>THE COMPANY OUTSIDE SIGN</t>
  </si>
  <si>
    <t>- REPLACE 8 LAMPS (F96 T8 841/SPX41)</t>
  </si>
  <si>
    <t>-REPLACE BALAST (T8 347 FLOUR ELE BALLAST)</t>
  </si>
  <si>
    <t>- SUPPLY AND INSTALL PHOTO CELL</t>
  </si>
  <si>
    <t>REPLACE TARBIN FAN FOR WASHROOM IN THE BUILDING WITH NEW ONE</t>
  </si>
  <si>
    <t>SCOPE OF WORK   OPTION 2  * REMOVE THE SKYLIGHT (4) EXISTING FIXTURES  * SUPPLY AND INSTALL 8 ( ...</t>
  </si>
  <si>
    <t>OFFER INCLUDED:  * ALL MATERIAL INCLUDING ADAPTERS AND FITTING PLUS LABOUR.  * SCISSOR LIFT FEES...</t>
  </si>
  <si>
    <t>INSTALL 4' -2 LAMP FIXTURES.</t>
  </si>
  <si>
    <t>SUPPLY CHAINS AND FITTING TO SET THE FIXTURES ON 18' HEIGHT.</t>
  </si>
  <si>
    <t>INSTALL THE POWER CABLES.</t>
  </si>
  <si>
    <t>ALL ELECTRIC WORK ACCORDING TO THE DRAWING</t>
  </si>
  <si>
    <t>FIRST PAYMENT FOR SUPPLYING MATERIALS FOR (SG-422-20/21-9, CHINGUACOUSY SS , AS PER Z22-4759. TO...</t>
  </si>
  <si>
    <t xml:space="preserve">MATERIALS:  -LED FIXTURE ,220W ,120V QTY 9 .  -CHAIN .  -BX COIL.   -SCISSOR LIFT .    </t>
  </si>
  <si>
    <t>SCOPE OF WORK   -REPLACE AND RELOCATE 9 LED HIGHBAY FIXTURE IN THE INDUSTRIAL AREA .  -USING CHA...</t>
  </si>
  <si>
    <t xml:space="preserve">*PRICE INCLUDED   SCISSOR LIFT FEES   ESA INSPECTION FEES AND CERTIFICATE .    </t>
  </si>
  <si>
    <t>*PRICE EXCLUDED   TURBINE FANS (QTY 2), TO BE CHECKED AND QUOTED SEPARETIY.</t>
  </si>
  <si>
    <t>SCOPE OF WORK:    *SUPPLY AND INSTALL LED HIGHBAY FIXTURES SELECTABLE WATTS AND COLOR TEMP.</t>
  </si>
  <si>
    <t xml:space="preserve">  PRICE INCLUDE:  *SCISSOR LIFT FEES .  *ESA INSPECTION .  *ACCESSORIES AND FITTING.  *REMOVE AN...</t>
  </si>
  <si>
    <t>PAYMENT TERMS:  * FIRST PAYMENT: 20% UPON APPROVAL.  * SECOND PAYMENT : 40% UPON RECEIVING MATER...</t>
  </si>
  <si>
    <t>10% DISCOUNT</t>
  </si>
  <si>
    <t>SCOPE OF WORK :</t>
  </si>
  <si>
    <t>PRICE INCLUDED :</t>
  </si>
  <si>
    <t>PAYMENT TERMS:  * FIRST PAYMENT: 20% UPON APPROVAL.  * SECOND PAYMENT : 40% UPON RECEIVING  MATE...</t>
  </si>
  <si>
    <t>20% ADVANCED PAYMENT FOR THE JOB # 0510-2225 DATED(10/06-2022)</t>
  </si>
  <si>
    <t>SCOPE OF WORK :  OPTION 1:    SUPPLY AND INSTALL(2'X4') LED FLAT PANELS 5000K COLOR TEMP.  INCLU...</t>
  </si>
  <si>
    <t>BASED ON THE ESTIMATE #0510-2223 THERE IS A 20% AMOUNT DUE THAT NEEDS TO BE PAID</t>
  </si>
  <si>
    <t>BASED ON ESTIMATE #0510-2212 THERE IS A 40% AMOUNT DUE ( MATERIAL RECEIVED ) FOR THE SECOND PAYM...</t>
  </si>
  <si>
    <t>Electrical installation as per drawings</t>
  </si>
  <si>
    <t>Automatic door w/c</t>
  </si>
  <si>
    <t>Automatic front door</t>
  </si>
  <si>
    <t>1 Hand dryer</t>
  </si>
  <si>
    <t>E.S.A. Permit included</t>
  </si>
  <si>
    <t>FIRST PAYMENT: 20% UPON APPROVAL.</t>
  </si>
  <si>
    <t>FINAL PAYMENT DUE FOR BICTON LOCATION</t>
  </si>
  <si>
    <t>SUPPLYING MATERIALS / EQUIPMENT 20%</t>
  </si>
  <si>
    <t>LABOUR 20%</t>
  </si>
  <si>
    <t>WARRANTY / ACCESS 100%</t>
  </si>
  <si>
    <t>DEMOLITION 43%</t>
  </si>
  <si>
    <t>RECYCLING 33%</t>
  </si>
  <si>
    <t>CEILING MATERIALS 100%</t>
  </si>
  <si>
    <t>10%</t>
  </si>
  <si>
    <t>FINAL PAYMENT  80% UPON FINISHING</t>
  </si>
  <si>
    <t>1- SUPPLY AND INSTALL 14*2 CABLE IN THE PLAZA (45M)</t>
  </si>
  <si>
    <t>credit memo against Invoice dated August 3, 2022</t>
  </si>
  <si>
    <t>credit memo to adjust Bar Burrito revenue vs. Manar revenue to actual</t>
  </si>
  <si>
    <t>PRICE DIFFERENCE IN AUTOMATIC DOOR W/C AND AUTOMATIC FRONT DOOR</t>
  </si>
  <si>
    <t>SCOPE OF WORK:  EXTRA RECEPTACLES AND ELECTRICAL WORK</t>
  </si>
  <si>
    <t>1- SUPPLY AND INSTALL 9-8' LED- 90W - 5000K LIGHT FIXTURES IN DIFFERENT AREAS INSIDE THE WAREHOU...</t>
  </si>
  <si>
    <t>OFFER INCLUDES :    * SCISSOR LIFT    * ESA INSPECTION     * LABOUR AND MATERIAL PLUS ACCESSORIE...</t>
  </si>
  <si>
    <t>SUPPLY &amp; INSTALL AUTOMATIC DOOR</t>
  </si>
  <si>
    <t>REMOVAL</t>
  </si>
  <si>
    <t>FIRST PAYMENT</t>
  </si>
  <si>
    <t>SUPPLY AND INSTALL (2*4) LED FLAT PANELS 4000K</t>
  </si>
  <si>
    <t>FINAL PAYMENT</t>
  </si>
  <si>
    <t>SECOND PAYMENT FOR THIS JOB</t>
  </si>
  <si>
    <t>AUTOMATION PANEL AS PER THE QUOTATION</t>
  </si>
  <si>
    <t xml:space="preserve">SCOPE OF WORK :  ALL ELECTRICAL WORK ACCORDING TO THE DRAWING .  </t>
  </si>
  <si>
    <t>FINAL PAYMENT FOR LONDON JOB LOCATED AT ( 170 ADELAIDE ST ) LONDON ONTARIO</t>
  </si>
  <si>
    <t>deposit for ev charge marketing</t>
  </si>
  <si>
    <t>MISC. DEPOSIT FROM URBAND ENVIROMENT CENTRE</t>
  </si>
  <si>
    <t>TRANSFER FROM VALENTIN HAROON</t>
  </si>
  <si>
    <t>PAID FROM DIAA PERSONAL ACCOUNT</t>
  </si>
  <si>
    <t>NU-TECH FREIGHT</t>
  </si>
  <si>
    <t>FOR PEEL DISTRICT SCHOOL</t>
  </si>
  <si>
    <t>SUBWAY TOTTENHAM</t>
  </si>
  <si>
    <t>VIA CANADA HOLDING GROUP WAREHOUSE ARES ( PAID TO DIAA BY CHQ )</t>
  </si>
  <si>
    <t>(42.67) GRAINGER , (309.35) RONA , (821.26) RONA , (1061.05) HOME DEPOT , (121.41) FUEL</t>
  </si>
  <si>
    <t>(368.73) ONEIL , (38.14) GERRIE , (61.28) GERRIE , (192.93) GAS , (68.48) GAS , (160.46) GAS , (...</t>
  </si>
  <si>
    <t>ROLLER SKATING ORILLIA</t>
  </si>
  <si>
    <t>paid for Diaa</t>
  </si>
  <si>
    <t>11001 · Accounts Receivable</t>
  </si>
  <si>
    <t>11800 · CIBC</t>
  </si>
  <si>
    <t>CIBC VISA</t>
  </si>
  <si>
    <t>20000 · Accounts Payable</t>
  </si>
  <si>
    <t>21000 · RBC Visa Avion</t>
  </si>
  <si>
    <t>Total 53600 · Subcontractors Expense</t>
  </si>
  <si>
    <t>Total COGS</t>
  </si>
  <si>
    <t>Gross Profit</t>
  </si>
  <si>
    <t>Expense</t>
  </si>
  <si>
    <t>54000 · Gilmore accounting fees</t>
  </si>
  <si>
    <t>Total 54000 · Gilmore accounting fees</t>
  </si>
  <si>
    <t>60100 · Auto and Truck Expenses</t>
  </si>
  <si>
    <t>Total 60100 · Auto and Truck Expenses</t>
  </si>
  <si>
    <t>60120 · Advertising &amp; Promotion</t>
  </si>
  <si>
    <t>Total 60120 · Advertising &amp; Promotion</t>
  </si>
  <si>
    <t>60130 · Truck Repairs</t>
  </si>
  <si>
    <t>Total 60130 · Truck Repairs</t>
  </si>
  <si>
    <t>60150 · Fuel-Trucks</t>
  </si>
  <si>
    <t>Total 60150 · Fuel-Trucks</t>
  </si>
  <si>
    <t>60400 · Bank Service Charges</t>
  </si>
  <si>
    <t>Total 60400 · Bank Service Charges</t>
  </si>
  <si>
    <t>61000 · Business Licenses and Permits</t>
  </si>
  <si>
    <t>Total 61000 · Business Licenses and Permits</t>
  </si>
  <si>
    <t>61550 · Vehicle Lease</t>
  </si>
  <si>
    <t>Total 61550 · Vehicle Lease</t>
  </si>
  <si>
    <t>61700 · Computer and Internet Expenses</t>
  </si>
  <si>
    <t>Total 61700 · Computer and Internet Expenses</t>
  </si>
  <si>
    <t>63300 · Insurance Expense</t>
  </si>
  <si>
    <t>Total 63300 · Insurance Expense</t>
  </si>
  <si>
    <t>63500 · Garbage Removal</t>
  </si>
  <si>
    <t>Total 63500 · Garbage Removal</t>
  </si>
  <si>
    <t>63700 · GPS Tracking</t>
  </si>
  <si>
    <t>Total 63700 · GPS Tracking</t>
  </si>
  <si>
    <t>64300 · Meals and Entertainment</t>
  </si>
  <si>
    <t>Total 64300 · Meals and Entertainment</t>
  </si>
  <si>
    <t>64400 · Alarm</t>
  </si>
  <si>
    <t>Total 64400 · Alarm</t>
  </si>
  <si>
    <t>64500 · Janitorial</t>
  </si>
  <si>
    <t>Total 64500 · Janitorial</t>
  </si>
  <si>
    <t>64900 · Office Supplies</t>
  </si>
  <si>
    <t>Total 64900 · Office Supplies</t>
  </si>
  <si>
    <t>66000 · Payroll Expenses</t>
  </si>
  <si>
    <t>Credit Card Credit</t>
  </si>
  <si>
    <t>Pay Cheque</t>
  </si>
  <si>
    <t>SEP 24-OCT8</t>
  </si>
  <si>
    <t>SEP30-OCT13</t>
  </si>
  <si>
    <t>TILL 5TH OF OCT 2022</t>
  </si>
  <si>
    <t>OCT9-OCT23</t>
  </si>
  <si>
    <t>OCT14-OCT26</t>
  </si>
  <si>
    <t>OCT 11 -OCT21</t>
  </si>
  <si>
    <t>oct 24-nov 04</t>
  </si>
  <si>
    <t>oct 27- nov 09</t>
  </si>
  <si>
    <t>1847</t>
  </si>
  <si>
    <t>27</t>
  </si>
  <si>
    <t>1787</t>
  </si>
  <si>
    <t>43</t>
  </si>
  <si>
    <t>1665</t>
  </si>
  <si>
    <t>1667</t>
  </si>
  <si>
    <t>1849</t>
  </si>
  <si>
    <t>41</t>
  </si>
  <si>
    <t>34</t>
  </si>
  <si>
    <t>67</t>
  </si>
  <si>
    <t>68</t>
  </si>
  <si>
    <t>53</t>
  </si>
  <si>
    <t>65</t>
  </si>
  <si>
    <t>26</t>
  </si>
  <si>
    <t>1842</t>
  </si>
  <si>
    <t>38</t>
  </si>
  <si>
    <t>5268</t>
  </si>
  <si>
    <t>55</t>
  </si>
  <si>
    <t>1662</t>
  </si>
  <si>
    <t>1678</t>
  </si>
  <si>
    <t>1723</t>
  </si>
  <si>
    <t>1724</t>
  </si>
  <si>
    <t>1725</t>
  </si>
  <si>
    <t>1726</t>
  </si>
  <si>
    <t>011-16849</t>
  </si>
  <si>
    <t>48</t>
  </si>
  <si>
    <t>1831</t>
  </si>
  <si>
    <t>1658</t>
  </si>
  <si>
    <t>1659</t>
  </si>
  <si>
    <t>1660</t>
  </si>
  <si>
    <t>1669</t>
  </si>
  <si>
    <t>1670</t>
  </si>
  <si>
    <t>1673</t>
  </si>
  <si>
    <t>1674</t>
  </si>
  <si>
    <t>1675</t>
  </si>
  <si>
    <t>1712</t>
  </si>
  <si>
    <t>1713</t>
  </si>
  <si>
    <t>1714</t>
  </si>
  <si>
    <t>1717</t>
  </si>
  <si>
    <t>1718</t>
  </si>
  <si>
    <t>1719</t>
  </si>
  <si>
    <t>1720</t>
  </si>
  <si>
    <t>1727</t>
  </si>
  <si>
    <t>1728</t>
  </si>
  <si>
    <t>1729</t>
  </si>
  <si>
    <t>1734</t>
  </si>
  <si>
    <t>1707</t>
  </si>
  <si>
    <t>1687</t>
  </si>
  <si>
    <t>1688</t>
  </si>
  <si>
    <t>1689</t>
  </si>
  <si>
    <t>1690</t>
  </si>
  <si>
    <t>1780</t>
  </si>
  <si>
    <t>1781</t>
  </si>
  <si>
    <t>1782</t>
  </si>
  <si>
    <t>1783</t>
  </si>
  <si>
    <t>1786</t>
  </si>
  <si>
    <t>1788</t>
  </si>
  <si>
    <t>1789</t>
  </si>
  <si>
    <t>1790</t>
  </si>
  <si>
    <t>1791</t>
  </si>
  <si>
    <t>1792</t>
  </si>
  <si>
    <t>1795</t>
  </si>
  <si>
    <t>1700</t>
  </si>
  <si>
    <t>1703</t>
  </si>
  <si>
    <t>1704</t>
  </si>
  <si>
    <t>1705</t>
  </si>
  <si>
    <t>1706</t>
  </si>
  <si>
    <t>1710</t>
  </si>
  <si>
    <t>1711</t>
  </si>
  <si>
    <t>1738</t>
  </si>
  <si>
    <t>1739</t>
  </si>
  <si>
    <t>1740</t>
  </si>
  <si>
    <t>1741</t>
  </si>
  <si>
    <t>1742</t>
  </si>
  <si>
    <t>1743</t>
  </si>
  <si>
    <t>1744</t>
  </si>
  <si>
    <t>1748</t>
  </si>
  <si>
    <t>1749</t>
  </si>
  <si>
    <t>1750</t>
  </si>
  <si>
    <t>1751</t>
  </si>
  <si>
    <t>1752</t>
  </si>
  <si>
    <t>1754</t>
  </si>
  <si>
    <t>1755</t>
  </si>
  <si>
    <t>1758</t>
  </si>
  <si>
    <t>1760</t>
  </si>
  <si>
    <t>1761</t>
  </si>
  <si>
    <t>1762</t>
  </si>
  <si>
    <t>1764</t>
  </si>
  <si>
    <t>1692</t>
  </si>
  <si>
    <t>1693</t>
  </si>
  <si>
    <t>1772</t>
  </si>
  <si>
    <t>1773</t>
  </si>
  <si>
    <t>1774</t>
  </si>
  <si>
    <t>1775</t>
  </si>
  <si>
    <t>1776</t>
  </si>
  <si>
    <t>1777</t>
  </si>
  <si>
    <t>1802</t>
  </si>
  <si>
    <t>1803</t>
  </si>
  <si>
    <t>1804</t>
  </si>
  <si>
    <t>1805</t>
  </si>
  <si>
    <t>1806</t>
  </si>
  <si>
    <t>1807</t>
  </si>
  <si>
    <t>1808</t>
  </si>
  <si>
    <t>NOSHI HEATING &amp; COOLING INC</t>
  </si>
  <si>
    <t>PROFESSIONAL INDUSTRIAL SERVICES</t>
  </si>
  <si>
    <t>EASYFIX</t>
  </si>
  <si>
    <t>GILMORE COMPANY</t>
  </si>
  <si>
    <t>407 ETR</t>
  </si>
  <si>
    <t>TEAM CHRYSLER JEEP</t>
  </si>
  <si>
    <t>ARAK AUTO INC</t>
  </si>
  <si>
    <t>STEVE</t>
  </si>
  <si>
    <t>ESSO MOBILE</t>
  </si>
  <si>
    <t>Nayef Abboud</t>
  </si>
  <si>
    <t>Federated Insurance</t>
  </si>
  <si>
    <t>PROGRESSIVE WASTE SOLUTIONS</t>
  </si>
  <si>
    <t>G C LEASING ONTARIO</t>
  </si>
  <si>
    <t>PINPOINT GPS  SOLUTIONS INC</t>
  </si>
  <si>
    <t>Dan-El Alarms</t>
  </si>
  <si>
    <t>MAID 4 CLEANING INC</t>
  </si>
  <si>
    <t>Haneen Alkhafaji</t>
  </si>
  <si>
    <t>new era print</t>
  </si>
  <si>
    <t>Staples</t>
  </si>
  <si>
    <t>AMAZON</t>
  </si>
  <si>
    <t>YOUVIC INVESTMENTS GROUP INC</t>
  </si>
  <si>
    <t>ASSAMA  AL-TAMEEMI</t>
  </si>
  <si>
    <t>NEBS</t>
  </si>
  <si>
    <t>haneen zaid</t>
  </si>
  <si>
    <t>DELUXE</t>
  </si>
  <si>
    <t>Hassan Al-aumari</t>
  </si>
  <si>
    <t>Kareem Hijazi</t>
  </si>
  <si>
    <t>Peter Marzinotto</t>
  </si>
  <si>
    <t>Rowan Johe</t>
  </si>
  <si>
    <t>Marc Abi-Najem</t>
  </si>
  <si>
    <t>YASAMEEN AL-TAMEEMI</t>
  </si>
  <si>
    <t>KARIM SADEQ</t>
  </si>
  <si>
    <t>Maryam Al-Aloosi</t>
  </si>
  <si>
    <t>YESSAY GHSHRANIAN (employee)</t>
  </si>
  <si>
    <t>ZAID BAHNAM</t>
  </si>
  <si>
    <t>DEC 5 - DEC 17</t>
  </si>
  <si>
    <t>accounting fee for corporate setup and purchase</t>
  </si>
  <si>
    <t>EXTENDED WARRANTY ON THE NEW VAN</t>
  </si>
  <si>
    <t>E-TRANSFER FOR MARKETING PER ASSAMA</t>
  </si>
  <si>
    <t>WINSH REPAIR</t>
  </si>
  <si>
    <t>new 2020 RAM 3500 financed 84 months. total financing charges over term 19,094.42</t>
  </si>
  <si>
    <t>Service Charge</t>
  </si>
  <si>
    <t>INTENDED PAYEE NOT PAID</t>
  </si>
  <si>
    <t>RETUR</t>
  </si>
  <si>
    <t>PERMIT PAYMENTS</t>
  </si>
  <si>
    <t>new white truck</t>
  </si>
  <si>
    <t>PAYING THE QBS ON BEHAIF OF THE COMOANY</t>
  </si>
  <si>
    <t>paid from personal credit card fpr supplies</t>
  </si>
  <si>
    <t>PRINT OUT FROM STAPLES PAID PERSONLLY</t>
  </si>
  <si>
    <t>assama paid from his personal account</t>
  </si>
  <si>
    <t>assama paid from his personal account for lawyer and office needs</t>
  </si>
  <si>
    <t>haneen paid from personal account</t>
  </si>
  <si>
    <t>MISCELLANEOUS E-TRANSFER PER ASSAMA</t>
  </si>
  <si>
    <t>office supplies paid from haneen credit card</t>
  </si>
  <si>
    <t>auto repair paid from diaa</t>
  </si>
  <si>
    <t>15400 · Vehicles</t>
  </si>
  <si>
    <t>-SPLIT-</t>
  </si>
  <si>
    <t>Total 66000 · Payroll Expenses</t>
  </si>
  <si>
    <t>66100 · Management Fee</t>
  </si>
  <si>
    <t>Total 66100 · Management Fee</t>
  </si>
  <si>
    <t>66800 · Legal Fees</t>
  </si>
  <si>
    <t>Total 66800 · Legal Fees</t>
  </si>
  <si>
    <t>67100 · Rent Expense</t>
  </si>
  <si>
    <t>Total 67100 · Rent Expense</t>
  </si>
  <si>
    <t>67500 · ESA Inspections</t>
  </si>
  <si>
    <t>Total 67500 · ESA Inspections</t>
  </si>
  <si>
    <t>68100 · Telephone Expense</t>
  </si>
  <si>
    <t>Total 68100 · Telephone Expense</t>
  </si>
  <si>
    <t>68150 · Internet Expense</t>
  </si>
  <si>
    <t>Total 68150 · Internet Expense</t>
  </si>
  <si>
    <t>68600 · Utilities</t>
  </si>
  <si>
    <t>Total 68600 · Utilities</t>
  </si>
  <si>
    <t>Total Expense</t>
  </si>
  <si>
    <t>Net Ordinary Income</t>
  </si>
  <si>
    <t>Net Income</t>
  </si>
  <si>
    <t>1809</t>
  </si>
  <si>
    <t>1814</t>
  </si>
  <si>
    <t>1820</t>
  </si>
  <si>
    <t>1821</t>
  </si>
  <si>
    <t>1822</t>
  </si>
  <si>
    <t>1823</t>
  </si>
  <si>
    <t>1824</t>
  </si>
  <si>
    <t>1825</t>
  </si>
  <si>
    <t>1826</t>
  </si>
  <si>
    <t>1832</t>
  </si>
  <si>
    <t>1833</t>
  </si>
  <si>
    <t>1834</t>
  </si>
  <si>
    <t>1835</t>
  </si>
  <si>
    <t>1836</t>
  </si>
  <si>
    <t>1837</t>
  </si>
  <si>
    <t>1838</t>
  </si>
  <si>
    <t>1924</t>
  </si>
  <si>
    <t>1925</t>
  </si>
  <si>
    <t>1926</t>
  </si>
  <si>
    <t>1927</t>
  </si>
  <si>
    <t>1928</t>
  </si>
  <si>
    <t>1929</t>
  </si>
  <si>
    <t>1646</t>
  </si>
  <si>
    <t>1647</t>
  </si>
  <si>
    <t>1648</t>
  </si>
  <si>
    <t>1649</t>
  </si>
  <si>
    <t>1650</t>
  </si>
  <si>
    <t>1651</t>
  </si>
  <si>
    <t>1653</t>
  </si>
  <si>
    <t>1654</t>
  </si>
  <si>
    <t>1000228478 ONTARIO INC</t>
  </si>
  <si>
    <t>MAHOON LAW</t>
  </si>
  <si>
    <t>Zappa Investments</t>
  </si>
  <si>
    <t>ESA</t>
  </si>
  <si>
    <t>Bell Canada</t>
  </si>
  <si>
    <t>Enersource</t>
  </si>
  <si>
    <t>Enbridge</t>
  </si>
  <si>
    <t>Alectra Utilities</t>
  </si>
  <si>
    <t>legal fees for corporate setup and purchase of AC</t>
  </si>
  <si>
    <t>esa renewal fee</t>
  </si>
  <si>
    <t>august 11, 2022 utilities bill</t>
  </si>
  <si>
    <t>0962907863</t>
  </si>
  <si>
    <t>September 2022 utilities bill</t>
  </si>
  <si>
    <t>Row Labels</t>
  </si>
  <si>
    <t>Grand Total</t>
  </si>
  <si>
    <t>Sum of Amount</t>
  </si>
  <si>
    <t>Column Labels</t>
  </si>
  <si>
    <t>Apr</t>
  </si>
  <si>
    <t>May</t>
  </si>
  <si>
    <t>Jun</t>
  </si>
  <si>
    <t>Jul</t>
  </si>
  <si>
    <t>Aug</t>
  </si>
  <si>
    <t>Sep</t>
  </si>
  <si>
    <t>Oct</t>
  </si>
  <si>
    <t>Nov</t>
  </si>
  <si>
    <t>Dec</t>
  </si>
  <si>
    <t>COGS</t>
  </si>
  <si>
    <t>All</t>
  </si>
  <si>
    <t>revenue</t>
  </si>
  <si>
    <t>Gross Profit Margin</t>
  </si>
  <si>
    <t>Net Profit Margin</t>
  </si>
  <si>
    <t>Net Profit</t>
  </si>
  <si>
    <t>Job Materials Purchase</t>
  </si>
  <si>
    <t>Subcontractors expense</t>
  </si>
  <si>
    <t>Gilmore Accounting fees Journal</t>
  </si>
  <si>
    <t>Gilmore Accounting fees</t>
  </si>
  <si>
    <t>Automobile expenses</t>
  </si>
  <si>
    <t>Advertising</t>
  </si>
  <si>
    <t xml:space="preserve">Advertising </t>
  </si>
  <si>
    <t>Fuel-Trucks</t>
  </si>
  <si>
    <t>Bank-Services Charges</t>
  </si>
  <si>
    <t>Vehicle Lease</t>
  </si>
  <si>
    <t>Insurance</t>
  </si>
  <si>
    <t>Garbage Removal</t>
  </si>
  <si>
    <t>Gps tracking</t>
  </si>
  <si>
    <t>Meals and Entertainment</t>
  </si>
  <si>
    <t>Alarm</t>
  </si>
  <si>
    <t>Janitorial</t>
  </si>
  <si>
    <t>Office Supplies</t>
  </si>
  <si>
    <t>Management fee</t>
  </si>
  <si>
    <t>Legal Fees</t>
  </si>
  <si>
    <t>Rent</t>
  </si>
  <si>
    <t>ESA Inspection</t>
  </si>
  <si>
    <t>Telephone Expense</t>
  </si>
  <si>
    <t>Internet Expense</t>
  </si>
  <si>
    <t>Utilities</t>
  </si>
  <si>
    <t xml:space="preserve">PC Expense </t>
  </si>
  <si>
    <t>Business License/Permits</t>
  </si>
  <si>
    <t>Misc income</t>
  </si>
  <si>
    <t>Expenses</t>
  </si>
  <si>
    <t xml:space="preserve">ASSAMA </t>
  </si>
  <si>
    <t xml:space="preserve">ASSAMA  </t>
  </si>
  <si>
    <t xml:space="preserve">Haneen </t>
  </si>
  <si>
    <t>Haneen</t>
  </si>
  <si>
    <t>Diaa</t>
  </si>
  <si>
    <t>Hassan</t>
  </si>
  <si>
    <t>Peter</t>
  </si>
  <si>
    <t>Rowan</t>
  </si>
  <si>
    <t>Nayef</t>
  </si>
  <si>
    <t>Marc</t>
  </si>
  <si>
    <t>Yasameen</t>
  </si>
  <si>
    <t>Karim</t>
  </si>
  <si>
    <t>Maryam</t>
  </si>
  <si>
    <t>YESSAY</t>
  </si>
  <si>
    <t xml:space="preserve">ZAID </t>
  </si>
  <si>
    <t xml:space="preserve">syed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</si>
</sst>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_);\(&quot;$&quot;#,##0\)"/>
    <numFmt numFmtId="7" formatCode="&quot;$&quot;#,##0.00_);\(&quot;$&quot;#,##0.00\)"/>
    <numFmt numFmtId="44" formatCode="_(&quot;$&quot;* #,##0.00_);_(&quot;$&quot;* \(#,##0.00\);_(&quot;$&quot;* &quot;-&quot;??_);_(@_)"/>
    <numFmt numFmtId="164" formatCode="mm/dd/yyyy"/>
    <numFmt numFmtId="165" formatCode="#,##0.00;\-#,##0.00"/>
    <numFmt numFmtId="166" formatCode="&quot;$&quot;#,##0.00"/>
  </numFmts>
  <fonts count="5" x14ac:knownFonts="1">
    <font>
      <sz val="11"/>
      <color theme="1"/>
      <name val="Calibri"/>
      <family val="2"/>
      <scheme val="minor"/>
    </font>
    <font>
      <b/>
      <sz val="8"/>
      <color rgb="FF323232"/>
      <name val="Arial"/>
      <family val="2"/>
    </font>
    <font>
      <sz val="8"/>
      <color rgb="FF323232"/>
      <name val="Arial"/>
      <family val="2"/>
    </font>
    <font>
      <sz val="10"/>
      <name val="Arial"/>
    </font>
    <font>
      <sz val="11"/>
      <color theme="1"/>
      <name val="Calibri"/>
      <family val="2"/>
      <scheme val="minor"/>
    </font>
  </fonts>
  <fills count="2">
    <fill>
      <patternFill patternType="none"/>
    </fill>
    <fill>
      <patternFill patternType="gray125"/>
    </fill>
  </fills>
  <borders count="7">
    <border>
      <left/>
      <right/>
      <top/>
      <bottom/>
      <diagonal/>
    </border>
    <border>
      <left/>
      <right/>
      <top/>
      <bottom style="thick">
        <color indexed="64"/>
      </bottom>
      <diagonal/>
    </border>
    <border>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top style="medium">
        <color indexed="64"/>
      </top>
      <bottom style="double">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xf numFmtId="44" fontId="4" fillId="0" borderId="0" applyFont="0" applyFill="0" applyBorder="0" applyAlignment="0" applyProtection="0"/>
  </cellStyleXfs>
  <cellXfs count="25">
    <xf numFmtId="0" fontId="0" fillId="0" borderId="0" xfId="0"/>
    <xf numFmtId="49" fontId="0" fillId="0" borderId="0" xfId="0" applyNumberFormat="1"/>
    <xf numFmtId="49" fontId="1" fillId="0" borderId="0" xfId="0" applyNumberFormat="1" applyFont="1"/>
    <xf numFmtId="164" fontId="1" fillId="0" borderId="0" xfId="0" applyNumberFormat="1" applyFont="1"/>
    <xf numFmtId="165" fontId="1" fillId="0" borderId="0" xfId="0" applyNumberFormat="1" applyFont="1"/>
    <xf numFmtId="49" fontId="2" fillId="0" borderId="0" xfId="0" applyNumberFormat="1" applyFont="1"/>
    <xf numFmtId="164" fontId="2" fillId="0" borderId="0" xfId="0" applyNumberFormat="1" applyFont="1"/>
    <xf numFmtId="49" fontId="2" fillId="0" borderId="0" xfId="0" applyNumberFormat="1" applyFont="1" applyAlignment="1">
      <alignment horizontal="centerContinuous"/>
    </xf>
    <xf numFmtId="165" fontId="2" fillId="0" borderId="0" xfId="0" applyNumberFormat="1" applyFont="1"/>
    <xf numFmtId="165" fontId="2" fillId="0" borderId="2" xfId="0" applyNumberFormat="1" applyFont="1" applyBorder="1"/>
    <xf numFmtId="165" fontId="2" fillId="0" borderId="3" xfId="0" applyNumberFormat="1" applyFont="1" applyBorder="1"/>
    <xf numFmtId="165" fontId="2" fillId="0" borderId="4" xfId="0" applyNumberFormat="1" applyFont="1" applyBorder="1"/>
    <xf numFmtId="165" fontId="1" fillId="0" borderId="5" xfId="0" applyNumberFormat="1" applyFont="1" applyBorder="1"/>
    <xf numFmtId="0" fontId="1" fillId="0" borderId="0" xfId="0" applyFont="1"/>
    <xf numFmtId="49" fontId="0" fillId="0" borderId="0" xfId="0" applyNumberFormat="1" applyAlignment="1">
      <alignment horizontal="center"/>
    </xf>
    <xf numFmtId="49" fontId="1" fillId="0" borderId="1" xfId="0" applyNumberFormat="1" applyFont="1" applyBorder="1" applyAlignment="1">
      <alignment horizontal="center"/>
    </xf>
    <xf numFmtId="0" fontId="0" fillId="0" borderId="0" xfId="0" applyAlignment="1">
      <alignment horizontal="center"/>
    </xf>
    <xf numFmtId="0" fontId="0" fillId="0" borderId="0" xfId="0" pivotButton="1"/>
    <xf numFmtId="0" fontId="0" fillId="0" borderId="0" xfId="0" applyAlignment="1">
      <alignment horizontal="left"/>
    </xf>
    <xf numFmtId="166" fontId="0" fillId="0" borderId="0" xfId="0" applyNumberFormat="1"/>
    <xf numFmtId="166" fontId="0" fillId="0" borderId="6" xfId="0" applyNumberFormat="1" applyBorder="1"/>
    <xf numFmtId="5" fontId="0" fillId="0" borderId="0" xfId="0" applyNumberFormat="1"/>
    <xf numFmtId="10" fontId="0" fillId="0" borderId="0" xfId="0" applyNumberFormat="1"/>
    <xf numFmtId="7" fontId="0" fillId="0" borderId="0" xfId="0" applyNumberFormat="1"/>
    <xf numFmtId="44" fontId="0" fillId="0" borderId="0" xfId="2" applyFont="1"/>
  </cellXfs>
  <cellStyles count="3">
    <cellStyle name="Currency" xfId="2" builtinId="4"/>
    <cellStyle name="Normal" xfId="0" builtinId="0"/>
    <cellStyle name="Normal 2" xfId="1" xr:uid="{E180B2C4-6721-47B2-92B1-D460B91CEF0E}"/>
  </cellStyles>
  <dxfs count="2">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[Freelance Work.xlsm]Sheet2!PivotTable4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Sheet2!$M$1</c:f>
              <c:strCache>
                <c:ptCount val="1"/>
                <c:pt idx="0">
                  <c:v>Total</c:v>
                </c:pt>
              </c:strCache>
            </c:strRef>
          </c:tx>
          <c:spPr>
            <a:solidFill>
              <a:schemeClr val="accent1"/>
            </a:solidFill>
            <a:ln>
              <a:noFill/>
            </a:ln>
            <a:effectLst/>
          </c:spPr>
          <c:invertIfNegative val="0"/>
          <c:cat>
            <c:strRef>
              <c:f>Sheet2!$L$2:$L$11</c:f>
              <c:strCache>
                <c:ptCount val="9"/>
                <c:pt idx="0">
                  <c:v>Sep</c:v>
                </c:pt>
                <c:pt idx="1">
                  <c:v>Aug</c:v>
                </c:pt>
                <c:pt idx="2">
                  <c:v>Jul</c:v>
                </c:pt>
                <c:pt idx="3">
                  <c:v>Apr</c:v>
                </c:pt>
                <c:pt idx="4">
                  <c:v>Dec</c:v>
                </c:pt>
                <c:pt idx="5">
                  <c:v>Oct</c:v>
                </c:pt>
                <c:pt idx="6">
                  <c:v>Jun</c:v>
                </c:pt>
                <c:pt idx="7">
                  <c:v>Nov</c:v>
                </c:pt>
                <c:pt idx="8">
                  <c:v>May</c:v>
                </c:pt>
              </c:strCache>
            </c:strRef>
          </c:cat>
          <c:val>
            <c:numRef>
              <c:f>Sheet2!$M$2:$M$11</c:f>
              <c:numCache>
                <c:formatCode>"$"#,##0.00</c:formatCode>
                <c:ptCount val="9"/>
                <c:pt idx="0">
                  <c:v>312653.59999999998</c:v>
                </c:pt>
                <c:pt idx="1">
                  <c:v>130057.99999999999</c:v>
                </c:pt>
                <c:pt idx="2">
                  <c:v>108274.82999999997</c:v>
                </c:pt>
                <c:pt idx="3">
                  <c:v>63257.56</c:v>
                </c:pt>
                <c:pt idx="4">
                  <c:v>60665.920000000006</c:v>
                </c:pt>
                <c:pt idx="5">
                  <c:v>47141.84</c:v>
                </c:pt>
                <c:pt idx="6">
                  <c:v>31664.15</c:v>
                </c:pt>
                <c:pt idx="7">
                  <c:v>7999.5599999999977</c:v>
                </c:pt>
                <c:pt idx="8">
                  <c:v>975</c:v>
                </c:pt>
              </c:numCache>
            </c:numRef>
          </c:val>
          <c:extLst>
            <c:ext xmlns:c16="http://schemas.microsoft.com/office/drawing/2014/chart" uri="{C3380CC4-5D6E-409C-BE32-E72D297353CC}">
              <c16:uniqueId val="{00000000-6435-4637-B3E8-35D5AD276DAC}"/>
            </c:ext>
          </c:extLst>
        </c:ser>
        <c:dLbls>
          <c:showLegendKey val="0"/>
          <c:showVal val="0"/>
          <c:showCatName val="0"/>
          <c:showSerName val="0"/>
          <c:showPercent val="0"/>
          <c:showBubbleSize val="0"/>
        </c:dLbls>
        <c:gapWidth val="150"/>
        <c:overlap val="100"/>
        <c:axId val="729121256"/>
        <c:axId val="729129176"/>
      </c:barChart>
      <c:catAx>
        <c:axId val="729121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129176"/>
        <c:crosses val="autoZero"/>
        <c:auto val="1"/>
        <c:lblAlgn val="ctr"/>
        <c:lblOffset val="100"/>
        <c:noMultiLvlLbl val="0"/>
      </c:catAx>
      <c:valAx>
        <c:axId val="7291291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121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[Freelance Work.xlsm]Sheet3!PivotTable2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Sheet3!$B$45:$B$47</c:f>
              <c:strCache>
                <c:ptCount val="1"/>
                <c:pt idx="0">
                  <c:v>Apr</c:v>
                </c:pt>
              </c:strCache>
            </c:strRef>
          </c:tx>
          <c:spPr>
            <a:solidFill>
              <a:schemeClr val="accent1"/>
            </a:solidFill>
            <a:ln>
              <a:noFill/>
            </a:ln>
            <a:effectLst/>
          </c:spPr>
          <c:invertIfNegative val="0"/>
          <c:cat>
            <c:strRef>
              <c:f>Sheet3!$A$48:$A$70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Sheet3!$B$48:$B$70</c:f>
              <c:numCache>
                <c:formatCode>"$"#,##0.00</c:formatCode>
                <c:ptCount val="22"/>
                <c:pt idx="13">
                  <c:v>2900.1</c:v>
                </c:pt>
              </c:numCache>
            </c:numRef>
          </c:val>
          <c:extLst>
            <c:ext xmlns:c16="http://schemas.microsoft.com/office/drawing/2014/chart" uri="{C3380CC4-5D6E-409C-BE32-E72D297353CC}">
              <c16:uniqueId val="{00000000-BEF0-4B5C-9A60-62B88BBBC660}"/>
            </c:ext>
          </c:extLst>
        </c:ser>
        <c:ser>
          <c:idx val="1"/>
          <c:order val="1"/>
          <c:tx>
            <c:strRef>
              <c:f>Sheet3!$C$45:$C$47</c:f>
              <c:strCache>
                <c:ptCount val="1"/>
                <c:pt idx="0">
                  <c:v>May</c:v>
                </c:pt>
              </c:strCache>
            </c:strRef>
          </c:tx>
          <c:spPr>
            <a:solidFill>
              <a:schemeClr val="accent2"/>
            </a:solidFill>
            <a:ln>
              <a:noFill/>
            </a:ln>
            <a:effectLst/>
          </c:spPr>
          <c:invertIfNegative val="0"/>
          <c:cat>
            <c:strRef>
              <c:f>Sheet3!$A$48:$A$70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Sheet3!$C$48:$C$70</c:f>
              <c:numCache>
                <c:formatCode>"$"#,##0.00</c:formatCode>
                <c:ptCount val="22"/>
                <c:pt idx="0">
                  <c:v>1559.5</c:v>
                </c:pt>
                <c:pt idx="1">
                  <c:v>918.71</c:v>
                </c:pt>
                <c:pt idx="4">
                  <c:v>425.47</c:v>
                </c:pt>
                <c:pt idx="18">
                  <c:v>3855</c:v>
                </c:pt>
              </c:numCache>
            </c:numRef>
          </c:val>
          <c:extLst>
            <c:ext xmlns:c16="http://schemas.microsoft.com/office/drawing/2014/chart" uri="{C3380CC4-5D6E-409C-BE32-E72D297353CC}">
              <c16:uniqueId val="{00000001-BEF0-4B5C-9A60-62B88BBBC660}"/>
            </c:ext>
          </c:extLst>
        </c:ser>
        <c:ser>
          <c:idx val="2"/>
          <c:order val="2"/>
          <c:tx>
            <c:strRef>
              <c:f>Sheet3!$D$45:$D$47</c:f>
              <c:strCache>
                <c:ptCount val="1"/>
                <c:pt idx="0">
                  <c:v>Jul</c:v>
                </c:pt>
              </c:strCache>
            </c:strRef>
          </c:tx>
          <c:spPr>
            <a:solidFill>
              <a:schemeClr val="accent3"/>
            </a:solidFill>
            <a:ln>
              <a:noFill/>
            </a:ln>
            <a:effectLst/>
          </c:spPr>
          <c:invertIfNegative val="0"/>
          <c:cat>
            <c:strRef>
              <c:f>Sheet3!$A$48:$A$70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Sheet3!$D$48:$D$70</c:f>
              <c:numCache>
                <c:formatCode>"$"#,##0.00</c:formatCode>
                <c:ptCount val="22"/>
                <c:pt idx="4">
                  <c:v>311.93</c:v>
                </c:pt>
                <c:pt idx="9">
                  <c:v>5815</c:v>
                </c:pt>
                <c:pt idx="12">
                  <c:v>260.7</c:v>
                </c:pt>
              </c:numCache>
            </c:numRef>
          </c:val>
          <c:extLst>
            <c:ext xmlns:c16="http://schemas.microsoft.com/office/drawing/2014/chart" uri="{C3380CC4-5D6E-409C-BE32-E72D297353CC}">
              <c16:uniqueId val="{00000002-BEF0-4B5C-9A60-62B88BBBC660}"/>
            </c:ext>
          </c:extLst>
        </c:ser>
        <c:ser>
          <c:idx val="3"/>
          <c:order val="3"/>
          <c:tx>
            <c:strRef>
              <c:f>Sheet3!$E$45:$E$47</c:f>
              <c:strCache>
                <c:ptCount val="1"/>
                <c:pt idx="0">
                  <c:v>Aug</c:v>
                </c:pt>
              </c:strCache>
            </c:strRef>
          </c:tx>
          <c:spPr>
            <a:solidFill>
              <a:schemeClr val="accent4"/>
            </a:solidFill>
            <a:ln>
              <a:noFill/>
            </a:ln>
            <a:effectLst/>
          </c:spPr>
          <c:invertIfNegative val="0"/>
          <c:cat>
            <c:strRef>
              <c:f>Sheet3!$A$48:$A$70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Sheet3!$E$48:$E$70</c:f>
              <c:numCache>
                <c:formatCode>"$"#,##0.00</c:formatCode>
                <c:ptCount val="22"/>
                <c:pt idx="10">
                  <c:v>2071.66</c:v>
                </c:pt>
              </c:numCache>
            </c:numRef>
          </c:val>
          <c:extLst>
            <c:ext xmlns:c16="http://schemas.microsoft.com/office/drawing/2014/chart" uri="{C3380CC4-5D6E-409C-BE32-E72D297353CC}">
              <c16:uniqueId val="{00000003-BEF0-4B5C-9A60-62B88BBBC660}"/>
            </c:ext>
          </c:extLst>
        </c:ser>
        <c:ser>
          <c:idx val="4"/>
          <c:order val="4"/>
          <c:tx>
            <c:strRef>
              <c:f>Sheet3!$F$45:$F$47</c:f>
              <c:strCache>
                <c:ptCount val="1"/>
                <c:pt idx="0">
                  <c:v>Sep</c:v>
                </c:pt>
              </c:strCache>
            </c:strRef>
          </c:tx>
          <c:spPr>
            <a:solidFill>
              <a:schemeClr val="accent5"/>
            </a:solidFill>
            <a:ln>
              <a:noFill/>
            </a:ln>
            <a:effectLst/>
          </c:spPr>
          <c:invertIfNegative val="0"/>
          <c:cat>
            <c:strRef>
              <c:f>Sheet3!$A$48:$A$70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Sheet3!$F$48:$F$70</c:f>
              <c:numCache>
                <c:formatCode>"$"#,##0.00</c:formatCode>
                <c:ptCount val="22"/>
                <c:pt idx="7">
                  <c:v>2124.79</c:v>
                </c:pt>
                <c:pt idx="15">
                  <c:v>17377.27</c:v>
                </c:pt>
              </c:numCache>
            </c:numRef>
          </c:val>
          <c:extLst>
            <c:ext xmlns:c16="http://schemas.microsoft.com/office/drawing/2014/chart" uri="{C3380CC4-5D6E-409C-BE32-E72D297353CC}">
              <c16:uniqueId val="{00000004-BEF0-4B5C-9A60-62B88BBBC660}"/>
            </c:ext>
          </c:extLst>
        </c:ser>
        <c:ser>
          <c:idx val="5"/>
          <c:order val="5"/>
          <c:tx>
            <c:strRef>
              <c:f>Sheet3!$G$45:$G$47</c:f>
              <c:strCache>
                <c:ptCount val="1"/>
                <c:pt idx="0">
                  <c:v>Oct</c:v>
                </c:pt>
              </c:strCache>
            </c:strRef>
          </c:tx>
          <c:spPr>
            <a:solidFill>
              <a:schemeClr val="accent6"/>
            </a:solidFill>
            <a:ln>
              <a:noFill/>
            </a:ln>
            <a:effectLst/>
          </c:spPr>
          <c:invertIfNegative val="0"/>
          <c:cat>
            <c:strRef>
              <c:f>Sheet3!$A$48:$A$70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Sheet3!$G$48:$G$70</c:f>
              <c:numCache>
                <c:formatCode>"$"#,##0.00</c:formatCode>
                <c:ptCount val="22"/>
                <c:pt idx="7">
                  <c:v>2212.39</c:v>
                </c:pt>
              </c:numCache>
            </c:numRef>
          </c:val>
          <c:extLst>
            <c:ext xmlns:c16="http://schemas.microsoft.com/office/drawing/2014/chart" uri="{C3380CC4-5D6E-409C-BE32-E72D297353CC}">
              <c16:uniqueId val="{00000005-BEF0-4B5C-9A60-62B88BBBC660}"/>
            </c:ext>
          </c:extLst>
        </c:ser>
        <c:ser>
          <c:idx val="6"/>
          <c:order val="6"/>
          <c:tx>
            <c:strRef>
              <c:f>Sheet3!$H$45:$H$47</c:f>
              <c:strCache>
                <c:ptCount val="1"/>
                <c:pt idx="0">
                  <c:v>Nov</c:v>
                </c:pt>
              </c:strCache>
            </c:strRef>
          </c:tx>
          <c:spPr>
            <a:solidFill>
              <a:schemeClr val="accent1">
                <a:lumMod val="60000"/>
              </a:schemeClr>
            </a:solidFill>
            <a:ln>
              <a:noFill/>
            </a:ln>
            <a:effectLst/>
          </c:spPr>
          <c:invertIfNegative val="0"/>
          <c:cat>
            <c:strRef>
              <c:f>Sheet3!$A$48:$A$70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Sheet3!$H$48:$H$70</c:f>
              <c:numCache>
                <c:formatCode>"$"#,##0.00</c:formatCode>
                <c:ptCount val="22"/>
                <c:pt idx="1">
                  <c:v>2212.39</c:v>
                </c:pt>
                <c:pt idx="5">
                  <c:v>10062</c:v>
                </c:pt>
                <c:pt idx="8">
                  <c:v>350.07</c:v>
                </c:pt>
                <c:pt idx="16">
                  <c:v>371.3</c:v>
                </c:pt>
                <c:pt idx="17">
                  <c:v>3939.6</c:v>
                </c:pt>
                <c:pt idx="19">
                  <c:v>271.08</c:v>
                </c:pt>
                <c:pt idx="20">
                  <c:v>618.76</c:v>
                </c:pt>
              </c:numCache>
            </c:numRef>
          </c:val>
          <c:extLst>
            <c:ext xmlns:c16="http://schemas.microsoft.com/office/drawing/2014/chart" uri="{C3380CC4-5D6E-409C-BE32-E72D297353CC}">
              <c16:uniqueId val="{00000006-BEF0-4B5C-9A60-62B88BBBC660}"/>
            </c:ext>
          </c:extLst>
        </c:ser>
        <c:ser>
          <c:idx val="7"/>
          <c:order val="7"/>
          <c:tx>
            <c:strRef>
              <c:f>Sheet3!$I$45:$I$47</c:f>
              <c:strCache>
                <c:ptCount val="1"/>
                <c:pt idx="0">
                  <c:v>Dec</c:v>
                </c:pt>
              </c:strCache>
            </c:strRef>
          </c:tx>
          <c:spPr>
            <a:solidFill>
              <a:schemeClr val="accent2">
                <a:lumMod val="60000"/>
              </a:schemeClr>
            </a:solidFill>
            <a:ln>
              <a:noFill/>
            </a:ln>
            <a:effectLst/>
          </c:spPr>
          <c:invertIfNegative val="0"/>
          <c:cat>
            <c:strRef>
              <c:f>Sheet3!$A$48:$A$70</c:f>
              <c:strCache>
                <c:ptCount val="22"/>
                <c:pt idx="0">
                  <c:v>APA TORONTO</c:v>
                </c:pt>
                <c:pt idx="1">
                  <c:v>ARAY LED INC</c:v>
                </c:pt>
                <c:pt idx="2">
                  <c:v>ASSAMCO</c:v>
                </c:pt>
                <c:pt idx="3">
                  <c:v>Canadian Tire Store</c:v>
                </c:pt>
                <c:pt idx="4">
                  <c:v>Diaa Hijazi</c:v>
                </c:pt>
                <c:pt idx="5">
                  <c:v>GLOBAL NGINEERING</c:v>
                </c:pt>
                <c:pt idx="6">
                  <c:v>GTA  ATUOMATIC DOOR SYSTEMS INC</c:v>
                </c:pt>
                <c:pt idx="7">
                  <c:v>HERITAGE ELECTRICAL SUPPLIES</c:v>
                </c:pt>
                <c:pt idx="8">
                  <c:v>Home Depot</c:v>
                </c:pt>
                <c:pt idx="9">
                  <c:v>Impulse</c:v>
                </c:pt>
                <c:pt idx="10">
                  <c:v>ITM INSTRUMENTS INC</c:v>
                </c:pt>
                <c:pt idx="11">
                  <c:v>LEMCO ELECTRIC</c:v>
                </c:pt>
                <c:pt idx="12">
                  <c:v>Nayef. Abboud</c:v>
                </c:pt>
                <c:pt idx="13">
                  <c:v>ONEIL ELECTRIC</c:v>
                </c:pt>
                <c:pt idx="14">
                  <c:v>PRIMARY LIGHTING INC</c:v>
                </c:pt>
                <c:pt idx="15">
                  <c:v>RBC</c:v>
                </c:pt>
                <c:pt idx="16">
                  <c:v>RONA</c:v>
                </c:pt>
                <c:pt idx="17">
                  <c:v>SESCO</c:v>
                </c:pt>
                <c:pt idx="18">
                  <c:v>SURPLUS ELECTRICAL</c:v>
                </c:pt>
                <c:pt idx="19">
                  <c:v>TESLA  LIGHTING</c:v>
                </c:pt>
                <c:pt idx="20">
                  <c:v>Uline Canada Corporation</c:v>
                </c:pt>
                <c:pt idx="21">
                  <c:v>WESTBURNE</c:v>
                </c:pt>
              </c:strCache>
            </c:strRef>
          </c:cat>
          <c:val>
            <c:numRef>
              <c:f>Sheet3!$I$48:$I$70</c:f>
              <c:numCache>
                <c:formatCode>"$"#,##0.00</c:formatCode>
                <c:ptCount val="22"/>
                <c:pt idx="1">
                  <c:v>5268.92</c:v>
                </c:pt>
                <c:pt idx="2">
                  <c:v>2084.6799999999998</c:v>
                </c:pt>
                <c:pt idx="3">
                  <c:v>31.47</c:v>
                </c:pt>
                <c:pt idx="4">
                  <c:v>626.5</c:v>
                </c:pt>
                <c:pt idx="6">
                  <c:v>8620</c:v>
                </c:pt>
                <c:pt idx="7">
                  <c:v>2355.27</c:v>
                </c:pt>
                <c:pt idx="8">
                  <c:v>24.05</c:v>
                </c:pt>
                <c:pt idx="11">
                  <c:v>1065.08</c:v>
                </c:pt>
                <c:pt idx="14">
                  <c:v>2320</c:v>
                </c:pt>
                <c:pt idx="16">
                  <c:v>33.380000000000003</c:v>
                </c:pt>
                <c:pt idx="21">
                  <c:v>554.42999999999995</c:v>
                </c:pt>
              </c:numCache>
            </c:numRef>
          </c:val>
          <c:extLst>
            <c:ext xmlns:c16="http://schemas.microsoft.com/office/drawing/2014/chart" uri="{C3380CC4-5D6E-409C-BE32-E72D297353CC}">
              <c16:uniqueId val="{00000007-BEF0-4B5C-9A60-62B88BBBC660}"/>
            </c:ext>
          </c:extLst>
        </c:ser>
        <c:dLbls>
          <c:showLegendKey val="0"/>
          <c:showVal val="0"/>
          <c:showCatName val="0"/>
          <c:showSerName val="0"/>
          <c:showPercent val="0"/>
          <c:showBubbleSize val="0"/>
        </c:dLbls>
        <c:gapWidth val="150"/>
        <c:overlap val="100"/>
        <c:axId val="553464784"/>
        <c:axId val="553468024"/>
      </c:barChart>
      <c:catAx>
        <c:axId val="55346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68024"/>
        <c:crosses val="autoZero"/>
        <c:auto val="1"/>
        <c:lblAlgn val="ctr"/>
        <c:lblOffset val="100"/>
        <c:noMultiLvlLbl val="0"/>
      </c:catAx>
      <c:valAx>
        <c:axId val="5534680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64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[Freelance Work.xlsm]Sheet3!PivotTable1</c:name>
    <c:fmtId val="2"/>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spPr>
          <a:solidFill>
            <a:schemeClr val="accent1"/>
          </a:solidFill>
          <a:ln>
            <a:noFill/>
          </a:ln>
          <a:effectLst>
            <a:outerShdw blurRad="317500" algn="ctr" rotWithShape="0">
              <a:prstClr val="black">
                <a:alpha val="25000"/>
              </a:prstClr>
            </a:outerShdw>
          </a:effectLst>
        </c:spPr>
      </c:pivotFmt>
      <c:pivotFmt>
        <c:idx val="28"/>
        <c:spPr>
          <a:solidFill>
            <a:schemeClr val="accent1"/>
          </a:solidFill>
          <a:ln>
            <a:noFill/>
          </a:ln>
          <a:effectLst>
            <a:outerShdw blurRad="317500" algn="ctr" rotWithShape="0">
              <a:prstClr val="black">
                <a:alpha val="25000"/>
              </a:prstClr>
            </a:outerShdw>
          </a:effectLst>
        </c:spPr>
      </c:pivotFmt>
      <c:pivotFmt>
        <c:idx val="29"/>
        <c:spPr>
          <a:solidFill>
            <a:schemeClr val="accent1"/>
          </a:solidFill>
          <a:ln>
            <a:noFill/>
          </a:ln>
          <a:effectLst>
            <a:outerShdw blurRad="317500" algn="ctr" rotWithShape="0">
              <a:prstClr val="black">
                <a:alpha val="25000"/>
              </a:prstClr>
            </a:outerShdw>
          </a:effectLst>
        </c:spPr>
      </c:pivotFmt>
      <c:pivotFmt>
        <c:idx val="30"/>
        <c:spPr>
          <a:solidFill>
            <a:schemeClr val="accent1"/>
          </a:solidFill>
          <a:ln>
            <a:noFill/>
          </a:ln>
          <a:effectLst>
            <a:outerShdw blurRad="317500" algn="ctr" rotWithShape="0">
              <a:prstClr val="black">
                <a:alpha val="25000"/>
              </a:prstClr>
            </a:outerShdw>
          </a:effectLst>
        </c:spPr>
      </c:pivotFmt>
      <c:pivotFmt>
        <c:idx val="31"/>
        <c:spPr>
          <a:solidFill>
            <a:schemeClr val="accent1"/>
          </a:solidFill>
          <a:ln>
            <a:noFill/>
          </a:ln>
          <a:effectLst>
            <a:outerShdw blurRad="317500" algn="ctr" rotWithShape="0">
              <a:prstClr val="black">
                <a:alpha val="25000"/>
              </a:prstClr>
            </a:outerShdw>
          </a:effectLst>
        </c:spPr>
      </c:pivotFmt>
      <c:pivotFmt>
        <c:idx val="32"/>
        <c:spPr>
          <a:solidFill>
            <a:schemeClr val="accent1"/>
          </a:solidFill>
          <a:ln>
            <a:noFill/>
          </a:ln>
          <a:effectLst>
            <a:outerShdw blurRad="317500" algn="ctr" rotWithShape="0">
              <a:prstClr val="black">
                <a:alpha val="25000"/>
              </a:prstClr>
            </a:outerShdw>
          </a:effectLst>
        </c:spPr>
      </c:pivotFmt>
      <c:pivotFmt>
        <c:idx val="33"/>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Sheet3!$B$4</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82C-4376-B66F-98522AEE6A3F}"/>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82C-4376-B66F-98522AEE6A3F}"/>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A82C-4376-B66F-98522AEE6A3F}"/>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A82C-4376-B66F-98522AEE6A3F}"/>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A82C-4376-B66F-98522AEE6A3F}"/>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A82C-4376-B66F-98522AEE6A3F}"/>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A82C-4376-B66F-98522AEE6A3F}"/>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A82C-4376-B66F-98522AEE6A3F}"/>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A82C-4376-B66F-98522AEE6A3F}"/>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A82C-4376-B66F-98522AEE6A3F}"/>
              </c:ext>
            </c:extLst>
          </c:dPt>
          <c:dPt>
            <c:idx val="10"/>
            <c:bubble3D val="0"/>
            <c:spPr>
              <a:solidFill>
                <a:schemeClr val="accent5">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A82C-4376-B66F-98522AEE6A3F}"/>
              </c:ext>
            </c:extLst>
          </c:dPt>
          <c:dPt>
            <c:idx val="11"/>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A82C-4376-B66F-98522AEE6A3F}"/>
              </c:ext>
            </c:extLst>
          </c:dPt>
          <c:dPt>
            <c:idx val="12"/>
            <c:bubble3D val="0"/>
            <c:spPr>
              <a:solidFill>
                <a:schemeClr val="accent1">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A82C-4376-B66F-98522AEE6A3F}"/>
              </c:ext>
            </c:extLst>
          </c:dPt>
          <c:dPt>
            <c:idx val="13"/>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B-A82C-4376-B66F-98522AEE6A3F}"/>
              </c:ext>
            </c:extLst>
          </c:dPt>
          <c:dPt>
            <c:idx val="14"/>
            <c:bubble3D val="0"/>
            <c:spPr>
              <a:solidFill>
                <a:schemeClr val="accent3">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D-A82C-4376-B66F-98522AEE6A3F}"/>
              </c:ext>
            </c:extLst>
          </c:dPt>
          <c:dPt>
            <c:idx val="15"/>
            <c:bubble3D val="0"/>
            <c:spPr>
              <a:solidFill>
                <a:schemeClr val="accent4">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F-A82C-4376-B66F-98522AEE6A3F}"/>
              </c:ext>
            </c:extLst>
          </c:dPt>
          <c:dPt>
            <c:idx val="16"/>
            <c:bubble3D val="0"/>
            <c:spPr>
              <a:solidFill>
                <a:schemeClr val="accent5">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1-A82C-4376-B66F-98522AEE6A3F}"/>
              </c:ext>
            </c:extLst>
          </c:dPt>
          <c:dPt>
            <c:idx val="17"/>
            <c:bubble3D val="0"/>
            <c:spPr>
              <a:solidFill>
                <a:schemeClr val="accent6">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3-A82C-4376-B66F-98522AEE6A3F}"/>
              </c:ext>
            </c:extLst>
          </c:dPt>
          <c:dPt>
            <c:idx val="18"/>
            <c:bubble3D val="0"/>
            <c:spPr>
              <a:solidFill>
                <a:schemeClr val="accent1">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5-A82C-4376-B66F-98522AEE6A3F}"/>
              </c:ext>
            </c:extLst>
          </c:dPt>
          <c:dPt>
            <c:idx val="19"/>
            <c:bubble3D val="0"/>
            <c:spPr>
              <a:solidFill>
                <a:schemeClr val="accent2">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7-A82C-4376-B66F-98522AEE6A3F}"/>
              </c:ext>
            </c:extLst>
          </c:dPt>
          <c:dPt>
            <c:idx val="20"/>
            <c:bubble3D val="0"/>
            <c:spPr>
              <a:solidFill>
                <a:schemeClr val="accent3">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9-A82C-4376-B66F-98522AEE6A3F}"/>
              </c:ext>
            </c:extLst>
          </c:dPt>
          <c:dPt>
            <c:idx val="21"/>
            <c:bubble3D val="0"/>
            <c:spPr>
              <a:solidFill>
                <a:schemeClr val="accent4">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B-A82C-4376-B66F-98522AEE6A3F}"/>
              </c:ext>
            </c:extLst>
          </c:dPt>
          <c:dPt>
            <c:idx val="22"/>
            <c:bubble3D val="0"/>
            <c:spPr>
              <a:solidFill>
                <a:schemeClr val="accent5">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D-A82C-4376-B66F-98522AEE6A3F}"/>
              </c:ext>
            </c:extLst>
          </c:dPt>
          <c:dPt>
            <c:idx val="23"/>
            <c:bubble3D val="0"/>
            <c:spPr>
              <a:solidFill>
                <a:schemeClr val="accent6">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F-A82C-4376-B66F-98522AEE6A3F}"/>
              </c:ext>
            </c:extLst>
          </c:dPt>
          <c:dPt>
            <c:idx val="24"/>
            <c:bubble3D val="0"/>
            <c:spPr>
              <a:solidFill>
                <a:schemeClr val="accent1">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1-A82C-4376-B66F-98522AEE6A3F}"/>
              </c:ext>
            </c:extLst>
          </c:dPt>
          <c:dPt>
            <c:idx val="25"/>
            <c:bubble3D val="0"/>
            <c:spPr>
              <a:solidFill>
                <a:schemeClr val="accent2">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3-A82C-4376-B66F-98522AEE6A3F}"/>
              </c:ext>
            </c:extLst>
          </c:dPt>
          <c:dPt>
            <c:idx val="26"/>
            <c:bubble3D val="0"/>
            <c:spPr>
              <a:solidFill>
                <a:schemeClr val="accent3">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5-A82C-4376-B66F-98522AEE6A3F}"/>
              </c:ext>
            </c:extLst>
          </c:dPt>
          <c:dPt>
            <c:idx val="27"/>
            <c:bubble3D val="0"/>
            <c:spPr>
              <a:solidFill>
                <a:schemeClr val="accent4">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7-A82C-4376-B66F-98522AEE6A3F}"/>
              </c:ext>
            </c:extLst>
          </c:dPt>
          <c:dPt>
            <c:idx val="28"/>
            <c:bubble3D val="0"/>
            <c:spPr>
              <a:solidFill>
                <a:schemeClr val="accent5">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9-A82C-4376-B66F-98522AEE6A3F}"/>
              </c:ext>
            </c:extLst>
          </c:dPt>
          <c:dPt>
            <c:idx val="29"/>
            <c:bubble3D val="0"/>
            <c:spPr>
              <a:solidFill>
                <a:schemeClr val="accent6">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B-A82C-4376-B66F-98522AEE6A3F}"/>
              </c:ext>
            </c:extLst>
          </c:dPt>
          <c:dPt>
            <c:idx val="30"/>
            <c:bubble3D val="0"/>
            <c:spPr>
              <a:solidFill>
                <a:schemeClr val="accent1">
                  <a:lumMod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D-A82C-4376-B66F-98522AEE6A3F}"/>
              </c:ext>
            </c:extLst>
          </c:dPt>
          <c:dPt>
            <c:idx val="31"/>
            <c:bubble3D val="0"/>
            <c:spPr>
              <a:solidFill>
                <a:schemeClr val="accent2">
                  <a:lumMod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F-A82C-4376-B66F-98522AEE6A3F}"/>
              </c:ext>
            </c:extLst>
          </c:dPt>
          <c:dPt>
            <c:idx val="32"/>
            <c:bubble3D val="0"/>
            <c:spPr>
              <a:solidFill>
                <a:schemeClr val="accent3">
                  <a:lumMod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41-A82C-4376-B66F-98522AEE6A3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Sheet3!$A$5:$A$38</c:f>
              <c:strCache>
                <c:ptCount val="33"/>
                <c:pt idx="0">
                  <c:v>PEEL DISTRICT SCHOOL BOARD</c:v>
                </c:pt>
                <c:pt idx="1">
                  <c:v>GREENSAVER</c:v>
                </c:pt>
                <c:pt idx="2">
                  <c:v>RETROFIT -GREENSAVER</c:v>
                </c:pt>
                <c:pt idx="3">
                  <c:v>MOUNTAIN HOMES</c:v>
                </c:pt>
                <c:pt idx="4">
                  <c:v>MY MARUTI CONSTRUCTION</c:v>
                </c:pt>
                <c:pt idx="5">
                  <c:v>VIA CANADA HOLDING GROUP</c:v>
                </c:pt>
                <c:pt idx="6">
                  <c:v>CANMAR</c:v>
                </c:pt>
                <c:pt idx="7">
                  <c:v>JAI BAJVANI</c:v>
                </c:pt>
                <c:pt idx="8">
                  <c:v>HYUNDAI</c:v>
                </c:pt>
                <c:pt idx="9">
                  <c:v>BAYVIEW STEELS AUTO COLLISION</c:v>
                </c:pt>
                <c:pt idx="10">
                  <c:v>syed shah</c:v>
                </c:pt>
                <c:pt idx="11">
                  <c:v>ROYAL PLAN &amp; PUNJAB RESTURANT</c:v>
                </c:pt>
                <c:pt idx="12">
                  <c:v>City of Mississauga</c:v>
                </c:pt>
                <c:pt idx="13">
                  <c:v>ROLLER SKATING PLACE</c:v>
                </c:pt>
                <c:pt idx="14">
                  <c:v>MITS</c:v>
                </c:pt>
                <c:pt idx="15">
                  <c:v>RP PAINTING</c:v>
                </c:pt>
                <c:pt idx="16">
                  <c:v>NADEEM AHMED</c:v>
                </c:pt>
                <c:pt idx="17">
                  <c:v>GOLDMOOR INC</c:v>
                </c:pt>
                <c:pt idx="18">
                  <c:v>Nedco Energy Services</c:v>
                </c:pt>
                <c:pt idx="19">
                  <c:v>CREPE STAR</c:v>
                </c:pt>
                <c:pt idx="20">
                  <c:v>HALIBUT FISH AND CHIPS</c:v>
                </c:pt>
                <c:pt idx="21">
                  <c:v>MARBLE SLAB CREAMERY GUELPH</c:v>
                </c:pt>
                <c:pt idx="22">
                  <c:v>TOTAL EXHAUST FAN</c:v>
                </c:pt>
                <c:pt idx="23">
                  <c:v>KRISKA</c:v>
                </c:pt>
                <c:pt idx="24">
                  <c:v>PREET KHALSA</c:v>
                </c:pt>
                <c:pt idx="25">
                  <c:v>MILLCREEK BATH AND KITCHEN</c:v>
                </c:pt>
                <c:pt idx="26">
                  <c:v>SUMMERSIDE FARM</c:v>
                </c:pt>
                <c:pt idx="27">
                  <c:v>peaksaver</c:v>
                </c:pt>
                <c:pt idx="28">
                  <c:v>TRINITY DRUG MART</c:v>
                </c:pt>
                <c:pt idx="29">
                  <c:v>POLAT AUTO SERVICE</c:v>
                </c:pt>
                <c:pt idx="30">
                  <c:v>wael</c:v>
                </c:pt>
                <c:pt idx="31">
                  <c:v>MANAR</c:v>
                </c:pt>
                <c:pt idx="32">
                  <c:v>BAR BURRITTO -WINDSOR</c:v>
                </c:pt>
              </c:strCache>
            </c:strRef>
          </c:cat>
          <c:val>
            <c:numRef>
              <c:f>Sheet3!$B$5:$B$38</c:f>
              <c:numCache>
                <c:formatCode>"$"#,##0.00</c:formatCode>
                <c:ptCount val="33"/>
                <c:pt idx="0">
                  <c:v>321700</c:v>
                </c:pt>
                <c:pt idx="1">
                  <c:v>136596.86999999994</c:v>
                </c:pt>
                <c:pt idx="2">
                  <c:v>73894.459999999992</c:v>
                </c:pt>
                <c:pt idx="3">
                  <c:v>47350</c:v>
                </c:pt>
                <c:pt idx="4">
                  <c:v>41976.11</c:v>
                </c:pt>
                <c:pt idx="5">
                  <c:v>30999.899999999998</c:v>
                </c:pt>
                <c:pt idx="6">
                  <c:v>22200</c:v>
                </c:pt>
                <c:pt idx="7">
                  <c:v>20000</c:v>
                </c:pt>
                <c:pt idx="8">
                  <c:v>17465.120000000003</c:v>
                </c:pt>
                <c:pt idx="9">
                  <c:v>9850</c:v>
                </c:pt>
                <c:pt idx="10">
                  <c:v>9500</c:v>
                </c:pt>
                <c:pt idx="11">
                  <c:v>9000</c:v>
                </c:pt>
                <c:pt idx="12">
                  <c:v>8200</c:v>
                </c:pt>
                <c:pt idx="13">
                  <c:v>6720</c:v>
                </c:pt>
                <c:pt idx="14">
                  <c:v>5400</c:v>
                </c:pt>
                <c:pt idx="15">
                  <c:v>4860</c:v>
                </c:pt>
                <c:pt idx="16">
                  <c:v>3500</c:v>
                </c:pt>
                <c:pt idx="17">
                  <c:v>3410</c:v>
                </c:pt>
                <c:pt idx="18">
                  <c:v>3225</c:v>
                </c:pt>
                <c:pt idx="19">
                  <c:v>2700</c:v>
                </c:pt>
                <c:pt idx="20">
                  <c:v>2558</c:v>
                </c:pt>
                <c:pt idx="21">
                  <c:v>2220</c:v>
                </c:pt>
                <c:pt idx="22">
                  <c:v>2000</c:v>
                </c:pt>
                <c:pt idx="23">
                  <c:v>1860</c:v>
                </c:pt>
                <c:pt idx="24">
                  <c:v>1769.91</c:v>
                </c:pt>
                <c:pt idx="25">
                  <c:v>1750</c:v>
                </c:pt>
                <c:pt idx="26">
                  <c:v>1300</c:v>
                </c:pt>
                <c:pt idx="27">
                  <c:v>1200</c:v>
                </c:pt>
                <c:pt idx="28">
                  <c:v>300</c:v>
                </c:pt>
                <c:pt idx="29">
                  <c:v>185.09</c:v>
                </c:pt>
                <c:pt idx="30">
                  <c:v>0</c:v>
                </c:pt>
                <c:pt idx="31">
                  <c:v>-5000</c:v>
                </c:pt>
                <c:pt idx="32">
                  <c:v>-26000</c:v>
                </c:pt>
              </c:numCache>
            </c:numRef>
          </c:val>
          <c:extLst>
            <c:ext xmlns:c16="http://schemas.microsoft.com/office/drawing/2014/chart" uri="{C3380CC4-5D6E-409C-BE32-E72D297353CC}">
              <c16:uniqueId val="{00000000-CA76-43D2-AEC8-696840CD898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4</xdr:col>
          <xdr:colOff>114300</xdr:colOff>
          <xdr:row>1</xdr:row>
          <xdr:rowOff>28575</xdr:rowOff>
        </xdr:to>
        <xdr:sp macro="" textlink="">
          <xdr:nvSpPr>
            <xdr:cNvPr id="1025" name="FILTE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4</xdr:col>
          <xdr:colOff>114300</xdr:colOff>
          <xdr:row>1</xdr:row>
          <xdr:rowOff>28575</xdr:rowOff>
        </xdr:to>
        <xdr:sp macro="" textlink="">
          <xdr:nvSpPr>
            <xdr:cNvPr id="1026" name="HEADE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42862</xdr:colOff>
      <xdr:row>0</xdr:row>
      <xdr:rowOff>0</xdr:rowOff>
    </xdr:from>
    <xdr:to>
      <xdr:col>11</xdr:col>
      <xdr:colOff>0</xdr:colOff>
      <xdr:row>17</xdr:row>
      <xdr:rowOff>161925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228600</xdr:colOff>
      <xdr:row>3</xdr:row>
      <xdr:rowOff>9525</xdr:rowOff>
    </xdr:from>
    <xdr:to>
      <xdr:col>5</xdr:col>
      <xdr:colOff>66675</xdr:colOff>
      <xdr:row>9</xdr:row>
      <xdr:rowOff>152400</xdr:rowOff>
    </xdr:to>
    <mc:AlternateContent xmlns:mc="http://schemas.openxmlformats.org/markup-compatibility/2006" xmlns:a14="http://schemas.microsoft.com/office/drawing/2010/main">
      <mc:Choice Requires="a14">
        <xdr:graphicFrame macro="">
          <xdr:nvGraphicFramePr>
            <xdr:cNvPr id="3" name="Months">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3390900" y="581025"/>
              <a:ext cx="1800225"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90487</xdr:colOff>
      <xdr:row>44</xdr:row>
      <xdr:rowOff>38099</xdr:rowOff>
    </xdr:from>
    <xdr:to>
      <xdr:col>22</xdr:col>
      <xdr:colOff>104775</xdr:colOff>
      <xdr:row>68</xdr:row>
      <xdr:rowOff>104774</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128587</xdr:colOff>
      <xdr:row>3</xdr:row>
      <xdr:rowOff>0</xdr:rowOff>
    </xdr:from>
    <xdr:to>
      <xdr:col>12</xdr:col>
      <xdr:colOff>433387</xdr:colOff>
      <xdr:row>17</xdr:row>
      <xdr:rowOff>76200</xdr:rowOff>
    </xdr:to>
    <xdr:graphicFrame macro="">
      <xdr:nvGraphicFramePr>
        <xdr:cNvPr id="2" name="Chart 1">
          <a:extLst>
            <a:ext uri="{FF2B5EF4-FFF2-40B4-BE49-F238E27FC236}">
              <a16:creationId xmlns:a16="http://schemas.microsoft.com/office/drawing/2014/main" id="{141E59D2-FACB-349E-735C-B586E0AD10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een Al-Tameemi" refreshedDate="44996.82956770833" createdVersion="8" refreshedVersion="8" minRefreshableVersion="3" recordCount="415" xr:uid="{6232C7C4-638D-4822-B953-655D8C1CDCF2}">
  <cacheSource type="worksheet">
    <worksheetSource ref="H1:Q416" sheet="Sheet1"/>
  </cacheSource>
  <cacheFields count="11">
    <cacheField name="Type" numFmtId="49">
      <sharedItems containsBlank="1"/>
    </cacheField>
    <cacheField name="Date" numFmtId="164">
      <sharedItems containsNonDate="0" containsDate="1" containsString="0" containsBlank="1" minDate="2022-04-05T00:00:00" maxDate="2022-12-31T00:00:00" count="98">
        <m/>
        <d v="2022-04-05T00:00:00"/>
        <d v="2022-04-11T00:00:00"/>
        <d v="2022-04-27T00:00:00"/>
        <d v="2022-04-29T00:00:00"/>
        <d v="2022-05-31T00:00:00"/>
        <d v="2022-06-03T00:00:00"/>
        <d v="2022-06-06T00:00:00"/>
        <d v="2022-06-07T00:00:00"/>
        <d v="2022-06-08T00:00:00"/>
        <d v="2022-06-10T00:00:00"/>
        <d v="2022-06-13T00:00:00"/>
        <d v="2022-06-14T00:00:00"/>
        <d v="2022-06-15T00:00:00"/>
        <d v="2022-06-16T00:00:00"/>
        <d v="2022-06-20T00:00:00"/>
        <d v="2022-06-21T00:00:00"/>
        <d v="2022-06-24T00:00:00"/>
        <d v="2022-06-27T00:00:00"/>
        <d v="2022-06-29T00:00:00"/>
        <d v="2022-07-01T00:00:00"/>
        <d v="2022-07-02T00:00:00"/>
        <d v="2022-07-03T00:00:00"/>
        <d v="2022-07-04T00:00:00"/>
        <d v="2022-07-07T00:00:00"/>
        <d v="2022-07-09T00:00:00"/>
        <d v="2022-07-11T00:00:00"/>
        <d v="2022-07-12T00:00:00"/>
        <d v="2022-07-14T00:00:00"/>
        <d v="2022-07-15T00:00:00"/>
        <d v="2022-07-17T00:00:00"/>
        <d v="2022-07-18T00:00:00"/>
        <d v="2022-07-19T00:00:00"/>
        <d v="2022-07-20T00:00:00"/>
        <d v="2022-07-22T00:00:00"/>
        <d v="2022-07-25T00:00:00"/>
        <d v="2022-07-26T00:00:00"/>
        <d v="2022-07-27T00:00:00"/>
        <d v="2022-07-29T00:00:00"/>
        <d v="2022-08-01T00:00:00"/>
        <d v="2022-08-02T00:00:00"/>
        <d v="2022-08-03T00:00:00"/>
        <d v="2022-08-04T00:00:00"/>
        <d v="2022-08-05T00:00:00"/>
        <d v="2022-08-07T00:00:00"/>
        <d v="2022-08-09T00:00:00"/>
        <d v="2022-08-10T00:00:00"/>
        <d v="2022-08-11T00:00:00"/>
        <d v="2022-08-12T00:00:00"/>
        <d v="2022-08-14T00:00:00"/>
        <d v="2022-08-15T00:00:00"/>
        <d v="2022-08-16T00:00:00"/>
        <d v="2022-08-17T00:00:00"/>
        <d v="2022-08-22T00:00:00"/>
        <d v="2022-08-23T00:00:00"/>
        <d v="2022-08-24T00:00:00"/>
        <d v="2022-08-25T00:00:00"/>
        <d v="2022-08-26T00:00:00"/>
        <d v="2022-08-27T00:00:00"/>
        <d v="2022-08-30T00:00:00"/>
        <d v="2022-08-31T00:00:00"/>
        <d v="2022-09-02T00:00:00"/>
        <d v="2022-09-06T00:00:00"/>
        <d v="2022-09-07T00:00:00"/>
        <d v="2022-09-08T00:00:00"/>
        <d v="2022-09-12T00:00:00"/>
        <d v="2022-09-13T00:00:00"/>
        <d v="2022-09-14T00:00:00"/>
        <d v="2022-09-15T00:00:00"/>
        <d v="2022-09-16T00:00:00"/>
        <d v="2022-09-19T00:00:00"/>
        <d v="2022-09-20T00:00:00"/>
        <d v="2022-09-23T00:00:00"/>
        <d v="2022-09-27T00:00:00"/>
        <d v="2022-09-29T00:00:00"/>
        <d v="2022-09-30T00:00:00"/>
        <d v="2022-10-05T00:00:00"/>
        <d v="2022-10-11T00:00:00"/>
        <d v="2022-10-13T00:00:00"/>
        <d v="2022-10-17T00:00:00"/>
        <d v="2022-10-24T00:00:00"/>
        <d v="2022-11-01T00:00:00"/>
        <d v="2022-11-02T00:00:00"/>
        <d v="2022-11-04T00:00:00"/>
        <d v="2022-11-07T00:00:00"/>
        <d v="2022-11-08T00:00:00"/>
        <d v="2022-11-11T00:00:00"/>
        <d v="2022-11-14T00:00:00"/>
        <d v="2022-11-17T00:00:00"/>
        <d v="2022-11-21T00:00:00"/>
        <d v="2022-12-02T00:00:00"/>
        <d v="2022-12-06T00:00:00"/>
        <d v="2022-12-07T00:00:00"/>
        <d v="2022-12-09T00:00:00"/>
        <d v="2022-12-15T00:00:00"/>
        <d v="2022-12-16T00:00:00"/>
        <d v="2022-12-17T00:00:00"/>
        <d v="2022-12-30T00:00:00"/>
      </sharedItems>
      <fieldGroup par="10" base="1">
        <rangePr groupBy="days" startDate="2022-04-05T00:00:00" endDate="2022-12-31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2"/>
        </groupItems>
      </fieldGroup>
    </cacheField>
    <cacheField name="Num" numFmtId="49">
      <sharedItems containsBlank="1"/>
    </cacheField>
    <cacheField name="Name" numFmtId="49">
      <sharedItems containsBlank="1" count="34">
        <m/>
        <s v="MY MARUTI CONSTRUCTION"/>
        <s v="CREPE STAR"/>
        <s v="MILLCREEK BATH AND KITCHEN"/>
        <s v="CANMAR"/>
        <s v="syed shah"/>
        <s v="HYUNDAI"/>
        <s v="Nedco Energy Services"/>
        <s v="RETROFIT -GREENSAVER"/>
        <s v="GREENSAVER"/>
        <s v="City of Mississauga"/>
        <s v="HALIBUT FISH AND CHIPS"/>
        <s v="TOTAL EXHAUST FAN"/>
        <s v="wael"/>
        <s v="JAI BAJVANI"/>
        <s v="KRISKA"/>
        <s v="GOLDMOOR INC"/>
        <s v="SUMMERSIDE FARM"/>
        <s v="MOUNTAIN HOMES"/>
        <s v="PEEL DISTRICT SCHOOL BOARD"/>
        <s v="RP PAINTING"/>
        <s v="ROLLER SKATING PLACE"/>
        <s v="ROYAL PLAN &amp; PUNJAB RESTURANT"/>
        <s v="BAYVIEW STEELS AUTO COLLISION"/>
        <s v="POLAT AUTO SERVICE"/>
        <s v="BAR BURRITTO -WINDSOR"/>
        <s v="MANAR"/>
        <s v="NADEEM AHMED"/>
        <s v="MITS"/>
        <s v="peaksaver"/>
        <s v="VIA CANADA HOLDING GROUP"/>
        <s v="TRINITY DRUG MART"/>
        <s v="MARBLE SLAB CREAMERY GUELPH"/>
        <s v="PREET KHALSA"/>
      </sharedItems>
    </cacheField>
    <cacheField name="Memo" numFmtId="49">
      <sharedItems containsBlank="1"/>
    </cacheField>
    <cacheField name="Class" numFmtId="49">
      <sharedItems containsNonDate="0" containsString="0" containsBlank="1"/>
    </cacheField>
    <cacheField name="Clr" numFmtId="49">
      <sharedItems containsNonDate="0" containsString="0" containsBlank="1"/>
    </cacheField>
    <cacheField name="Split" numFmtId="49">
      <sharedItems containsBlank="1" count="2">
        <m/>
        <s v="11001 · Accounts Receivable"/>
      </sharedItems>
    </cacheField>
    <cacheField name="Amount" numFmtId="165">
      <sharedItems containsString="0" containsBlank="1" containsNumber="1" minValue="-45000" maxValue="220000" count="308">
        <m/>
        <n v="21750"/>
        <n v="2700"/>
        <n v="1750"/>
        <n v="17000"/>
        <n v="4000"/>
        <n v="9500"/>
        <n v="7286.18"/>
        <n v="-728.62"/>
        <n v="975"/>
        <n v="1495.7"/>
        <n v="636"/>
        <n v="632.54999999999995"/>
        <n v="619.6"/>
        <n v="732.23"/>
        <n v="200"/>
        <n v="390.96"/>
        <n v="128.25"/>
        <n v="897.75"/>
        <n v="8200"/>
        <n v="813.02"/>
        <n v="240"/>
        <n v="395.41"/>
        <n v="547.55999999999995"/>
        <n v="576.84"/>
        <n v="979.75"/>
        <n v="844.12"/>
        <n v="743.52"/>
        <n v="352.75"/>
        <n v="645.54"/>
        <n v="250"/>
        <n v="526.66"/>
        <n v="140"/>
        <n v="1839.95"/>
        <n v="765.56"/>
        <n v="889.84"/>
        <n v="1300"/>
        <n v="2500"/>
        <n v="58"/>
        <n v="0"/>
        <n v="2000"/>
        <n v="562.54999999999995"/>
        <n v="1044.08"/>
        <n v="854.78"/>
        <n v="732.14"/>
        <n v="666.41"/>
        <n v="423.12"/>
        <n v="616.29999999999995"/>
        <n v="443.8"/>
        <n v="123.92"/>
        <n v="546.26"/>
        <n v="652.04999999999995"/>
        <n v="802.14"/>
        <n v="546.29999999999995"/>
        <n v="3009.5"/>
        <n v="429.94"/>
        <n v="552.61"/>
        <n v="1207.6400000000001"/>
        <n v="508.48"/>
        <n v="2146.96"/>
        <n v="1295.7"/>
        <n v="1723.05"/>
        <n v="1500"/>
        <n v="805.6"/>
        <n v="930.58"/>
        <n v="565.5"/>
        <n v="236.46"/>
        <n v="500.58"/>
        <n v="226.52"/>
        <n v="867.44"/>
        <n v="517.54999999999995"/>
        <n v="863.29"/>
        <n v="800.53"/>
        <n v="869.29"/>
        <n v="1366.16"/>
        <n v="1069.73"/>
        <n v="92.94"/>
        <n v="558.9"/>
        <n v="873.45"/>
        <n v="153.9"/>
        <n v="476.2"/>
        <n v="4830.1400000000003"/>
        <n v="838.35"/>
        <n v="467.44"/>
        <n v="284.7"/>
        <n v="586.29999999999995"/>
        <n v="230.85"/>
        <n v="901.52"/>
        <n v="1102"/>
        <n v="364.2"/>
        <n v="608.22"/>
        <n v="226.66"/>
        <n v="443.38"/>
        <n v="1600"/>
        <n v="400"/>
        <n v="600"/>
        <n v="20000"/>
        <n v="8150.44"/>
        <n v="88.26"/>
        <n v="535"/>
        <n v="1723.45"/>
        <n v="572.04"/>
        <n v="2250"/>
        <n v="60"/>
        <n v="343.15"/>
        <n v="772.54"/>
        <n v="761.88"/>
        <n v="932.1"/>
        <n v="1860"/>
        <n v="1157.73"/>
        <n v="3195.73"/>
        <n v="51.3"/>
        <n v="261"/>
        <n v="76.95"/>
        <n v="355.77"/>
        <n v="401.48"/>
        <n v="908.35"/>
        <n v="2952.76"/>
        <n v="3410"/>
        <n v="891.52"/>
        <n v="495.47"/>
        <n v="687.5"/>
        <n v="966.81"/>
        <n v="913.78"/>
        <n v="880.53"/>
        <n v="338.14"/>
        <n v="860.54"/>
        <n v="943.29"/>
        <n v="116.95"/>
        <n v="91.3"/>
        <n v="849.88"/>
        <n v="168.25"/>
        <n v="702.55"/>
        <n v="575"/>
        <n v="310"/>
        <n v="1020.1"/>
        <n v="729.6"/>
        <n v="606.29999999999995"/>
        <n v="933.45"/>
        <n v="831.52"/>
        <n v="44.13"/>
        <n v="507.41"/>
        <n v="596.95000000000005"/>
        <n v="580.65"/>
        <n v="1663.06"/>
        <n v="420.42"/>
        <n v="595"/>
        <n v="961.52"/>
        <n v="95"/>
        <n v="750"/>
        <n v="765.95"/>
        <n v="236.35"/>
        <n v="944.62"/>
        <n v="1017.5"/>
        <n v="237.56"/>
        <n v="70"/>
        <n v="372.47"/>
        <n v="22500"/>
        <n v="17200"/>
        <n v="1653.08"/>
        <n v="927.17"/>
        <n v="426.42"/>
        <n v="1142.58"/>
        <n v="1003.75"/>
        <n v="936.14"/>
        <n v="955.44"/>
        <n v="1412.9"/>
        <n v="123.4"/>
        <n v="775.9"/>
        <n v="254.24"/>
        <n v="370.2"/>
        <n v="902.25"/>
        <n v="618.54"/>
        <n v="896.46"/>
        <n v="604.45000000000005"/>
        <n v="1024.4000000000001"/>
        <n v="686.3"/>
        <n v="340.95"/>
        <n v="101"/>
        <n v="1888.97"/>
        <n v="286"/>
        <n v="659.51"/>
        <n v="666.98"/>
        <n v="440"/>
        <n v="566"/>
        <n v="553"/>
        <n v="906.02"/>
        <n v="997.95"/>
        <n v="627.55999999999995"/>
        <n v="763.1"/>
        <n v="808.75"/>
        <n v="457.75"/>
        <n v="1260.56"/>
        <n v="863.83"/>
        <n v="1079.05"/>
        <n v="5177.28"/>
        <n v="118"/>
        <n v="388.82"/>
        <n v="877.2"/>
        <n v="426.5"/>
        <n v="839.56"/>
        <n v="324.74"/>
        <n v="920.81"/>
        <n v="640.78"/>
        <n v="515"/>
        <n v="1106"/>
        <n v="163.92"/>
        <n v="1100.71"/>
        <n v="409.3"/>
        <n v="31"/>
        <n v="709.93"/>
        <n v="55.65"/>
        <n v="612"/>
        <n v="400.38"/>
        <n v="284.5"/>
        <n v="729.25"/>
        <n v="256.86"/>
        <n v="683.29"/>
        <n v="220.55"/>
        <n v="504.7"/>
        <n v="321.47000000000003"/>
        <n v="1035.07"/>
        <n v="507.5"/>
        <n v="737.95"/>
        <n v="1271.2"/>
        <n v="251.53"/>
        <n v="96.63"/>
        <n v="838.77"/>
        <n v="220000"/>
        <n v="580.88"/>
        <n v="887.15"/>
        <n v="176.52"/>
        <n v="4860"/>
        <n v="158"/>
        <n v="220.65"/>
        <n v="3068.35"/>
        <n v="5600"/>
        <n v="941.78"/>
        <n v="580.85"/>
        <n v="374.51"/>
        <n v="699.75"/>
        <n v="454.8"/>
        <n v="412.4"/>
        <n v="1006.92"/>
        <n v="381.36"/>
        <n v="545.35"/>
        <n v="626.86"/>
        <n v="444.92"/>
        <n v="896.19"/>
        <n v="956.33"/>
        <n v="232"/>
        <n v="45000"/>
        <n v="474.4"/>
        <n v="355"/>
        <n v="220"/>
        <n v="800.65"/>
        <n v="825.19"/>
        <n v="538.91999999999996"/>
        <n v="769.56"/>
        <n v="219.55"/>
        <n v="920.55"/>
        <n v="352.1"/>
        <n v="971.52"/>
        <n v="1970"/>
        <n v="4350"/>
        <n v="1686.51"/>
        <n v="9000"/>
        <n v="6400"/>
        <n v="185.1"/>
        <n v="185.09"/>
        <n v="16000"/>
        <n v="2750"/>
        <n v="500"/>
        <n v="1120"/>
        <n v="11100"/>
        <n v="40000"/>
        <n v="24000"/>
        <n v="15000"/>
        <n v="3000"/>
        <n v="-11300"/>
        <n v="7880"/>
        <n v="1125"/>
        <n v="-26000"/>
        <n v="-5000"/>
        <n v="-8150.44"/>
        <n v="-3410"/>
        <n v="-17200"/>
        <n v="-20000"/>
        <n v="-21750"/>
        <n v="-45000"/>
        <n v="-1600"/>
        <n v="-400"/>
        <n v="-600"/>
        <n v="-2500"/>
        <n v="650"/>
        <n v="3500"/>
        <n v="19500"/>
        <n v="5400"/>
        <n v="3100"/>
        <n v="1200"/>
        <n v="5752.21"/>
        <n v="300"/>
        <n v="2220"/>
        <n v="1769.91"/>
        <n v="5247.69"/>
        <n v="6500"/>
        <n v="9376.11"/>
        <n v="7100"/>
      </sharedItems>
    </cacheField>
    <cacheField name="Balance" numFmtId="165">
      <sharedItems containsString="0" containsBlank="1" containsNumber="1" minValue="21750" maxValue="820359.98"/>
    </cacheField>
    <cacheField name="Months" numFmtId="0" databaseField="0">
      <fieldGroup base="1">
        <rangePr groupBy="months" startDate="2022-04-05T00:00:00" endDate="2022-12-31T00:00:00"/>
        <groupItems count="14">
          <s v="&lt;4/5/2022"/>
          <s v="Jan"/>
          <s v="Feb"/>
          <s v="Mar"/>
          <s v="Apr"/>
          <s v="May"/>
          <s v="Jun"/>
          <s v="Jul"/>
          <s v="Aug"/>
          <s v="Sep"/>
          <s v="Oct"/>
          <s v="Nov"/>
          <s v="Dec"/>
          <s v="&gt;12/31/2022"/>
        </groupItems>
      </fieldGroup>
    </cacheField>
  </cacheFields>
  <extLst>
    <ext xmlns:x14="http://schemas.microsoft.com/office/spreadsheetml/2009/9/main" uri="{725AE2AE-9491-48be-B2B4-4EB974FC3084}">
      <x14:pivotCacheDefinition pivotCacheId="98977980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een Al-Tameemi" refreshedDate="44996.848107407408" createdVersion="8" refreshedVersion="8" minRefreshableVersion="3" recordCount="43" xr:uid="{AF2523B6-131F-4AB5-8549-D5EDAE8FD35B}">
  <cacheSource type="worksheet">
    <worksheetSource ref="H429:P472" sheet="Sheet1"/>
  </cacheSource>
  <cacheFields count="10">
    <cacheField name="Type" numFmtId="49">
      <sharedItems/>
    </cacheField>
    <cacheField name="Date" numFmtId="164">
      <sharedItems containsSemiMixedTypes="0" containsNonDate="0" containsDate="1" containsString="0" minDate="2022-04-22T00:00:00" maxDate="2022-12-30T00:00:00" count="28">
        <d v="2022-04-22T00:00:00"/>
        <d v="2022-05-12T00:00:00"/>
        <d v="2022-05-17T00:00:00"/>
        <d v="2022-05-18T00:00:00"/>
        <d v="2022-05-26T00:00:00"/>
        <d v="2022-05-27T00:00:00"/>
        <d v="2022-07-05T00:00:00"/>
        <d v="2022-07-12T00:00:00"/>
        <d v="2022-07-14T00:00:00"/>
        <d v="2022-08-04T00:00:00"/>
        <d v="2022-09-16T00:00:00"/>
        <d v="2022-09-26T00:00:00"/>
        <d v="2022-09-29T00:00:00"/>
        <d v="2022-10-04T00:00:00"/>
        <d v="2022-11-04T00:00:00"/>
        <d v="2022-11-09T00:00:00"/>
        <d v="2022-11-10T00:00:00"/>
        <d v="2022-11-11T00:00:00"/>
        <d v="2022-11-18T00:00:00"/>
        <d v="2022-11-21T00:00:00"/>
        <d v="2022-11-24T00:00:00"/>
        <d v="2022-11-30T00:00:00"/>
        <d v="2022-12-05T00:00:00"/>
        <d v="2022-12-06T00:00:00"/>
        <d v="2022-12-08T00:00:00"/>
        <d v="2022-12-13T00:00:00"/>
        <d v="2022-12-21T00:00:00"/>
        <d v="2022-12-29T00:00:00"/>
      </sharedItems>
      <fieldGroup par="9" base="1">
        <rangePr groupBy="days" startDate="2022-04-22T00:00:00" endDate="2022-12-30T00:00:00"/>
        <groupItems count="368">
          <s v="&lt;4/22/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0/2022"/>
        </groupItems>
      </fieldGroup>
    </cacheField>
    <cacheField name="Num" numFmtId="49">
      <sharedItems containsBlank="1"/>
    </cacheField>
    <cacheField name="Name" numFmtId="49">
      <sharedItems containsBlank="1" count="24">
        <s v="ONEIL ELECTRIC"/>
        <s v="SURPLUS ELECTRICAL"/>
        <s v="APA TORONTO"/>
        <s v="Diaa Hijazi"/>
        <s v="ARAY LED INC"/>
        <s v="Nayef. Abboud"/>
        <s v="Impulse"/>
        <s v="ITM INSTRUMENTS INC"/>
        <s v="HERITAGE ELECTRICAL SUPPLIES"/>
        <s v="RBC"/>
        <m/>
        <s v="TESLA  LIGHTING"/>
        <s v="Home Depot"/>
        <s v="Uline Canada Corporation"/>
        <s v="RONA"/>
        <s v="SESCO"/>
        <s v="GLOBAL NGINEERING"/>
        <s v="Nedco division of rexel canada electrical"/>
        <s v="GTA  ATUOMATIC DOOR SYSTEMS INC"/>
        <s v="WESTBURNE"/>
        <s v="ASSAMCO"/>
        <s v="LEMCO ELECTRIC"/>
        <s v="PRIMARY LIGHTING INC"/>
        <s v="Canadian Tire Store"/>
      </sharedItems>
    </cacheField>
    <cacheField name="Memo" numFmtId="49">
      <sharedItems containsBlank="1"/>
    </cacheField>
    <cacheField name="Class" numFmtId="49">
      <sharedItems containsNonDate="0" containsString="0" containsBlank="1"/>
    </cacheField>
    <cacheField name="Clr" numFmtId="49">
      <sharedItems containsNonDate="0" containsString="0" containsBlank="1"/>
    </cacheField>
    <cacheField name="Split" numFmtId="49">
      <sharedItems/>
    </cacheField>
    <cacheField name="Amount" numFmtId="165">
      <sharedItems containsString="0" containsBlank="1" containsNumber="1" minValue="24.05" maxValue="63945.73"/>
    </cacheField>
    <cacheField name="Months" numFmtId="0" databaseField="0">
      <fieldGroup base="1">
        <rangePr groupBy="months" startDate="2022-04-22T00:00:00" endDate="2022-12-30T00:00:00"/>
        <groupItems count="14">
          <s v="&lt;4/22/2022"/>
          <s v="Jan"/>
          <s v="Feb"/>
          <s v="Mar"/>
          <s v="Apr"/>
          <s v="May"/>
          <s v="Jun"/>
          <s v="Jul"/>
          <s v="Aug"/>
          <s v="Sep"/>
          <s v="Oct"/>
          <s v="Nov"/>
          <s v="Dec"/>
          <s v="&gt;12/30/2022"/>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een Al-Tameemi" refreshedDate="44996.853564699071" createdVersion="8" refreshedVersion="8" minRefreshableVersion="3" recordCount="1194" xr:uid="{520C5F44-619D-4274-80F1-261C797254E2}">
  <cacheSource type="worksheet">
    <worksheetSource ref="H1:Q1195" sheet="Sheet1"/>
  </cacheSource>
  <cacheFields count="10">
    <cacheField name="Type" numFmtId="49">
      <sharedItems containsBlank="1" count="10">
        <m/>
        <s v="Invoice"/>
        <s v="Credit Memo"/>
        <s v="General Journal"/>
        <s v="Credit Card Charge"/>
        <s v="Type"/>
        <s v="Bill"/>
        <s v="Cheque"/>
        <s v="Credit Card Credit"/>
        <s v="Pay Cheque"/>
      </sharedItems>
    </cacheField>
    <cacheField name="Date" numFmtId="0">
      <sharedItems containsDate="1" containsBlank="1" containsMixedTypes="1" minDate="2022-04-01T00:00:00" maxDate="2023-01-01T00:00:00"/>
    </cacheField>
    <cacheField name="Num" numFmtId="49">
      <sharedItems containsBlank="1"/>
    </cacheField>
    <cacheField name="Name" numFmtId="49">
      <sharedItems containsBlank="1" count="104">
        <m/>
        <s v="MY MARUTI CONSTRUCTION"/>
        <s v="CREPE STAR"/>
        <s v="MILLCREEK BATH AND KITCHEN"/>
        <s v="CANMAR"/>
        <s v="syed shah"/>
        <s v="HYUNDAI"/>
        <s v="Nedco Energy Services"/>
        <s v="RETROFIT -GREENSAVER"/>
        <s v="GREENSAVER"/>
        <s v="City of Mississauga"/>
        <s v="HALIBUT FISH AND CHIPS"/>
        <s v="TOTAL EXHAUST FAN"/>
        <s v="wael"/>
        <s v="JAI BAJVANI"/>
        <s v="KRISKA"/>
        <s v="GOLDMOOR INC"/>
        <s v="SUMMERSIDE FARM"/>
        <s v="MOUNTAIN HOMES"/>
        <s v="PEEL DISTRICT SCHOOL BOARD"/>
        <s v="RP PAINTING"/>
        <s v="ROLLER SKATING PLACE"/>
        <s v="ROYAL PLAN &amp; PUNJAB RESTURANT"/>
        <s v="BAYVIEW STEELS AUTO COLLISION"/>
        <s v="POLAT AUTO SERVICE"/>
        <s v="BAR BURRITTO -WINDSOR"/>
        <s v="MANAR"/>
        <s v="NADEEM AHMED"/>
        <s v="MITS"/>
        <s v="peaksaver"/>
        <s v="VIA CANADA HOLDING GROUP"/>
        <s v="TRINITY DRUG MART"/>
        <s v="MARBLE SLAB CREAMERY GUELPH"/>
        <s v="PREET KHALSA"/>
        <s v="Name"/>
        <s v="ONEIL ELECTRIC"/>
        <s v="SURPLUS ELECTRICAL"/>
        <s v="APA TORONTO"/>
        <s v="Diaa Hijazi"/>
        <s v="ARAY LED INC"/>
        <s v="Nayef. Abboud"/>
        <s v="Impulse"/>
        <s v="ITM INSTRUMENTS INC"/>
        <s v="HERITAGE ELECTRICAL SUPPLIES"/>
        <s v="RBC"/>
        <s v="TESLA  LIGHTING"/>
        <s v="Home Depot"/>
        <s v="Uline Canada Corporation"/>
        <s v="RONA"/>
        <s v="SESCO"/>
        <s v="GLOBAL NGINEERING"/>
        <s v="Nedco division of rexel canada electrical"/>
        <s v="GTA  ATUOMATIC DOOR SYSTEMS INC"/>
        <s v="WESTBURNE"/>
        <s v="ASSAMCO"/>
        <s v="LEMCO ELECTRIC"/>
        <s v="PRIMARY LIGHTING INC"/>
        <s v="Canadian Tire Store"/>
        <s v="STANSERVICE"/>
        <s v="YESSAY GHSHRANIAN"/>
        <s v="Multedia box inc"/>
        <s v="NOSHI HEATING &amp; COOLING INC"/>
        <s v="PROFESSIONAL INDUSTRIAL SERVICES"/>
        <s v="EASYFIX"/>
        <s v="GILMORE COMPANY"/>
        <s v="407 ETR"/>
        <s v="TEAM CHRYSLER JEEP"/>
        <s v="ARAK AUTO INC"/>
        <s v="STEVE"/>
        <s v="ESSO MOBILE"/>
        <s v="Nayef Abboud"/>
        <s v="Federated Insurance"/>
        <s v="PROGRESSIVE WASTE SOLUTIONS"/>
        <s v="G C LEASING ONTARIO"/>
        <s v="PINPOINT GPS  SOLUTIONS INC"/>
        <s v="Dan-El Alarms"/>
        <s v="MAID 4 CLEANING INC"/>
        <s v="Haneen Alkhafaji"/>
        <s v="new era print"/>
        <s v="Staples"/>
        <s v="AMAZON"/>
        <s v="YOUVIC INVESTMENTS GROUP INC"/>
        <s v="ASSAMA  AL-TAMEEMI"/>
        <s v="NEBS"/>
        <s v="haneen zaid"/>
        <s v="DELUXE"/>
        <s v="Hassan Al-aumari"/>
        <s v="Kareem Hijazi"/>
        <s v="Peter Marzinotto"/>
        <s v="Rowan Johe"/>
        <s v="Marc Abi-Najem"/>
        <s v="YASAMEEN AL-TAMEEMI"/>
        <s v="KARIM SADEQ"/>
        <s v="Maryam Al-Aloosi"/>
        <s v="YESSAY GHSHRANIAN (employee)"/>
        <s v="ZAID BAHNAM"/>
        <s v="1000228478 ONTARIO INC"/>
        <s v="MAHOON LAW"/>
        <s v="Zappa Investments"/>
        <s v="ESA"/>
        <s v="Bell Canada"/>
        <s v="Enersource"/>
        <s v="Enbridge"/>
        <s v="Alectra Utilities"/>
      </sharedItems>
    </cacheField>
    <cacheField name="Memo" numFmtId="49">
      <sharedItems containsBlank="1"/>
    </cacheField>
    <cacheField name="Class" numFmtId="49">
      <sharedItems containsBlank="1"/>
    </cacheField>
    <cacheField name="Clr" numFmtId="49">
      <sharedItems containsBlank="1"/>
    </cacheField>
    <cacheField name="Split" numFmtId="49">
      <sharedItems containsBlank="1"/>
    </cacheField>
    <cacheField name="Amount" numFmtId="0">
      <sharedItems containsBlank="1" containsMixedTypes="1" containsNumber="1" minValue="-45000" maxValue="769438.23" count="722">
        <m/>
        <n v="21750"/>
        <n v="2700"/>
        <n v="1750"/>
        <n v="17000"/>
        <n v="4000"/>
        <n v="9500"/>
        <n v="7286.18"/>
        <n v="-728.62"/>
        <n v="975"/>
        <n v="1495.7"/>
        <n v="636"/>
        <n v="632.54999999999995"/>
        <n v="619.6"/>
        <n v="732.23"/>
        <n v="200"/>
        <n v="390.96"/>
        <n v="128.25"/>
        <n v="897.75"/>
        <n v="8200"/>
        <n v="813.02"/>
        <n v="240"/>
        <n v="395.41"/>
        <n v="547.55999999999995"/>
        <n v="576.84"/>
        <n v="979.75"/>
        <n v="844.12"/>
        <n v="743.52"/>
        <n v="352.75"/>
        <n v="645.54"/>
        <n v="250"/>
        <n v="526.66"/>
        <n v="140"/>
        <n v="1839.95"/>
        <n v="765.56"/>
        <n v="889.84"/>
        <n v="1300"/>
        <n v="2500"/>
        <n v="58"/>
        <n v="0"/>
        <n v="2000"/>
        <n v="562.54999999999995"/>
        <n v="1044.08"/>
        <n v="854.78"/>
        <n v="732.14"/>
        <n v="666.41"/>
        <n v="423.12"/>
        <n v="616.29999999999995"/>
        <n v="443.8"/>
        <n v="123.92"/>
        <n v="546.26"/>
        <n v="652.04999999999995"/>
        <n v="802.14"/>
        <n v="546.29999999999995"/>
        <n v="3009.5"/>
        <n v="429.94"/>
        <n v="552.61"/>
        <n v="1207.6400000000001"/>
        <n v="508.48"/>
        <n v="2146.96"/>
        <n v="1295.7"/>
        <n v="1723.05"/>
        <n v="1500"/>
        <n v="805.6"/>
        <n v="930.58"/>
        <n v="565.5"/>
        <n v="236.46"/>
        <n v="500.58"/>
        <n v="226.52"/>
        <n v="867.44"/>
        <n v="517.54999999999995"/>
        <n v="863.29"/>
        <n v="800.53"/>
        <n v="869.29"/>
        <n v="1366.16"/>
        <n v="1069.73"/>
        <n v="92.94"/>
        <n v="558.9"/>
        <n v="873.45"/>
        <n v="153.9"/>
        <n v="476.2"/>
        <n v="4830.1400000000003"/>
        <n v="838.35"/>
        <n v="467.44"/>
        <n v="284.7"/>
        <n v="586.29999999999995"/>
        <n v="230.85"/>
        <n v="901.52"/>
        <n v="1102"/>
        <n v="364.2"/>
        <n v="608.22"/>
        <n v="226.66"/>
        <n v="443.38"/>
        <n v="1600"/>
        <n v="400"/>
        <n v="600"/>
        <n v="20000"/>
        <n v="8150.44"/>
        <n v="88.26"/>
        <n v="535"/>
        <n v="1723.45"/>
        <n v="572.04"/>
        <n v="2250"/>
        <n v="60"/>
        <n v="343.15"/>
        <n v="772.54"/>
        <n v="761.88"/>
        <n v="932.1"/>
        <n v="1860"/>
        <n v="1157.73"/>
        <n v="3195.73"/>
        <n v="51.3"/>
        <n v="261"/>
        <n v="76.95"/>
        <n v="355.77"/>
        <n v="401.48"/>
        <n v="908.35"/>
        <n v="2952.76"/>
        <n v="3410"/>
        <n v="891.52"/>
        <n v="495.47"/>
        <n v="687.5"/>
        <n v="966.81"/>
        <n v="913.78"/>
        <n v="880.53"/>
        <n v="338.14"/>
        <n v="860.54"/>
        <n v="943.29"/>
        <n v="116.95"/>
        <n v="91.3"/>
        <n v="849.88"/>
        <n v="168.25"/>
        <n v="702.55"/>
        <n v="575"/>
        <n v="310"/>
        <n v="1020.1"/>
        <n v="729.6"/>
        <n v="606.29999999999995"/>
        <n v="933.45"/>
        <n v="831.52"/>
        <n v="44.13"/>
        <n v="507.41"/>
        <n v="596.95000000000005"/>
        <n v="580.65"/>
        <n v="1663.06"/>
        <n v="420.42"/>
        <n v="595"/>
        <n v="961.52"/>
        <n v="95"/>
        <n v="750"/>
        <n v="765.95"/>
        <n v="236.35"/>
        <n v="944.62"/>
        <n v="1017.5"/>
        <n v="237.56"/>
        <n v="70"/>
        <n v="372.47"/>
        <n v="22500"/>
        <n v="17200"/>
        <n v="1653.08"/>
        <n v="927.17"/>
        <n v="426.42"/>
        <n v="1142.58"/>
        <n v="1003.75"/>
        <n v="936.14"/>
        <n v="955.44"/>
        <n v="1412.9"/>
        <n v="123.4"/>
        <n v="775.9"/>
        <n v="254.24"/>
        <n v="370.2"/>
        <n v="902.25"/>
        <n v="618.54"/>
        <n v="896.46"/>
        <n v="604.45000000000005"/>
        <n v="1024.4000000000001"/>
        <n v="686.3"/>
        <n v="340.95"/>
        <n v="101"/>
        <n v="1888.97"/>
        <n v="286"/>
        <n v="659.51"/>
        <n v="666.98"/>
        <n v="440"/>
        <n v="566"/>
        <n v="553"/>
        <n v="906.02"/>
        <n v="997.95"/>
        <n v="627.55999999999995"/>
        <n v="763.1"/>
        <n v="808.75"/>
        <n v="457.75"/>
        <n v="1260.56"/>
        <n v="863.83"/>
        <n v="1079.05"/>
        <n v="5177.28"/>
        <n v="118"/>
        <n v="388.82"/>
        <n v="877.2"/>
        <n v="426.5"/>
        <n v="839.56"/>
        <n v="324.74"/>
        <n v="920.81"/>
        <n v="640.78"/>
        <n v="515"/>
        <n v="1106"/>
        <n v="163.92"/>
        <n v="1100.71"/>
        <n v="409.3"/>
        <n v="31"/>
        <n v="709.93"/>
        <n v="55.65"/>
        <n v="612"/>
        <n v="400.38"/>
        <n v="284.5"/>
        <n v="729.25"/>
        <n v="256.86"/>
        <n v="683.29"/>
        <n v="220.55"/>
        <n v="504.7"/>
        <n v="321.47000000000003"/>
        <n v="1035.07"/>
        <n v="507.5"/>
        <n v="737.95"/>
        <n v="1271.2"/>
        <n v="251.53"/>
        <n v="96.63"/>
        <n v="838.77"/>
        <n v="220000"/>
        <n v="580.88"/>
        <n v="887.15"/>
        <n v="176.52"/>
        <n v="4860"/>
        <n v="158"/>
        <n v="220.65"/>
        <n v="3068.35"/>
        <n v="5600"/>
        <n v="941.78"/>
        <n v="580.85"/>
        <n v="374.51"/>
        <n v="699.75"/>
        <n v="454.8"/>
        <n v="412.4"/>
        <n v="1006.92"/>
        <n v="381.36"/>
        <n v="545.35"/>
        <n v="626.86"/>
        <n v="444.92"/>
        <n v="896.19"/>
        <n v="956.33"/>
        <n v="232"/>
        <n v="45000"/>
        <n v="474.4"/>
        <n v="355"/>
        <n v="220"/>
        <n v="800.65"/>
        <n v="825.19"/>
        <n v="538.91999999999996"/>
        <n v="769.56"/>
        <n v="219.55"/>
        <n v="920.55"/>
        <n v="352.1"/>
        <n v="971.52"/>
        <n v="1970"/>
        <n v="4350"/>
        <n v="1686.51"/>
        <n v="9000"/>
        <n v="6400"/>
        <n v="185.1"/>
        <n v="185.09"/>
        <n v="16000"/>
        <n v="2750"/>
        <n v="500"/>
        <n v="1120"/>
        <n v="11100"/>
        <n v="40000"/>
        <n v="24000"/>
        <n v="15000"/>
        <n v="3000"/>
        <n v="-11300"/>
        <n v="7880"/>
        <n v="1125"/>
        <n v="-26000"/>
        <n v="-5000"/>
        <n v="-8150.44"/>
        <n v="-3410"/>
        <n v="-17200"/>
        <n v="-20000"/>
        <n v="-21750"/>
        <n v="-45000"/>
        <n v="-1600"/>
        <n v="-400"/>
        <n v="-600"/>
        <n v="-2500"/>
        <n v="650"/>
        <n v="3500"/>
        <n v="19500"/>
        <n v="5400"/>
        <n v="3100"/>
        <n v="1200"/>
        <n v="5752.21"/>
        <n v="300"/>
        <n v="2220"/>
        <n v="1769.91"/>
        <n v="5247.69"/>
        <n v="6500"/>
        <n v="9376.11"/>
        <n v="7100"/>
        <n v="762690.46"/>
        <n v="1364.63"/>
        <n v="2657.58"/>
        <n v="350"/>
        <n v="2542.5"/>
        <n v="6914.71"/>
        <n v="-166.94"/>
        <n v="769438.23"/>
        <s v="Amount"/>
        <n v="2900.1"/>
        <n v="3855"/>
        <n v="1559.5"/>
        <n v="425.47"/>
        <n v="760.71"/>
        <n v="260.7"/>
        <n v="5815"/>
        <n v="311.93"/>
        <n v="2071.66"/>
        <n v="728.83"/>
        <n v="572.38"/>
        <n v="823.58"/>
        <n v="17377.27"/>
        <n v="2212.39"/>
        <n v="324.87"/>
        <n v="271.08"/>
        <n v="350.07"/>
        <n v="197.56"/>
        <n v="371.3"/>
        <n v="3939.6"/>
        <n v="10062"/>
        <n v="63945.73"/>
        <n v="421.2"/>
        <n v="4310"/>
        <n v="884.96"/>
        <n v="3425.04"/>
        <n v="157.96"/>
        <n v="188.95"/>
        <n v="35.979999999999997"/>
        <n v="171.54"/>
        <n v="626.5"/>
        <n v="2355.27"/>
        <n v="2084.6799999999998"/>
        <n v="1065.08"/>
        <n v="2320"/>
        <n v="5268.92"/>
        <n v="33.380000000000003"/>
        <n v="24.05"/>
        <n v="31.47"/>
        <n v="144912.1"/>
        <n v="1376"/>
        <n v="768"/>
        <n v="10000"/>
        <n v="1792"/>
        <n v="2048"/>
        <n v="1390"/>
        <n v="6825.45"/>
        <n v="880"/>
        <n v="8000"/>
        <n v="1846"/>
        <n v="2024.04"/>
        <n v="2304"/>
        <n v="1475"/>
        <n v="1641.26"/>
        <n v="2560"/>
        <n v="6827.22"/>
        <n v="1725"/>
        <n v="1168.75"/>
        <n v="1486"/>
        <n v="6826.55"/>
        <n v="1533.63"/>
        <n v="4500"/>
        <n v="2670.4"/>
        <n v="1835.74"/>
        <n v="4820"/>
        <n v="2453.33"/>
        <n v="1318"/>
        <n v="489.74"/>
        <n v="6295"/>
        <n v="4885"/>
        <n v="5000"/>
        <n v="2268.8000000000002"/>
        <n v="1164.5"/>
        <n v="6826.78"/>
        <n v="1793.91"/>
        <n v="2240"/>
        <n v="2530.88"/>
        <n v="387.25"/>
        <n v="166081.07999999999"/>
        <n v="310993.18"/>
        <n v="458445.05"/>
        <n v="9275"/>
        <n v="24275"/>
        <n v="144.86000000000001"/>
        <n v="1696.23"/>
        <n v="278.3"/>
        <n v="886.51"/>
        <n v="272.41000000000003"/>
        <n v="2332.66"/>
        <n v="111.5"/>
        <n v="5578.37"/>
        <n v="309.67"/>
        <n v="356.12"/>
        <n v="470.27"/>
        <n v="12436.9"/>
        <n v="800"/>
        <n v="4714"/>
        <n v="5514"/>
        <n v="360"/>
        <n v="132.74"/>
        <n v="892.74"/>
        <n v="135.5"/>
        <n v="88.5"/>
        <n v="109.73"/>
        <n v="279.77999999999997"/>
        <n v="1578.41"/>
        <n v="420.49"/>
        <n v="860.35"/>
        <n v="2586.4499999999998"/>
        <n v="153.83000000000001"/>
        <n v="115.39"/>
        <n v="176.99"/>
        <n v="107.96"/>
        <n v="143.69999999999999"/>
        <n v="166.59"/>
        <n v="128.5"/>
        <n v="163.28"/>
        <n v="2261.9499999999998"/>
        <n v="105"/>
        <n v="96.97"/>
        <n v="96.35"/>
        <n v="100.35"/>
        <n v="131.65"/>
        <n v="10007.719999999999"/>
        <n v="204.62"/>
        <n v="124.11"/>
        <n v="145.31"/>
        <n v="331.55"/>
        <n v="573.23"/>
        <n v="2"/>
        <n v="1064.25"/>
        <n v="842.03"/>
        <n v="970.73"/>
        <n v="1726.5"/>
        <n v="298.55"/>
        <n v="558.24"/>
        <n v="7"/>
        <n v="1195.1600000000001"/>
        <n v="8043.28"/>
        <n v="678"/>
        <n v="1356"/>
        <n v="402.22"/>
        <n v="1091.5899999999999"/>
        <n v="1896.03"/>
        <n v="593.27"/>
        <n v="6257.66"/>
        <n v="3487.68"/>
        <n v="3940.95"/>
        <n v="3487.57"/>
        <n v="4212.46"/>
        <n v="3478.29"/>
        <n v="3732.9"/>
        <n v="3732.89"/>
        <n v="32330.400000000001"/>
        <n v="198.43"/>
        <n v="206.23"/>
        <n v="414.9"/>
        <n v="223.42"/>
        <n v="235.11"/>
        <n v="277.18"/>
        <n v="225.9"/>
        <n v="1781.17"/>
        <n v="377.68"/>
        <n v="88"/>
        <n v="-99.44"/>
        <n v="982.24"/>
        <n v="1145.07"/>
        <n v="40"/>
        <n v="210"/>
        <n v="420"/>
        <n v="-474.6"/>
        <n v="355.95"/>
        <n v="630"/>
        <n v="2821.35"/>
        <n v="815.07"/>
        <n v="114.53"/>
        <n v="634.24"/>
        <n v="2990.82"/>
        <n v="41.18"/>
        <n v="3805.31"/>
        <n v="-299.99"/>
        <n v="3258.34"/>
        <n v="573.21"/>
        <n v="4096.82"/>
        <n v="549.46"/>
        <n v="1816.51"/>
        <n v="2400"/>
        <n v="943.48"/>
        <n v="379.32"/>
        <n v="230.25"/>
        <n v="438.92"/>
        <n v="20"/>
        <n v="452.59"/>
        <n v="481.75"/>
        <n v="1197.72"/>
        <n v="2162.25"/>
        <n v="341.81"/>
        <n v="7782.3"/>
        <n v="36467.120000000003"/>
        <n v="1920"/>
        <n v="101.77"/>
        <n v="42.48"/>
        <n v="76.8"/>
        <n v="129.13"/>
        <n v="53.09"/>
        <n v="96"/>
        <n v="567"/>
        <n v="24.65"/>
        <n v="12.54"/>
        <n v="22.68"/>
        <n v="83.53"/>
        <n v="35.39"/>
        <n v="64"/>
        <n v="106.33"/>
        <n v="44.24"/>
        <n v="80"/>
        <n v="686.25"/>
        <n v="31.44"/>
        <n v="15.18"/>
        <n v="27.45"/>
        <n v="396.5"/>
        <n v="14.93"/>
        <n v="8.76"/>
        <n v="15.86"/>
        <n v="411.75"/>
        <n v="15.8"/>
        <n v="9.11"/>
        <n v="16.47"/>
        <n v="660"/>
        <n v="29.95"/>
        <n v="14.6"/>
        <n v="26.4"/>
        <n v="846"/>
        <n v="40.549999999999997"/>
        <n v="18.72"/>
        <n v="33.840000000000003"/>
        <n v="274.5"/>
        <n v="7.97"/>
        <n v="6.08"/>
        <n v="10.98"/>
        <n v="384"/>
        <n v="8.5"/>
        <n v="1400"/>
        <n v="72.13"/>
        <n v="30.97"/>
        <n v="988"/>
        <n v="21.85"/>
        <n v="1052.25"/>
        <n v="23.28"/>
        <n v="960"/>
        <n v="21.24"/>
        <n v="512"/>
        <n v="21.51"/>
        <n v="11.33"/>
        <n v="288"/>
        <n v="8.74"/>
        <n v="6.37"/>
        <n v="27.21"/>
        <n v="13.54"/>
        <n v="1280"/>
        <n v="28.31"/>
        <n v="480"/>
        <n v="19.690000000000001"/>
        <n v="10.61"/>
        <n v="1440"/>
        <n v="74.41"/>
        <n v="31.85"/>
        <n v="452.16"/>
        <n v="10"/>
        <n v="758.4"/>
        <n v="16.77"/>
        <n v="224"/>
        <n v="5.0999999999999996"/>
        <n v="4.96"/>
        <n v="1116"/>
        <n v="55.94"/>
        <n v="24.68"/>
        <n v="980.8"/>
        <n v="21.7"/>
        <n v="1531.2"/>
        <n v="79.61"/>
        <n v="33.869999999999997"/>
        <n v="77.83"/>
        <n v="33.18"/>
        <n v="818.67"/>
        <n v="18.100000000000001"/>
        <n v="1523"/>
        <n v="79.14"/>
        <n v="33.68"/>
        <n v="914.1"/>
        <n v="44.43"/>
        <n v="20.22"/>
        <n v="1384.62"/>
        <n v="71.25"/>
        <n v="30.63"/>
        <n v="1024.27"/>
        <n v="50.71"/>
        <n v="22.65"/>
        <n v="1570.13"/>
        <n v="81.819999999999993"/>
        <n v="34.729999999999997"/>
        <n v="276.25"/>
        <n v="8.07"/>
        <n v="6.1"/>
        <n v="915.3"/>
        <n v="44.5"/>
        <n v="20.239999999999998"/>
        <n v="845.6"/>
        <n v="40.53"/>
        <n v="18.7"/>
        <n v="1041.33"/>
        <n v="51.68"/>
        <n v="23.03"/>
        <n v="744.25"/>
        <n v="34.75"/>
        <n v="16.46"/>
        <n v="1197.53"/>
        <n v="60.59"/>
        <n v="26.49"/>
        <n v="605.87"/>
        <n v="26.86"/>
        <n v="13.4"/>
        <n v="1245.45"/>
        <n v="63.32"/>
        <n v="27.55"/>
        <n v="476.94"/>
        <n v="19.510000000000002"/>
        <n v="10.56"/>
        <n v="769.2"/>
        <n v="36.17"/>
        <n v="17.010000000000002"/>
        <n v="964.53"/>
        <n v="47.31"/>
        <n v="21.34"/>
        <n v="1722.32"/>
        <n v="90.5"/>
        <n v="38.090000000000003"/>
        <n v="982.58"/>
        <n v="48.33"/>
        <n v="21.73"/>
        <n v="1232.7"/>
        <n v="62.59"/>
        <n v="27.27"/>
        <n v="965.07"/>
        <n v="47.34"/>
        <n v="21.35"/>
        <n v="1445.93"/>
        <n v="74.75"/>
        <n v="31.99"/>
        <n v="601.25"/>
        <n v="26.6"/>
        <n v="13.3"/>
        <n v="1154.4000000000001"/>
        <n v="58.13"/>
        <n v="25.54"/>
        <n v="46.18"/>
        <n v="56"/>
        <n v="1139.2"/>
        <n v="57.26"/>
        <n v="25.2"/>
        <n v="45.57"/>
        <n v="224.25"/>
        <n v="5.1100000000000003"/>
        <n v="8.9700000000000006"/>
        <n v="1750.68"/>
        <n v="92.12"/>
        <n v="38.72"/>
        <n v="70.03"/>
        <n v="155704.23000000001"/>
        <n v="9843.77"/>
        <n v="6831.65"/>
        <n v="18425.419999999998"/>
        <n v="3318.58"/>
        <n v="29867.22"/>
        <n v="921.86"/>
        <n v="4163.8900000000003"/>
        <n v="395"/>
        <n v="5480.75"/>
        <n v="48.67"/>
        <n v="177.2"/>
        <n v="181.51"/>
        <n v="945.29"/>
        <n v="189.92"/>
        <n v="1542.59"/>
        <n v="100"/>
        <n v="409"/>
        <n v="185.91"/>
        <n v="694.91"/>
        <n v="151.88"/>
        <n v="238.55"/>
        <n v="199.16"/>
        <n v="139.12"/>
        <n v="66.8"/>
        <n v="72.87"/>
        <n v="275.20999999999998"/>
        <n v="75.45"/>
        <n v="189.16"/>
        <n v="182.59"/>
        <n v="74.91"/>
        <n v="82.5"/>
        <n v="143.09"/>
        <n v="171.88"/>
        <n v="140.19999999999999"/>
        <n v="567.03"/>
        <n v="178.31"/>
      </sharedItems>
    </cacheField>
    <cacheField name="Balance" numFmtId="0">
      <sharedItems containsString="0" containsBlank="1" containsNumber="1" minValue="-166.94" maxValue="820359.98"/>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een Al-Tameemi" refreshedDate="44996.857077777779" createdVersion="8" refreshedVersion="8" minRefreshableVersion="3" recordCount="415" xr:uid="{348CB608-521A-47E2-938B-2850C0A94FA9}">
  <cacheSource type="worksheet">
    <worksheetSource ref="H1:P416" sheet="Sheet1"/>
  </cacheSource>
  <cacheFields count="10">
    <cacheField name="Type" numFmtId="49">
      <sharedItems containsBlank="1"/>
    </cacheField>
    <cacheField name="Date" numFmtId="164">
      <sharedItems containsNonDate="0" containsDate="1" containsString="0" containsBlank="1" minDate="2022-04-05T00:00:00" maxDate="2022-12-31T00:00:00" count="98">
        <m/>
        <d v="2022-04-05T00:00:00"/>
        <d v="2022-04-11T00:00:00"/>
        <d v="2022-04-27T00:00:00"/>
        <d v="2022-04-29T00:00:00"/>
        <d v="2022-05-31T00:00:00"/>
        <d v="2022-06-03T00:00:00"/>
        <d v="2022-06-06T00:00:00"/>
        <d v="2022-06-07T00:00:00"/>
        <d v="2022-06-08T00:00:00"/>
        <d v="2022-06-10T00:00:00"/>
        <d v="2022-06-13T00:00:00"/>
        <d v="2022-06-14T00:00:00"/>
        <d v="2022-06-15T00:00:00"/>
        <d v="2022-06-16T00:00:00"/>
        <d v="2022-06-20T00:00:00"/>
        <d v="2022-06-21T00:00:00"/>
        <d v="2022-06-24T00:00:00"/>
        <d v="2022-06-27T00:00:00"/>
        <d v="2022-06-29T00:00:00"/>
        <d v="2022-07-01T00:00:00"/>
        <d v="2022-07-02T00:00:00"/>
        <d v="2022-07-03T00:00:00"/>
        <d v="2022-07-04T00:00:00"/>
        <d v="2022-07-07T00:00:00"/>
        <d v="2022-07-09T00:00:00"/>
        <d v="2022-07-11T00:00:00"/>
        <d v="2022-07-12T00:00:00"/>
        <d v="2022-07-14T00:00:00"/>
        <d v="2022-07-15T00:00:00"/>
        <d v="2022-07-17T00:00:00"/>
        <d v="2022-07-18T00:00:00"/>
        <d v="2022-07-19T00:00:00"/>
        <d v="2022-07-20T00:00:00"/>
        <d v="2022-07-22T00:00:00"/>
        <d v="2022-07-25T00:00:00"/>
        <d v="2022-07-26T00:00:00"/>
        <d v="2022-07-27T00:00:00"/>
        <d v="2022-07-29T00:00:00"/>
        <d v="2022-08-01T00:00:00"/>
        <d v="2022-08-02T00:00:00"/>
        <d v="2022-08-03T00:00:00"/>
        <d v="2022-08-04T00:00:00"/>
        <d v="2022-08-05T00:00:00"/>
        <d v="2022-08-07T00:00:00"/>
        <d v="2022-08-09T00:00:00"/>
        <d v="2022-08-10T00:00:00"/>
        <d v="2022-08-11T00:00:00"/>
        <d v="2022-08-12T00:00:00"/>
        <d v="2022-08-14T00:00:00"/>
        <d v="2022-08-15T00:00:00"/>
        <d v="2022-08-16T00:00:00"/>
        <d v="2022-08-17T00:00:00"/>
        <d v="2022-08-22T00:00:00"/>
        <d v="2022-08-23T00:00:00"/>
        <d v="2022-08-24T00:00:00"/>
        <d v="2022-08-25T00:00:00"/>
        <d v="2022-08-26T00:00:00"/>
        <d v="2022-08-27T00:00:00"/>
        <d v="2022-08-30T00:00:00"/>
        <d v="2022-08-31T00:00:00"/>
        <d v="2022-09-02T00:00:00"/>
        <d v="2022-09-06T00:00:00"/>
        <d v="2022-09-07T00:00:00"/>
        <d v="2022-09-08T00:00:00"/>
        <d v="2022-09-12T00:00:00"/>
        <d v="2022-09-13T00:00:00"/>
        <d v="2022-09-14T00:00:00"/>
        <d v="2022-09-15T00:00:00"/>
        <d v="2022-09-16T00:00:00"/>
        <d v="2022-09-19T00:00:00"/>
        <d v="2022-09-20T00:00:00"/>
        <d v="2022-09-23T00:00:00"/>
        <d v="2022-09-27T00:00:00"/>
        <d v="2022-09-29T00:00:00"/>
        <d v="2022-09-30T00:00:00"/>
        <d v="2022-10-05T00:00:00"/>
        <d v="2022-10-11T00:00:00"/>
        <d v="2022-10-13T00:00:00"/>
        <d v="2022-10-17T00:00:00"/>
        <d v="2022-10-24T00:00:00"/>
        <d v="2022-11-01T00:00:00"/>
        <d v="2022-11-02T00:00:00"/>
        <d v="2022-11-04T00:00:00"/>
        <d v="2022-11-07T00:00:00"/>
        <d v="2022-11-08T00:00:00"/>
        <d v="2022-11-11T00:00:00"/>
        <d v="2022-11-14T00:00:00"/>
        <d v="2022-11-17T00:00:00"/>
        <d v="2022-11-21T00:00:00"/>
        <d v="2022-12-02T00:00:00"/>
        <d v="2022-12-06T00:00:00"/>
        <d v="2022-12-07T00:00:00"/>
        <d v="2022-12-09T00:00:00"/>
        <d v="2022-12-15T00:00:00"/>
        <d v="2022-12-16T00:00:00"/>
        <d v="2022-12-17T00:00:00"/>
        <d v="2022-12-30T00:00:00"/>
      </sharedItems>
      <fieldGroup par="9" base="1">
        <rangePr groupBy="days" startDate="2022-04-05T00:00:00" endDate="2022-12-31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2"/>
        </groupItems>
      </fieldGroup>
    </cacheField>
    <cacheField name="Num" numFmtId="49">
      <sharedItems containsBlank="1"/>
    </cacheField>
    <cacheField name="Name" numFmtId="49">
      <sharedItems containsBlank="1"/>
    </cacheField>
    <cacheField name="Memo" numFmtId="49">
      <sharedItems containsBlank="1"/>
    </cacheField>
    <cacheField name="Class" numFmtId="49">
      <sharedItems containsNonDate="0" containsString="0" containsBlank="1"/>
    </cacheField>
    <cacheField name="Clr" numFmtId="49">
      <sharedItems containsNonDate="0" containsString="0" containsBlank="1"/>
    </cacheField>
    <cacheField name="Split" numFmtId="49">
      <sharedItems containsBlank="1"/>
    </cacheField>
    <cacheField name="Amount" numFmtId="165">
      <sharedItems containsString="0" containsBlank="1" containsNumber="1" minValue="-45000" maxValue="220000"/>
    </cacheField>
    <cacheField name="Months" numFmtId="0" databaseField="0">
      <fieldGroup base="1">
        <rangePr groupBy="months" startDate="2022-04-05T00:00:00" endDate="2022-12-31T00:00:00"/>
        <groupItems count="14">
          <s v="&lt;4/5/2022"/>
          <s v="Jan"/>
          <s v="Feb"/>
          <s v="Mar"/>
          <s v="Apr"/>
          <s v="May"/>
          <s v="Jun"/>
          <s v="Jul"/>
          <s v="Aug"/>
          <s v="Sep"/>
          <s v="Oct"/>
          <s v="Nov"/>
          <s v="Dec"/>
          <s v="&gt;12/31/2022"/>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een Al-Tameemi" refreshedDate="44997.64510833333" createdVersion="8" refreshedVersion="8" minRefreshableVersion="3" recordCount="1194" xr:uid="{B9CC9B74-4B83-40EA-B444-4F42582B28FB}">
  <cacheSource type="worksheet">
    <worksheetSource ref="H1:P1195" sheet="Worksheet (all)"/>
  </cacheSource>
  <cacheFields count="9">
    <cacheField name="Type" numFmtId="49">
      <sharedItems containsBlank="1" count="32">
        <m/>
        <s v="Invoice"/>
        <s v="Credit Memo"/>
        <s v="Credit Card Charge"/>
        <s v="Type"/>
        <s v="Job Materials Purchase"/>
        <s v="Subcontractors expense"/>
        <s v="Gilmore Accounting fees Journal"/>
        <s v="Gilmore Accounting fees"/>
        <s v="Automobile expenses"/>
        <s v="Advertising "/>
        <s v="Advertising"/>
        <s v="Fuel-Trucks"/>
        <s v="Bank-Services Charges"/>
        <s v="Business License/Permits"/>
        <s v="Vehicle Lease"/>
        <s v="PC Expense "/>
        <s v="Insurance"/>
        <s v="Garbage Removal"/>
        <s v="Gps tracking"/>
        <s v="Meals and Entertainment"/>
        <s v="Alarm"/>
        <s v="Janitorial"/>
        <s v="Office Supplies"/>
        <s v="Pay Cheque"/>
        <s v="Management fee"/>
        <s v="Legal Fees"/>
        <s v="Rent"/>
        <s v="ESA Inspection"/>
        <s v="Telephone Expense"/>
        <s v="Internet Expense"/>
        <s v="Utilities"/>
      </sharedItems>
    </cacheField>
    <cacheField name="Date" numFmtId="0">
      <sharedItems containsDate="1" containsBlank="1" containsMixedTypes="1" minDate="2022-04-01T00:00:00" maxDate="2023-01-01T00:00:00"/>
    </cacheField>
    <cacheField name="Num" numFmtId="49">
      <sharedItems containsBlank="1"/>
    </cacheField>
    <cacheField name="Name" numFmtId="49">
      <sharedItems containsBlank="1" count="105">
        <m/>
        <s v="MY MARUTI CONSTRUCTION"/>
        <s v="CREPE STAR"/>
        <s v="MILLCREEK BATH AND KITCHEN"/>
        <s v="CANMAR"/>
        <s v="syed shah"/>
        <s v="HYUNDAI"/>
        <s v="Nedco Energy Services"/>
        <s v="RETROFIT -GREENSAVER"/>
        <s v="GREENSAVER"/>
        <s v="City of Mississauga"/>
        <s v="HALIBUT FISH AND CHIPS"/>
        <s v="TOTAL EXHAUST FAN"/>
        <s v="wael"/>
        <s v="JAI BAJVANI"/>
        <s v="KRISKA"/>
        <s v="GOLDMOOR INC"/>
        <s v="SUMMERSIDE FARM"/>
        <s v="MOUNTAIN HOMES"/>
        <s v="PEEL DISTRICT SCHOOL BOARD"/>
        <s v="RP PAINTING"/>
        <s v="ROLLER SKATING PLACE"/>
        <s v="ROYAL PLAN &amp; PUNJAB RESTURANT"/>
        <s v="BAYVIEW STEELS AUTO COLLISION"/>
        <s v="POLAT AUTO SERVICE"/>
        <s v="BAR BURRITTO -WINDSOR"/>
        <s v="MANAR"/>
        <s v="NADEEM AHMED"/>
        <s v="MITS"/>
        <s v="peaksaver"/>
        <s v="VIA CANADA HOLDING GROUP"/>
        <s v="TRINITY DRUG MART"/>
        <s v="MARBLE SLAB CREAMERY GUELPH"/>
        <s v="PREET KHALSA"/>
        <s v="Misc income"/>
        <s v="Name"/>
        <s v="ONEIL ELECTRIC"/>
        <s v="SURPLUS ELECTRICAL"/>
        <s v="APA TORONTO"/>
        <s v="Diaa Hijazi"/>
        <s v="ARAY LED INC"/>
        <s v="Nayef. Abboud"/>
        <s v="Impulse"/>
        <s v="ITM INSTRUMENTS INC"/>
        <s v="HERITAGE ELECTRICAL SUPPLIES"/>
        <s v="RBC"/>
        <s v="TESLA  LIGHTING"/>
        <s v="Home Depot"/>
        <s v="Uline Canada Corporation"/>
        <s v="RONA"/>
        <s v="SESCO"/>
        <s v="GLOBAL NGINEERING"/>
        <s v="Nedco division of rexel canada electrical"/>
        <s v="GTA  ATUOMATIC DOOR SYSTEMS INC"/>
        <s v="WESTBURNE"/>
        <s v="ASSAMCO"/>
        <s v="LEMCO ELECTRIC"/>
        <s v="PRIMARY LIGHTING INC"/>
        <s v="Canadian Tire Store"/>
        <s v="STANSERVICE"/>
        <s v="YESSAY GHSHRANIAN"/>
        <s v="Multedia box inc"/>
        <s v="NOSHI HEATING &amp; COOLING INC"/>
        <s v="PROFESSIONAL INDUSTRIAL SERVICES"/>
        <s v="EASYFIX"/>
        <s v="GILMORE COMPANY"/>
        <s v="407 ETR"/>
        <s v="TEAM CHRYSLER JEEP"/>
        <s v="ARAK AUTO INC"/>
        <s v="STEVE"/>
        <s v="ESSO MOBILE"/>
        <s v="Nayef Abboud"/>
        <s v="Federated Insurance"/>
        <s v="PROGRESSIVE WASTE SOLUTIONS"/>
        <s v="G C LEASING ONTARIO"/>
        <s v="PINPOINT GPS  SOLUTIONS INC"/>
        <s v="Dan-El Alarms"/>
        <s v="MAID 4 CLEANING INC"/>
        <s v="Haneen Alkhafaji"/>
        <s v="new era print"/>
        <s v="Staples"/>
        <s v="AMAZON"/>
        <s v="YOUVIC INVESTMENTS GROUP INC"/>
        <s v="ASSAMA  AL-TAMEEMI"/>
        <s v="NEBS"/>
        <s v="haneen zaid"/>
        <s v="DELUXE"/>
        <s v="Hassan Al-aumari"/>
        <s v="Kareem Hijazi"/>
        <s v="Peter Marzinotto"/>
        <s v="Rowan Johe"/>
        <s v="Marc Abi-Najem"/>
        <s v="YASAMEEN AL-TAMEEMI"/>
        <s v="KARIM SADEQ"/>
        <s v="Maryam Al-Aloosi"/>
        <s v="YESSAY GHSHRANIAN (employee)"/>
        <s v="ZAID BAHNAM"/>
        <s v="1000228478 ONTARIO INC"/>
        <s v="MAHOON LAW"/>
        <s v="Zappa Investments"/>
        <s v="ESA"/>
        <s v="Bell Canada"/>
        <s v="Enersource"/>
        <s v="Enbridge"/>
        <s v="Alectra Utilities"/>
      </sharedItems>
    </cacheField>
    <cacheField name="Memo" numFmtId="49">
      <sharedItems containsBlank="1"/>
    </cacheField>
    <cacheField name="Class" numFmtId="49">
      <sharedItems containsBlank="1"/>
    </cacheField>
    <cacheField name="Clr" numFmtId="49">
      <sharedItems containsBlank="1"/>
    </cacheField>
    <cacheField name="Split" numFmtId="49">
      <sharedItems containsBlank="1"/>
    </cacheField>
    <cacheField name="Amount" numFmtId="0">
      <sharedItems containsBlank="1" containsMixedTypes="1" containsNumber="1" minValue="-304245.40999999997" maxValue="310993.1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m/>
    <x v="0"/>
    <m/>
    <x v="0"/>
    <m/>
    <m/>
    <m/>
    <x v="0"/>
    <x v="0"/>
    <m/>
  </r>
  <r>
    <m/>
    <x v="0"/>
    <m/>
    <x v="0"/>
    <m/>
    <m/>
    <m/>
    <x v="0"/>
    <x v="0"/>
    <m/>
  </r>
  <r>
    <m/>
    <x v="0"/>
    <m/>
    <x v="0"/>
    <m/>
    <m/>
    <m/>
    <x v="0"/>
    <x v="0"/>
    <m/>
  </r>
  <r>
    <s v="Invoice"/>
    <x v="1"/>
    <s v="AC 80001-22"/>
    <x v="1"/>
    <m/>
    <m/>
    <m/>
    <x v="1"/>
    <x v="1"/>
    <n v="21750"/>
  </r>
  <r>
    <s v="Invoice"/>
    <x v="2"/>
    <s v="AC 80003-22"/>
    <x v="2"/>
    <m/>
    <m/>
    <m/>
    <x v="1"/>
    <x v="2"/>
    <n v="24450"/>
  </r>
  <r>
    <s v="Invoice"/>
    <x v="2"/>
    <s v="AC 80004-22"/>
    <x v="3"/>
    <m/>
    <m/>
    <m/>
    <x v="1"/>
    <x v="3"/>
    <n v="26200"/>
  </r>
  <r>
    <s v="Invoice"/>
    <x v="3"/>
    <s v="AC0427-22"/>
    <x v="4"/>
    <m/>
    <m/>
    <m/>
    <x v="1"/>
    <x v="4"/>
    <n v="43200"/>
  </r>
  <r>
    <s v="Invoice"/>
    <x v="3"/>
    <s v="AC0427-22"/>
    <x v="4"/>
    <m/>
    <m/>
    <m/>
    <x v="1"/>
    <x v="5"/>
    <n v="47200"/>
  </r>
  <r>
    <s v="Invoice"/>
    <x v="4"/>
    <s v="AC 041922-3"/>
    <x v="5"/>
    <s v="2580 shepard ave -9500 total job +hst"/>
    <m/>
    <m/>
    <x v="1"/>
    <x v="6"/>
    <n v="56700"/>
  </r>
  <r>
    <s v="Invoice"/>
    <x v="4"/>
    <s v="AC 0429-22"/>
    <x v="6"/>
    <s v="-Installation of 7 RAB projectors.  -Pvc pipes, boxes wp(weather proof), T 90 wires, breakers.  ..."/>
    <m/>
    <m/>
    <x v="1"/>
    <x v="7"/>
    <n v="63986.18"/>
  </r>
  <r>
    <s v="Invoice"/>
    <x v="4"/>
    <s v="AC 0429-22"/>
    <x v="6"/>
    <s v="-10% Discount"/>
    <m/>
    <m/>
    <x v="1"/>
    <x v="8"/>
    <n v="63257.56"/>
  </r>
  <r>
    <s v="Invoice"/>
    <x v="5"/>
    <s v="AC0427-23"/>
    <x v="7"/>
    <s v="Removals"/>
    <m/>
    <m/>
    <x v="1"/>
    <x v="9"/>
    <n v="64232.56"/>
  </r>
  <r>
    <s v="Invoice"/>
    <x v="6"/>
    <s v="AC 0224"/>
    <x v="8"/>
    <m/>
    <m/>
    <m/>
    <x v="1"/>
    <x v="10"/>
    <n v="65728.259999999995"/>
  </r>
  <r>
    <s v="Invoice"/>
    <x v="7"/>
    <s v="AC 062422"/>
    <x v="9"/>
    <m/>
    <m/>
    <m/>
    <x v="1"/>
    <x v="11"/>
    <n v="66364.259999999995"/>
  </r>
  <r>
    <s v="Invoice"/>
    <x v="7"/>
    <s v="AC M-160"/>
    <x v="9"/>
    <m/>
    <m/>
    <m/>
    <x v="1"/>
    <x v="12"/>
    <n v="66996.81"/>
  </r>
  <r>
    <s v="Invoice"/>
    <x v="7"/>
    <s v="AC L-256"/>
    <x v="9"/>
    <m/>
    <m/>
    <m/>
    <x v="1"/>
    <x v="13"/>
    <n v="67616.41"/>
  </r>
  <r>
    <s v="Invoice"/>
    <x v="7"/>
    <s v="AC L-755"/>
    <x v="9"/>
    <m/>
    <m/>
    <m/>
    <x v="1"/>
    <x v="14"/>
    <n v="68348.639999999999"/>
  </r>
  <r>
    <s v="Invoice"/>
    <x v="8"/>
    <s v="AC 0951"/>
    <x v="8"/>
    <m/>
    <m/>
    <m/>
    <x v="1"/>
    <x v="15"/>
    <n v="68548.639999999999"/>
  </r>
  <r>
    <s v="Invoice"/>
    <x v="8"/>
    <s v="AC 06-07-22"/>
    <x v="9"/>
    <m/>
    <m/>
    <m/>
    <x v="1"/>
    <x v="16"/>
    <n v="68939.600000000006"/>
  </r>
  <r>
    <s v="Invoice"/>
    <x v="8"/>
    <s v="AC L-1004"/>
    <x v="9"/>
    <m/>
    <m/>
    <m/>
    <x v="1"/>
    <x v="17"/>
    <n v="69067.850000000006"/>
  </r>
  <r>
    <s v="Invoice"/>
    <x v="8"/>
    <s v="0951"/>
    <x v="8"/>
    <m/>
    <m/>
    <m/>
    <x v="1"/>
    <x v="15"/>
    <n v="69267.850000000006"/>
  </r>
  <r>
    <s v="Invoice"/>
    <x v="9"/>
    <s v="07-01-30AC"/>
    <x v="9"/>
    <m/>
    <m/>
    <m/>
    <x v="1"/>
    <x v="17"/>
    <n v="69396.100000000006"/>
  </r>
  <r>
    <s v="Invoice"/>
    <x v="10"/>
    <s v="AC 06-10-22"/>
    <x v="9"/>
    <m/>
    <m/>
    <m/>
    <x v="1"/>
    <x v="18"/>
    <n v="70293.850000000006"/>
  </r>
  <r>
    <s v="Invoice"/>
    <x v="11"/>
    <s v="AC06-132209"/>
    <x v="10"/>
    <s v="Churchill Meadows CC Mississauga - Supply and install 2 x “SPEC / IDAS – A7810 data loggers comp..."/>
    <m/>
    <m/>
    <x v="1"/>
    <x v="19"/>
    <n v="78493.850000000006"/>
  </r>
  <r>
    <s v="Invoice"/>
    <x v="11"/>
    <s v="AC 06-13-22"/>
    <x v="9"/>
    <m/>
    <m/>
    <m/>
    <x v="1"/>
    <x v="20"/>
    <n v="79306.87"/>
  </r>
  <r>
    <s v="Invoice"/>
    <x v="11"/>
    <s v="0692"/>
    <x v="8"/>
    <m/>
    <m/>
    <m/>
    <x v="1"/>
    <x v="21"/>
    <n v="79546.87"/>
  </r>
  <r>
    <s v="Invoice"/>
    <x v="12"/>
    <s v="AC 14-06-22"/>
    <x v="9"/>
    <m/>
    <m/>
    <m/>
    <x v="1"/>
    <x v="22"/>
    <n v="79942.28"/>
  </r>
  <r>
    <s v="Invoice"/>
    <x v="12"/>
    <s v="AC 14-06-23"/>
    <x v="9"/>
    <m/>
    <m/>
    <m/>
    <x v="1"/>
    <x v="23"/>
    <n v="80489.84"/>
  </r>
  <r>
    <s v="Invoice"/>
    <x v="13"/>
    <s v="AC 06-15-22"/>
    <x v="9"/>
    <m/>
    <m/>
    <m/>
    <x v="1"/>
    <x v="24"/>
    <n v="81066.679999999993"/>
  </r>
  <r>
    <s v="Invoice"/>
    <x v="13"/>
    <s v="AC 06-06-22"/>
    <x v="9"/>
    <m/>
    <m/>
    <m/>
    <x v="1"/>
    <x v="25"/>
    <n v="82046.429999999993"/>
  </r>
  <r>
    <s v="Invoice"/>
    <x v="13"/>
    <s v="AC 22-15-06"/>
    <x v="9"/>
    <m/>
    <m/>
    <m/>
    <x v="1"/>
    <x v="26"/>
    <n v="82890.55"/>
  </r>
  <r>
    <s v="Invoice"/>
    <x v="14"/>
    <s v="AC 06-16-22"/>
    <x v="9"/>
    <m/>
    <m/>
    <m/>
    <x v="1"/>
    <x v="27"/>
    <n v="83634.070000000007"/>
  </r>
  <r>
    <s v="Invoice"/>
    <x v="14"/>
    <s v="ACL-249"/>
    <x v="9"/>
    <m/>
    <m/>
    <m/>
    <x v="1"/>
    <x v="28"/>
    <n v="83986.82"/>
  </r>
  <r>
    <s v="Invoice"/>
    <x v="15"/>
    <s v="AC 22-06-20"/>
    <x v="9"/>
    <m/>
    <m/>
    <m/>
    <x v="1"/>
    <x v="29"/>
    <n v="84632.36"/>
  </r>
  <r>
    <s v="Invoice"/>
    <x v="16"/>
    <s v="AC 0952"/>
    <x v="8"/>
    <m/>
    <m/>
    <m/>
    <x v="1"/>
    <x v="30"/>
    <n v="84882.36"/>
  </r>
  <r>
    <s v="Invoice"/>
    <x v="16"/>
    <s v="AC 0953"/>
    <x v="8"/>
    <m/>
    <m/>
    <m/>
    <x v="1"/>
    <x v="30"/>
    <n v="85132.36"/>
  </r>
  <r>
    <s v="Invoice"/>
    <x v="16"/>
    <s v="AC 06-21-22"/>
    <x v="9"/>
    <m/>
    <m/>
    <m/>
    <x v="1"/>
    <x v="31"/>
    <n v="85659.02"/>
  </r>
  <r>
    <s v="Invoice"/>
    <x v="16"/>
    <s v="0952"/>
    <x v="8"/>
    <m/>
    <m/>
    <m/>
    <x v="1"/>
    <x v="30"/>
    <n v="85909.02"/>
  </r>
  <r>
    <s v="Invoice"/>
    <x v="16"/>
    <s v="0953"/>
    <x v="8"/>
    <m/>
    <m/>
    <m/>
    <x v="1"/>
    <x v="30"/>
    <n v="86159.02"/>
  </r>
  <r>
    <s v="Invoice"/>
    <x v="17"/>
    <s v="AC 0903"/>
    <x v="8"/>
    <m/>
    <m/>
    <m/>
    <x v="1"/>
    <x v="32"/>
    <n v="86299.02"/>
  </r>
  <r>
    <s v="Invoice"/>
    <x v="17"/>
    <s v="AC 0904"/>
    <x v="8"/>
    <m/>
    <m/>
    <m/>
    <x v="1"/>
    <x v="33"/>
    <n v="88138.97"/>
  </r>
  <r>
    <s v="Invoice"/>
    <x v="17"/>
    <s v="07-01-27AC"/>
    <x v="9"/>
    <m/>
    <m/>
    <m/>
    <x v="1"/>
    <x v="34"/>
    <n v="88904.53"/>
  </r>
  <r>
    <s v="Invoice"/>
    <x v="17"/>
    <s v="07-01-31AC"/>
    <x v="9"/>
    <m/>
    <m/>
    <m/>
    <x v="1"/>
    <x v="12"/>
    <n v="89537.08"/>
  </r>
  <r>
    <s v="Invoice"/>
    <x v="17"/>
    <s v="0903"/>
    <x v="8"/>
    <m/>
    <m/>
    <m/>
    <x v="1"/>
    <x v="32"/>
    <n v="89677.08"/>
  </r>
  <r>
    <s v="Invoice"/>
    <x v="17"/>
    <s v="0904"/>
    <x v="8"/>
    <m/>
    <m/>
    <m/>
    <x v="1"/>
    <x v="33"/>
    <n v="91517.03"/>
  </r>
  <r>
    <s v="Invoice"/>
    <x v="18"/>
    <s v="AC 0694"/>
    <x v="8"/>
    <m/>
    <m/>
    <m/>
    <x v="1"/>
    <x v="35"/>
    <n v="92406.87"/>
  </r>
  <r>
    <s v="Invoice"/>
    <x v="18"/>
    <s v="0694"/>
    <x v="8"/>
    <m/>
    <m/>
    <m/>
    <x v="1"/>
    <x v="35"/>
    <n v="93296.71"/>
  </r>
  <r>
    <s v="Invoice"/>
    <x v="19"/>
    <s v="AC 0954"/>
    <x v="8"/>
    <m/>
    <m/>
    <m/>
    <x v="1"/>
    <x v="36"/>
    <n v="94596.71"/>
  </r>
  <r>
    <s v="Invoice"/>
    <x v="19"/>
    <s v="0954"/>
    <x v="8"/>
    <m/>
    <m/>
    <m/>
    <x v="1"/>
    <x v="36"/>
    <n v="95896.71"/>
  </r>
  <r>
    <s v="Invoice"/>
    <x v="20"/>
    <s v="07-01-22AC"/>
    <x v="11"/>
    <s v="AUTOMATION SYSTEM FOR EXHAUST FAN, MAKE UP AIR UNIT"/>
    <m/>
    <m/>
    <x v="1"/>
    <x v="37"/>
    <n v="98396.71"/>
  </r>
  <r>
    <s v="Invoice"/>
    <x v="20"/>
    <s v="07-01-22AC"/>
    <x v="11"/>
    <s v="COMPUTER CABLE  AND ACCESSORIES"/>
    <m/>
    <m/>
    <x v="1"/>
    <x v="38"/>
    <n v="98454.71"/>
  </r>
  <r>
    <s v="Invoice"/>
    <x v="20"/>
    <s v="07-01-23AC"/>
    <x v="12"/>
    <s v="AUTOMATION SYSTEM INSTALL"/>
    <m/>
    <m/>
    <x v="1"/>
    <x v="39"/>
    <n v="98454.71"/>
  </r>
  <r>
    <s v="Invoice"/>
    <x v="20"/>
    <s v="07-01-23AC"/>
    <x v="12"/>
    <s v="RECONNECTING EMT"/>
    <m/>
    <m/>
    <x v="1"/>
    <x v="39"/>
    <n v="98454.71"/>
  </r>
  <r>
    <s v="Invoice"/>
    <x v="20"/>
    <s v="07-01-23AC"/>
    <x v="12"/>
    <m/>
    <m/>
    <m/>
    <x v="1"/>
    <x v="40"/>
    <n v="100454.71"/>
  </r>
  <r>
    <s v="Invoice"/>
    <x v="20"/>
    <s v="0957"/>
    <x v="9"/>
    <m/>
    <m/>
    <m/>
    <x v="1"/>
    <x v="41"/>
    <n v="101017.26"/>
  </r>
  <r>
    <s v="Invoice"/>
    <x v="20"/>
    <s v="0959"/>
    <x v="9"/>
    <m/>
    <m/>
    <m/>
    <x v="1"/>
    <x v="42"/>
    <n v="102061.34"/>
  </r>
  <r>
    <s v="Invoice"/>
    <x v="20"/>
    <s v="0962"/>
    <x v="9"/>
    <m/>
    <m/>
    <m/>
    <x v="1"/>
    <x v="43"/>
    <n v="102916.12"/>
  </r>
  <r>
    <s v="Invoice"/>
    <x v="20"/>
    <s v="0966"/>
    <x v="9"/>
    <m/>
    <m/>
    <m/>
    <x v="1"/>
    <x v="44"/>
    <n v="103648.26"/>
  </r>
  <r>
    <s v="Invoice"/>
    <x v="20"/>
    <s v="0967"/>
    <x v="9"/>
    <m/>
    <m/>
    <m/>
    <x v="1"/>
    <x v="45"/>
    <n v="104314.67"/>
  </r>
  <r>
    <s v="Invoice"/>
    <x v="20"/>
    <s v="0968"/>
    <x v="9"/>
    <m/>
    <m/>
    <m/>
    <x v="1"/>
    <x v="46"/>
    <n v="104737.79"/>
  </r>
  <r>
    <s v="Invoice"/>
    <x v="20"/>
    <s v="0970"/>
    <x v="9"/>
    <m/>
    <m/>
    <m/>
    <x v="1"/>
    <x v="47"/>
    <n v="105354.09"/>
  </r>
  <r>
    <s v="Invoice"/>
    <x v="20"/>
    <s v="0971"/>
    <x v="9"/>
    <m/>
    <m/>
    <m/>
    <x v="1"/>
    <x v="48"/>
    <n v="105797.89"/>
  </r>
  <r>
    <s v="Invoice"/>
    <x v="20"/>
    <s v="0973"/>
    <x v="9"/>
    <m/>
    <m/>
    <m/>
    <x v="1"/>
    <x v="49"/>
    <n v="105921.81"/>
  </r>
  <r>
    <s v="Invoice"/>
    <x v="20"/>
    <s v="0974"/>
    <x v="9"/>
    <m/>
    <m/>
    <m/>
    <x v="1"/>
    <x v="50"/>
    <n v="106468.07"/>
  </r>
  <r>
    <s v="Invoice"/>
    <x v="20"/>
    <s v="0975"/>
    <x v="9"/>
    <m/>
    <m/>
    <m/>
    <x v="1"/>
    <x v="51"/>
    <n v="107120.12"/>
  </r>
  <r>
    <s v="Invoice"/>
    <x v="20"/>
    <s v="0977"/>
    <x v="9"/>
    <m/>
    <m/>
    <m/>
    <x v="1"/>
    <x v="52"/>
    <n v="107922.26"/>
  </r>
  <r>
    <s v="Invoice"/>
    <x v="20"/>
    <s v="0978"/>
    <x v="9"/>
    <m/>
    <m/>
    <m/>
    <x v="1"/>
    <x v="53"/>
    <n v="108468.56"/>
  </r>
  <r>
    <s v="Invoice"/>
    <x v="20"/>
    <s v="0979"/>
    <x v="9"/>
    <m/>
    <m/>
    <m/>
    <x v="1"/>
    <x v="53"/>
    <n v="109014.86"/>
  </r>
  <r>
    <s v="Invoice"/>
    <x v="20"/>
    <s v="0980"/>
    <x v="8"/>
    <m/>
    <m/>
    <m/>
    <x v="1"/>
    <x v="54"/>
    <n v="112024.36"/>
  </r>
  <r>
    <s v="Invoice"/>
    <x v="20"/>
    <s v="0981"/>
    <x v="8"/>
    <m/>
    <m/>
    <m/>
    <x v="1"/>
    <x v="55"/>
    <n v="112454.3"/>
  </r>
  <r>
    <s v="Invoice"/>
    <x v="20"/>
    <s v="0982"/>
    <x v="8"/>
    <m/>
    <m/>
    <m/>
    <x v="1"/>
    <x v="56"/>
    <n v="113006.91"/>
  </r>
  <r>
    <s v="Invoice"/>
    <x v="20"/>
    <s v="0983"/>
    <x v="8"/>
    <m/>
    <m/>
    <m/>
    <x v="1"/>
    <x v="57"/>
    <n v="114214.55"/>
  </r>
  <r>
    <s v="Invoice"/>
    <x v="20"/>
    <s v="0984"/>
    <x v="8"/>
    <m/>
    <m/>
    <m/>
    <x v="1"/>
    <x v="58"/>
    <n v="114723.03"/>
  </r>
  <r>
    <s v="Invoice"/>
    <x v="20"/>
    <s v="0985"/>
    <x v="8"/>
    <m/>
    <m/>
    <m/>
    <x v="1"/>
    <x v="59"/>
    <n v="116869.99"/>
  </r>
  <r>
    <s v="Invoice"/>
    <x v="20"/>
    <s v="0986"/>
    <x v="8"/>
    <m/>
    <m/>
    <m/>
    <x v="1"/>
    <x v="60"/>
    <n v="118165.69"/>
  </r>
  <r>
    <s v="Invoice"/>
    <x v="20"/>
    <s v="0987"/>
    <x v="8"/>
    <m/>
    <m/>
    <m/>
    <x v="1"/>
    <x v="61"/>
    <n v="119888.74"/>
  </r>
  <r>
    <s v="Invoice"/>
    <x v="20"/>
    <s v="1003"/>
    <x v="8"/>
    <s v="5-212 pellatt ave"/>
    <m/>
    <m/>
    <x v="1"/>
    <x v="62"/>
    <n v="121388.74"/>
  </r>
  <r>
    <s v="Invoice"/>
    <x v="20"/>
    <s v="1003"/>
    <x v="8"/>
    <s v="1 wexford"/>
    <m/>
    <m/>
    <x v="1"/>
    <x v="63"/>
    <n v="122194.34"/>
  </r>
  <r>
    <s v="Invoice"/>
    <x v="20"/>
    <s v="ac22-07-18"/>
    <x v="9"/>
    <m/>
    <m/>
    <m/>
    <x v="1"/>
    <x v="64"/>
    <n v="123124.92"/>
  </r>
  <r>
    <s v="Invoice"/>
    <x v="20"/>
    <s v="ac22-07-19"/>
    <x v="9"/>
    <m/>
    <m/>
    <m/>
    <x v="1"/>
    <x v="65"/>
    <n v="123690.42"/>
  </r>
  <r>
    <s v="Invoice"/>
    <x v="20"/>
    <s v="ac22-07-20"/>
    <x v="9"/>
    <m/>
    <m/>
    <m/>
    <x v="1"/>
    <x v="66"/>
    <n v="123926.88"/>
  </r>
  <r>
    <s v="Invoice"/>
    <x v="20"/>
    <s v="AC L-1006"/>
    <x v="9"/>
    <m/>
    <m/>
    <m/>
    <x v="1"/>
    <x v="53"/>
    <n v="124473.18"/>
  </r>
  <r>
    <s v="Invoice"/>
    <x v="20"/>
    <s v="328 N RIVER"/>
    <x v="9"/>
    <m/>
    <m/>
    <m/>
    <x v="1"/>
    <x v="67"/>
    <n v="124973.75999999999"/>
  </r>
  <r>
    <s v="Invoice"/>
    <x v="20"/>
    <s v="34B MCIN"/>
    <x v="9"/>
    <m/>
    <m/>
    <m/>
    <x v="1"/>
    <x v="20"/>
    <n v="125786.78"/>
  </r>
  <r>
    <s v="Invoice"/>
    <x v="20"/>
    <s v="2458 KINGST"/>
    <x v="9"/>
    <m/>
    <m/>
    <m/>
    <x v="1"/>
    <x v="68"/>
    <n v="126013.3"/>
  </r>
  <r>
    <s v="Invoice"/>
    <x v="20"/>
    <s v="21 ESSA"/>
    <x v="9"/>
    <m/>
    <m/>
    <m/>
    <x v="1"/>
    <x v="69"/>
    <n v="126880.74"/>
  </r>
  <r>
    <s v="Invoice"/>
    <x v="21"/>
    <s v="0988"/>
    <x v="9"/>
    <m/>
    <m/>
    <m/>
    <x v="1"/>
    <x v="70"/>
    <n v="127398.29"/>
  </r>
  <r>
    <s v="Invoice"/>
    <x v="21"/>
    <s v="0991"/>
    <x v="9"/>
    <m/>
    <m/>
    <m/>
    <x v="1"/>
    <x v="71"/>
    <n v="128261.58"/>
  </r>
  <r>
    <s v="Invoice"/>
    <x v="21"/>
    <s v="0992"/>
    <x v="9"/>
    <m/>
    <m/>
    <m/>
    <x v="1"/>
    <x v="72"/>
    <n v="129062.11"/>
  </r>
  <r>
    <s v="Invoice"/>
    <x v="21"/>
    <s v="0993"/>
    <x v="9"/>
    <m/>
    <m/>
    <m/>
    <x v="1"/>
    <x v="53"/>
    <n v="129608.41"/>
  </r>
  <r>
    <s v="Invoice"/>
    <x v="21"/>
    <s v="0994"/>
    <x v="9"/>
    <m/>
    <m/>
    <m/>
    <x v="1"/>
    <x v="73"/>
    <n v="130477.7"/>
  </r>
  <r>
    <s v="Invoice"/>
    <x v="21"/>
    <s v="0995"/>
    <x v="9"/>
    <m/>
    <m/>
    <m/>
    <x v="1"/>
    <x v="74"/>
    <n v="131843.85999999999"/>
  </r>
  <r>
    <s v="Invoice"/>
    <x v="21"/>
    <s v="0996"/>
    <x v="9"/>
    <m/>
    <m/>
    <m/>
    <x v="1"/>
    <x v="75"/>
    <n v="132913.59"/>
  </r>
  <r>
    <s v="Invoice"/>
    <x v="21"/>
    <s v="0998"/>
    <x v="9"/>
    <m/>
    <m/>
    <m/>
    <x v="1"/>
    <x v="76"/>
    <n v="133006.53"/>
  </r>
  <r>
    <s v="Invoice"/>
    <x v="21"/>
    <s v="0999"/>
    <x v="9"/>
    <m/>
    <m/>
    <m/>
    <x v="1"/>
    <x v="77"/>
    <n v="133565.43"/>
  </r>
  <r>
    <s v="Invoice"/>
    <x v="21"/>
    <s v="1000"/>
    <x v="9"/>
    <m/>
    <m/>
    <m/>
    <x v="1"/>
    <x v="78"/>
    <n v="134438.88"/>
  </r>
  <r>
    <s v="Invoice"/>
    <x v="21"/>
    <s v="1001"/>
    <x v="9"/>
    <m/>
    <m/>
    <m/>
    <x v="1"/>
    <x v="79"/>
    <n v="134592.78"/>
  </r>
  <r>
    <s v="Invoice"/>
    <x v="21"/>
    <s v="AC L-1007"/>
    <x v="9"/>
    <m/>
    <m/>
    <m/>
    <x v="1"/>
    <x v="80"/>
    <n v="135068.98000000001"/>
  </r>
  <r>
    <s v="Invoice"/>
    <x v="21"/>
    <s v="AC L-1008"/>
    <x v="9"/>
    <m/>
    <m/>
    <m/>
    <x v="1"/>
    <x v="27"/>
    <n v="135812.5"/>
  </r>
  <r>
    <s v="Invoice"/>
    <x v="22"/>
    <s v="0224"/>
    <x v="8"/>
    <m/>
    <m/>
    <m/>
    <x v="1"/>
    <x v="10"/>
    <n v="137308.20000000001"/>
  </r>
  <r>
    <s v="Invoice"/>
    <x v="23"/>
    <s v="0955"/>
    <x v="8"/>
    <m/>
    <m/>
    <m/>
    <x v="1"/>
    <x v="81"/>
    <n v="142138.34"/>
  </r>
  <r>
    <s v="Invoice"/>
    <x v="23"/>
    <s v="ac22-07-14"/>
    <x v="9"/>
    <m/>
    <m/>
    <m/>
    <x v="1"/>
    <x v="82"/>
    <n v="142976.69"/>
  </r>
  <r>
    <s v="Invoice"/>
    <x v="23"/>
    <s v="ac22-07-15"/>
    <x v="9"/>
    <m/>
    <m/>
    <m/>
    <x v="1"/>
    <x v="83"/>
    <n v="143444.13"/>
  </r>
  <r>
    <s v="Invoice"/>
    <x v="23"/>
    <s v="ac22-07-16"/>
    <x v="9"/>
    <m/>
    <m/>
    <m/>
    <x v="1"/>
    <x v="39"/>
    <n v="143444.13"/>
  </r>
  <r>
    <s v="Invoice"/>
    <x v="23"/>
    <s v="ac22-07-17"/>
    <x v="9"/>
    <m/>
    <m/>
    <m/>
    <x v="1"/>
    <x v="84"/>
    <n v="143728.82999999999"/>
  </r>
  <r>
    <s v="Invoice"/>
    <x v="23"/>
    <s v="2860 DENISO"/>
    <x v="9"/>
    <m/>
    <m/>
    <m/>
    <x v="1"/>
    <x v="82"/>
    <n v="144567.18"/>
  </r>
  <r>
    <s v="Invoice"/>
    <x v="23"/>
    <s v="2351 FINCH"/>
    <x v="9"/>
    <m/>
    <m/>
    <m/>
    <x v="1"/>
    <x v="85"/>
    <n v="145153.48000000001"/>
  </r>
  <r>
    <s v="Invoice"/>
    <x v="24"/>
    <s v="AC L-1010"/>
    <x v="9"/>
    <m/>
    <m/>
    <m/>
    <x v="1"/>
    <x v="76"/>
    <n v="145246.42000000001"/>
  </r>
  <r>
    <s v="Invoice"/>
    <x v="24"/>
    <s v="AC L-1011"/>
    <x v="9"/>
    <m/>
    <m/>
    <m/>
    <x v="1"/>
    <x v="80"/>
    <n v="145722.62"/>
  </r>
  <r>
    <s v="Invoice"/>
    <x v="24"/>
    <s v="AC L-1012"/>
    <x v="9"/>
    <m/>
    <m/>
    <m/>
    <x v="1"/>
    <x v="86"/>
    <n v="145953.47"/>
  </r>
  <r>
    <s v="Invoice"/>
    <x v="25"/>
    <s v="460 GARYRAY"/>
    <x v="9"/>
    <m/>
    <m/>
    <m/>
    <x v="1"/>
    <x v="87"/>
    <n v="146854.99"/>
  </r>
  <r>
    <s v="Invoice"/>
    <x v="26"/>
    <s v="2760 DERRY"/>
    <x v="9"/>
    <m/>
    <m/>
    <m/>
    <x v="1"/>
    <x v="49"/>
    <n v="146978.91"/>
  </r>
  <r>
    <s v="Invoice"/>
    <x v="26"/>
    <s v="0905"/>
    <x v="8"/>
    <m/>
    <m/>
    <m/>
    <x v="1"/>
    <x v="60"/>
    <n v="148274.60999999999"/>
  </r>
  <r>
    <s v="Invoice"/>
    <x v="27"/>
    <s v="0989"/>
    <x v="9"/>
    <m/>
    <m/>
    <m/>
    <x v="1"/>
    <x v="88"/>
    <n v="149376.60999999999"/>
  </r>
  <r>
    <s v="Invoice"/>
    <x v="27"/>
    <s v="AC L-1009"/>
    <x v="9"/>
    <m/>
    <m/>
    <m/>
    <x v="1"/>
    <x v="27"/>
    <n v="150120.13"/>
  </r>
  <r>
    <s v="Invoice"/>
    <x v="27"/>
    <s v="AC L-1013"/>
    <x v="9"/>
    <m/>
    <m/>
    <m/>
    <x v="1"/>
    <x v="89"/>
    <n v="150484.32999999999"/>
  </r>
  <r>
    <s v="Invoice"/>
    <x v="27"/>
    <s v="AC L-1014"/>
    <x v="9"/>
    <m/>
    <m/>
    <m/>
    <x v="1"/>
    <x v="90"/>
    <n v="151092.54999999999"/>
  </r>
  <r>
    <s v="Invoice"/>
    <x v="27"/>
    <s v="17 TANNERY"/>
    <x v="9"/>
    <m/>
    <m/>
    <m/>
    <x v="1"/>
    <x v="91"/>
    <n v="151319.21"/>
  </r>
  <r>
    <s v="Invoice"/>
    <x v="27"/>
    <s v="1634 EGLINT"/>
    <x v="9"/>
    <m/>
    <m/>
    <m/>
    <x v="1"/>
    <x v="89"/>
    <n v="151683.41"/>
  </r>
  <r>
    <s v="Invoice"/>
    <x v="27"/>
    <s v="1253 KENNED"/>
    <x v="9"/>
    <m/>
    <m/>
    <m/>
    <x v="1"/>
    <x v="80"/>
    <n v="152159.60999999999"/>
  </r>
  <r>
    <s v="Invoice"/>
    <x v="28"/>
    <s v="ac22-07-14"/>
    <x v="9"/>
    <m/>
    <m/>
    <m/>
    <x v="1"/>
    <x v="92"/>
    <n v="152602.99"/>
  </r>
  <r>
    <s v="Invoice"/>
    <x v="28"/>
    <s v="0967"/>
    <x v="13"/>
    <s v="-ARRANGING ALL CABLES AND PANELS  -REMOVING AND RECYCLING ALL UNWANTED WIRES AND RECEPTACLES.  -..."/>
    <m/>
    <m/>
    <x v="1"/>
    <x v="39"/>
    <n v="152602.99"/>
  </r>
  <r>
    <s v="Invoice"/>
    <x v="28"/>
    <s v="0967"/>
    <x v="13"/>
    <s v="-2 DAYS WORKING LABOUR AND MATERIAL   -OPTIONS ( NOT INCLUDED IN THE ORIGINAL OFFER ).  -REMOVE ..."/>
    <m/>
    <m/>
    <x v="1"/>
    <x v="93"/>
    <n v="154202.99"/>
  </r>
  <r>
    <s v="Invoice"/>
    <x v="28"/>
    <s v="0967"/>
    <x v="13"/>
    <s v="-REMOVING FLUORESCENT 8' FIXTURES IN THE BACK AREA ( NO JUNK ). LABOUR AND MATERIAL ."/>
    <m/>
    <m/>
    <x v="1"/>
    <x v="94"/>
    <n v="154602.99"/>
  </r>
  <r>
    <s v="Invoice"/>
    <x v="28"/>
    <s v="0967"/>
    <x v="13"/>
    <s v="-REPLACING ALL SWITCHES AND RECEPTACLES IN THE OFFICES AREA. LABOUR AND MATERIAL."/>
    <m/>
    <m/>
    <x v="1"/>
    <x v="95"/>
    <n v="155202.99"/>
  </r>
  <r>
    <s v="Invoice"/>
    <x v="28"/>
    <s v="0967"/>
    <x v="13"/>
    <s v="-EXIT SIGNS AND EMERGENCY LIGHTS IN THE WHOLE AREA ACCORDING TO THE ELECTRICAL BUILDING CODE IN ..."/>
    <m/>
    <m/>
    <x v="1"/>
    <x v="37"/>
    <n v="157702.99"/>
  </r>
  <r>
    <s v="Invoice"/>
    <x v="28"/>
    <s v="0968"/>
    <x v="14"/>
    <s v="SCOPE OF WORK:   ELECTRICAL INSTALLATION AS PER THE DRAWINGS   THE OFFER EXCLUDES:   "/>
    <m/>
    <m/>
    <x v="1"/>
    <x v="39"/>
    <n v="157702.99"/>
  </r>
  <r>
    <s v="Invoice"/>
    <x v="28"/>
    <s v="0968"/>
    <x v="14"/>
    <s v="1- AUTOMATIC DOORS INSTALLATION   2- COMPUTER CABLES INSTALLATION  3- MAIN TRANSFORMER"/>
    <m/>
    <m/>
    <x v="1"/>
    <x v="39"/>
    <n v="157702.99"/>
  </r>
  <r>
    <s v="Invoice"/>
    <x v="28"/>
    <s v="0968"/>
    <x v="14"/>
    <m/>
    <m/>
    <m/>
    <x v="1"/>
    <x v="96"/>
    <n v="177702.99"/>
  </r>
  <r>
    <s v="Invoice"/>
    <x v="28"/>
    <s v="0971"/>
    <x v="4"/>
    <m/>
    <m/>
    <m/>
    <x v="1"/>
    <x v="97"/>
    <n v="185853.43"/>
  </r>
  <r>
    <s v="Invoice"/>
    <x v="29"/>
    <s v="1060"/>
    <x v="8"/>
    <m/>
    <m/>
    <m/>
    <x v="1"/>
    <x v="63"/>
    <n v="186659.03"/>
  </r>
  <r>
    <s v="Invoice"/>
    <x v="30"/>
    <s v="1054"/>
    <x v="8"/>
    <m/>
    <m/>
    <m/>
    <x v="1"/>
    <x v="98"/>
    <n v="186747.29"/>
  </r>
  <r>
    <s v="Invoice"/>
    <x v="31"/>
    <s v="0956"/>
    <x v="8"/>
    <m/>
    <m/>
    <m/>
    <x v="1"/>
    <x v="30"/>
    <n v="186997.29"/>
  </r>
  <r>
    <s v="Invoice"/>
    <x v="32"/>
    <s v="0010/0009"/>
    <x v="8"/>
    <m/>
    <m/>
    <m/>
    <x v="1"/>
    <x v="59"/>
    <n v="189144.25"/>
  </r>
  <r>
    <s v="Invoice"/>
    <x v="33"/>
    <s v="1 WEXFORD"/>
    <x v="9"/>
    <m/>
    <m/>
    <m/>
    <x v="1"/>
    <x v="87"/>
    <n v="190045.77"/>
  </r>
  <r>
    <s v="Invoice"/>
    <x v="33"/>
    <s v="1355 ARTISA"/>
    <x v="9"/>
    <m/>
    <m/>
    <m/>
    <x v="1"/>
    <x v="99"/>
    <n v="190580.77"/>
  </r>
  <r>
    <s v="Invoice"/>
    <x v="33"/>
    <s v="0957"/>
    <x v="8"/>
    <m/>
    <m/>
    <m/>
    <x v="1"/>
    <x v="100"/>
    <n v="192304.22"/>
  </r>
  <r>
    <s v="Invoice"/>
    <x v="33"/>
    <s v="0907"/>
    <x v="8"/>
    <m/>
    <m/>
    <m/>
    <x v="1"/>
    <x v="58"/>
    <n v="192812.7"/>
  </r>
  <r>
    <s v="Invoice"/>
    <x v="34"/>
    <s v="0901/0902"/>
    <x v="8"/>
    <m/>
    <m/>
    <m/>
    <x v="1"/>
    <x v="55"/>
    <n v="193242.64"/>
  </r>
  <r>
    <s v="Invoice"/>
    <x v="35"/>
    <s v="0909"/>
    <x v="8"/>
    <m/>
    <m/>
    <m/>
    <x v="1"/>
    <x v="101"/>
    <n v="193814.68"/>
  </r>
  <r>
    <s v="Invoice"/>
    <x v="35"/>
    <s v="0011"/>
    <x v="8"/>
    <m/>
    <m/>
    <m/>
    <x v="1"/>
    <x v="54"/>
    <n v="196824.18"/>
  </r>
  <r>
    <s v="Invoice"/>
    <x v="36"/>
    <s v="7025 MARKHA"/>
    <x v="9"/>
    <m/>
    <m/>
    <m/>
    <x v="1"/>
    <x v="83"/>
    <n v="197291.62"/>
  </r>
  <r>
    <s v="Invoice"/>
    <x v="37"/>
    <s v="07-01-25AC"/>
    <x v="7"/>
    <m/>
    <m/>
    <m/>
    <x v="1"/>
    <x v="102"/>
    <n v="199541.62"/>
  </r>
  <r>
    <s v="Invoice"/>
    <x v="37"/>
    <s v="2979 BLOOR"/>
    <x v="9"/>
    <m/>
    <m/>
    <m/>
    <x v="1"/>
    <x v="103"/>
    <n v="199601.62"/>
  </r>
  <r>
    <s v="Invoice"/>
    <x v="38"/>
    <s v="AC N-2020"/>
    <x v="9"/>
    <m/>
    <m/>
    <m/>
    <x v="1"/>
    <x v="104"/>
    <n v="199944.77"/>
  </r>
  <r>
    <s v="Invoice"/>
    <x v="38"/>
    <s v="AC N-2019"/>
    <x v="9"/>
    <m/>
    <m/>
    <m/>
    <x v="1"/>
    <x v="105"/>
    <n v="200717.31"/>
  </r>
  <r>
    <s v="Invoice"/>
    <x v="38"/>
    <s v="AC N-1995"/>
    <x v="9"/>
    <m/>
    <m/>
    <m/>
    <x v="1"/>
    <x v="106"/>
    <n v="201479.19"/>
  </r>
  <r>
    <s v="Invoice"/>
    <x v="38"/>
    <s v="AC N--891"/>
    <x v="9"/>
    <m/>
    <m/>
    <m/>
    <x v="1"/>
    <x v="107"/>
    <n v="202411.29"/>
  </r>
  <r>
    <s v="Invoice"/>
    <x v="38"/>
    <s v="0908"/>
    <x v="8"/>
    <m/>
    <m/>
    <m/>
    <x v="1"/>
    <x v="57"/>
    <n v="203618.93"/>
  </r>
  <r>
    <s v="Invoice"/>
    <x v="38"/>
    <s v="0650"/>
    <x v="8"/>
    <m/>
    <m/>
    <m/>
    <x v="1"/>
    <x v="56"/>
    <n v="204171.54"/>
  </r>
  <r>
    <s v="Invoice"/>
    <x v="39"/>
    <s v="AC L-1005"/>
    <x v="15"/>
    <s v="REPLACE 6 LIGHT SWITCHES WITH COVERS ON WASHROOMS IN THE DRIVER BUILDING"/>
    <m/>
    <m/>
    <x v="1"/>
    <x v="39"/>
    <n v="204171.54"/>
  </r>
  <r>
    <s v="Invoice"/>
    <x v="39"/>
    <s v="AC L-1005"/>
    <x v="15"/>
    <s v="THE COMPANY OUTSIDE SIGN"/>
    <m/>
    <m/>
    <x v="1"/>
    <x v="39"/>
    <n v="204171.54"/>
  </r>
  <r>
    <s v="Invoice"/>
    <x v="39"/>
    <s v="AC L-1005"/>
    <x v="15"/>
    <s v="- REPLACE 8 LAMPS (F96 T8 841/SPX41)"/>
    <m/>
    <m/>
    <x v="1"/>
    <x v="39"/>
    <n v="204171.54"/>
  </r>
  <r>
    <s v="Invoice"/>
    <x v="39"/>
    <s v="AC L-1005"/>
    <x v="15"/>
    <s v="-REPLACE BALAST (T8 347 FLOUR ELE BALLAST)"/>
    <m/>
    <m/>
    <x v="1"/>
    <x v="39"/>
    <n v="204171.54"/>
  </r>
  <r>
    <s v="Invoice"/>
    <x v="39"/>
    <s v="AC L-1005"/>
    <x v="15"/>
    <s v="- SUPPLY AND INSTALL PHOTO CELL"/>
    <m/>
    <m/>
    <x v="1"/>
    <x v="39"/>
    <n v="204171.54"/>
  </r>
  <r>
    <s v="Invoice"/>
    <x v="39"/>
    <s v="AC L-1005"/>
    <x v="15"/>
    <s v="REPLACE TARBIN FAN FOR WASHROOM IN THE BUILDING WITH NEW ONE"/>
    <m/>
    <m/>
    <x v="1"/>
    <x v="39"/>
    <n v="204171.54"/>
  </r>
  <r>
    <s v="Invoice"/>
    <x v="39"/>
    <s v="AC L-1005"/>
    <x v="15"/>
    <m/>
    <m/>
    <m/>
    <x v="1"/>
    <x v="108"/>
    <n v="206031.54"/>
  </r>
  <r>
    <s v="Invoice"/>
    <x v="40"/>
    <s v="91 PAT"/>
    <x v="9"/>
    <m/>
    <m/>
    <m/>
    <x v="1"/>
    <x v="109"/>
    <n v="207189.27"/>
  </r>
  <r>
    <s v="Invoice"/>
    <x v="40"/>
    <s v="1055"/>
    <x v="8"/>
    <m/>
    <m/>
    <m/>
    <x v="1"/>
    <x v="110"/>
    <n v="210385"/>
  </r>
  <r>
    <s v="Invoice"/>
    <x v="41"/>
    <s v="ac22-08-03"/>
    <x v="9"/>
    <m/>
    <m/>
    <m/>
    <x v="1"/>
    <x v="82"/>
    <n v="211223.35"/>
  </r>
  <r>
    <s v="Invoice"/>
    <x v="41"/>
    <s v="ac22-08-034"/>
    <x v="9"/>
    <m/>
    <m/>
    <m/>
    <x v="1"/>
    <x v="111"/>
    <n v="211274.65"/>
  </r>
  <r>
    <s v="Invoice"/>
    <x v="41"/>
    <s v="ac22-08-038"/>
    <x v="9"/>
    <m/>
    <m/>
    <m/>
    <x v="1"/>
    <x v="112"/>
    <n v="211535.65"/>
  </r>
  <r>
    <s v="Invoice"/>
    <x v="41"/>
    <s v="ac22-08-030"/>
    <x v="9"/>
    <m/>
    <m/>
    <m/>
    <x v="1"/>
    <x v="113"/>
    <n v="211612.6"/>
  </r>
  <r>
    <s v="Invoice"/>
    <x v="41"/>
    <s v="ac22-08-031"/>
    <x v="9"/>
    <m/>
    <m/>
    <m/>
    <x v="1"/>
    <x v="114"/>
    <n v="211968.37"/>
  </r>
  <r>
    <s v="Invoice"/>
    <x v="41"/>
    <s v="ac22-08-032"/>
    <x v="9"/>
    <m/>
    <m/>
    <m/>
    <x v="1"/>
    <x v="115"/>
    <n v="212369.85"/>
  </r>
  <r>
    <s v="Invoice"/>
    <x v="41"/>
    <s v="ac22-08-033"/>
    <x v="9"/>
    <m/>
    <m/>
    <m/>
    <x v="1"/>
    <x v="53"/>
    <n v="212916.15"/>
  </r>
  <r>
    <s v="Invoice"/>
    <x v="41"/>
    <s v="AC N-1052"/>
    <x v="9"/>
    <m/>
    <m/>
    <m/>
    <x v="1"/>
    <x v="49"/>
    <n v="213040.07"/>
  </r>
  <r>
    <s v="Invoice"/>
    <x v="41"/>
    <s v="848 BURNHAM"/>
    <x v="9"/>
    <m/>
    <m/>
    <m/>
    <x v="1"/>
    <x v="116"/>
    <n v="213948.42"/>
  </r>
  <r>
    <s v="Invoice"/>
    <x v="41"/>
    <s v="0695"/>
    <x v="8"/>
    <m/>
    <m/>
    <m/>
    <x v="1"/>
    <x v="117"/>
    <n v="216901.18"/>
  </r>
  <r>
    <s v="Invoice"/>
    <x v="41"/>
    <s v="0510-2210"/>
    <x v="16"/>
    <s v="SCOPE OF WORK   OPTION 2  * REMOVE THE SKYLIGHT (4) EXISTING FIXTURES  * SUPPLY AND INSTALL 8 ( ..."/>
    <m/>
    <m/>
    <x v="1"/>
    <x v="39"/>
    <n v="216901.18"/>
  </r>
  <r>
    <s v="Invoice"/>
    <x v="41"/>
    <s v="0510-2210"/>
    <x v="16"/>
    <s v="OFFER INCLUDED:  * ALL MATERIAL INCLUDING ADAPTERS AND FITTING PLUS LABOUR.  * SCISSOR LIFT FEES..."/>
    <m/>
    <m/>
    <x v="1"/>
    <x v="118"/>
    <n v="220311.18"/>
  </r>
  <r>
    <s v="Invoice"/>
    <x v="41"/>
    <s v="498 APPLEBY"/>
    <x v="17"/>
    <s v="INSTALL 4' -2 LAMP FIXTURES."/>
    <m/>
    <m/>
    <x v="1"/>
    <x v="39"/>
    <n v="220311.18"/>
  </r>
  <r>
    <s v="Invoice"/>
    <x v="41"/>
    <s v="498 APPLEBY"/>
    <x v="17"/>
    <s v="SUPPLY CHAINS AND FITTING TO SET THE FIXTURES ON 18' HEIGHT."/>
    <m/>
    <m/>
    <x v="1"/>
    <x v="39"/>
    <n v="220311.18"/>
  </r>
  <r>
    <s v="Invoice"/>
    <x v="41"/>
    <s v="498 APPLEBY"/>
    <x v="17"/>
    <s v="INSTALL THE POWER CABLES."/>
    <m/>
    <m/>
    <x v="1"/>
    <x v="39"/>
    <n v="220311.18"/>
  </r>
  <r>
    <s v="Invoice"/>
    <x v="41"/>
    <s v="498 APPLEBY"/>
    <x v="17"/>
    <m/>
    <m/>
    <m/>
    <x v="1"/>
    <x v="36"/>
    <n v="221611.18"/>
  </r>
  <r>
    <s v="Invoice"/>
    <x v="41"/>
    <s v="316 BURNHAM"/>
    <x v="9"/>
    <m/>
    <m/>
    <m/>
    <x v="1"/>
    <x v="119"/>
    <n v="222502.7"/>
  </r>
  <r>
    <s v="Invoice"/>
    <x v="41"/>
    <s v="377 BURNHAM"/>
    <x v="9"/>
    <m/>
    <m/>
    <m/>
    <x v="1"/>
    <x v="120"/>
    <n v="222998.17"/>
  </r>
  <r>
    <s v="Invoice"/>
    <x v="42"/>
    <s v="0696"/>
    <x v="8"/>
    <m/>
    <m/>
    <m/>
    <x v="1"/>
    <x v="88"/>
    <n v="224100.17"/>
  </r>
  <r>
    <s v="Invoice"/>
    <x v="43"/>
    <s v="41 MAIN"/>
    <x v="9"/>
    <m/>
    <m/>
    <m/>
    <x v="1"/>
    <x v="121"/>
    <n v="224787.67"/>
  </r>
  <r>
    <s v="Invoice"/>
    <x v="43"/>
    <s v="2185 STAVE"/>
    <x v="9"/>
    <m/>
    <m/>
    <m/>
    <x v="1"/>
    <x v="122"/>
    <n v="225754.48"/>
  </r>
  <r>
    <s v="Invoice"/>
    <x v="43"/>
    <s v="106 SAUND"/>
    <x v="9"/>
    <m/>
    <m/>
    <m/>
    <x v="1"/>
    <x v="123"/>
    <n v="226668.26"/>
  </r>
  <r>
    <s v="Invoice"/>
    <x v="43"/>
    <s v="18 AUTO"/>
    <x v="9"/>
    <m/>
    <m/>
    <m/>
    <x v="1"/>
    <x v="124"/>
    <n v="227548.79"/>
  </r>
  <r>
    <s v="Invoice"/>
    <x v="43"/>
    <s v="306 KING"/>
    <x v="9"/>
    <m/>
    <m/>
    <m/>
    <x v="1"/>
    <x v="125"/>
    <n v="227886.93"/>
  </r>
  <r>
    <s v="Invoice"/>
    <x v="43"/>
    <s v="33B MCIN"/>
    <x v="9"/>
    <m/>
    <m/>
    <m/>
    <x v="1"/>
    <x v="126"/>
    <n v="228747.47"/>
  </r>
  <r>
    <s v="Invoice"/>
    <x v="43"/>
    <s v="252 NORS"/>
    <x v="9"/>
    <m/>
    <m/>
    <m/>
    <x v="1"/>
    <x v="127"/>
    <n v="229690.76"/>
  </r>
  <r>
    <s v="Invoice"/>
    <x v="43"/>
    <s v="727 QUEEN"/>
    <x v="9"/>
    <m/>
    <m/>
    <m/>
    <x v="1"/>
    <x v="128"/>
    <n v="229807.71"/>
  </r>
  <r>
    <s v="Invoice"/>
    <x v="43"/>
    <s v="1250 S SERV"/>
    <x v="9"/>
    <m/>
    <m/>
    <m/>
    <x v="1"/>
    <x v="128"/>
    <n v="229924.66"/>
  </r>
  <r>
    <s v="Invoice"/>
    <x v="43"/>
    <s v="1900 FOWLER"/>
    <x v="9"/>
    <m/>
    <m/>
    <m/>
    <x v="1"/>
    <x v="129"/>
    <n v="230015.96"/>
  </r>
  <r>
    <s v="Invoice"/>
    <x v="43"/>
    <s v="33A MCIN"/>
    <x v="9"/>
    <m/>
    <m/>
    <m/>
    <x v="1"/>
    <x v="130"/>
    <n v="230865.84"/>
  </r>
  <r>
    <s v="Invoice"/>
    <x v="43"/>
    <s v="393 DONALDS"/>
    <x v="9"/>
    <m/>
    <m/>
    <m/>
    <x v="1"/>
    <x v="131"/>
    <n v="231034.09"/>
  </r>
  <r>
    <s v="Invoice"/>
    <x v="43"/>
    <s v="1210 CALED"/>
    <x v="9"/>
    <m/>
    <m/>
    <m/>
    <x v="1"/>
    <x v="132"/>
    <n v="231736.64"/>
  </r>
  <r>
    <s v="Invoice"/>
    <x v="43"/>
    <s v="964 WESTPO"/>
    <x v="9"/>
    <m/>
    <m/>
    <m/>
    <x v="1"/>
    <x v="133"/>
    <n v="232311.64"/>
  </r>
  <r>
    <s v="Invoice"/>
    <x v="43"/>
    <s v="1119 FENNE"/>
    <x v="9"/>
    <m/>
    <m/>
    <m/>
    <x v="1"/>
    <x v="134"/>
    <n v="232621.64"/>
  </r>
  <r>
    <s v="Invoice"/>
    <x v="43"/>
    <s v="740 BEAVER"/>
    <x v="9"/>
    <m/>
    <m/>
    <m/>
    <x v="1"/>
    <x v="135"/>
    <n v="233641.74"/>
  </r>
  <r>
    <s v="Invoice"/>
    <x v="43"/>
    <s v="545 STEELES"/>
    <x v="9"/>
    <m/>
    <m/>
    <m/>
    <x v="1"/>
    <x v="136"/>
    <n v="234371.34"/>
  </r>
  <r>
    <s v="Invoice"/>
    <x v="43"/>
    <s v="253 SUMMER"/>
    <x v="9"/>
    <m/>
    <m/>
    <m/>
    <x v="1"/>
    <x v="137"/>
    <n v="234977.64"/>
  </r>
  <r>
    <s v="Invoice"/>
    <x v="43"/>
    <s v="1104 CANNON"/>
    <x v="9"/>
    <m/>
    <m/>
    <m/>
    <x v="1"/>
    <x v="138"/>
    <n v="235911.09"/>
  </r>
  <r>
    <s v="Invoice"/>
    <x v="43"/>
    <s v="5353 LAKESH"/>
    <x v="9"/>
    <m/>
    <m/>
    <m/>
    <x v="1"/>
    <x v="139"/>
    <n v="236742.61"/>
  </r>
  <r>
    <s v="Invoice"/>
    <x v="43"/>
    <s v="0013"/>
    <x v="8"/>
    <m/>
    <m/>
    <m/>
    <x v="1"/>
    <x v="140"/>
    <n v="236786.74"/>
  </r>
  <r>
    <s v="Invoice"/>
    <x v="43"/>
    <s v="7025 UPS"/>
    <x v="9"/>
    <m/>
    <m/>
    <m/>
    <x v="1"/>
    <x v="141"/>
    <n v="237294.15"/>
  </r>
  <r>
    <s v="Invoice"/>
    <x v="44"/>
    <s v="149 WEST"/>
    <x v="9"/>
    <m/>
    <m/>
    <m/>
    <x v="1"/>
    <x v="142"/>
    <n v="237891.1"/>
  </r>
  <r>
    <s v="Invoice"/>
    <x v="44"/>
    <s v="3105 WINSTO"/>
    <x v="9"/>
    <m/>
    <m/>
    <m/>
    <x v="1"/>
    <x v="143"/>
    <n v="238471.75"/>
  </r>
  <r>
    <s v="Invoice"/>
    <x v="45"/>
    <s v="1261 SHAW"/>
    <x v="9"/>
    <m/>
    <m/>
    <m/>
    <x v="1"/>
    <x v="144"/>
    <n v="240134.81"/>
  </r>
  <r>
    <s v="Invoice"/>
    <x v="45"/>
    <s v="5230 DUNDAS"/>
    <x v="9"/>
    <m/>
    <m/>
    <m/>
    <x v="1"/>
    <x v="145"/>
    <n v="240555.23"/>
  </r>
  <r>
    <s v="Invoice"/>
    <x v="45"/>
    <s v="6710 LUNDY"/>
    <x v="9"/>
    <m/>
    <m/>
    <m/>
    <x v="1"/>
    <x v="146"/>
    <n v="241150.23"/>
  </r>
  <r>
    <s v="Invoice"/>
    <x v="45"/>
    <s v="1582 KING"/>
    <x v="9"/>
    <m/>
    <m/>
    <m/>
    <x v="1"/>
    <x v="34"/>
    <n v="241915.79"/>
  </r>
  <r>
    <s v="Invoice"/>
    <x v="45"/>
    <s v="120 ERINGAT"/>
    <x v="9"/>
    <m/>
    <m/>
    <m/>
    <x v="1"/>
    <x v="147"/>
    <n v="242877.31"/>
  </r>
  <r>
    <s v="Invoice"/>
    <x v="45"/>
    <s v="0910"/>
    <x v="8"/>
    <m/>
    <m/>
    <m/>
    <x v="1"/>
    <x v="148"/>
    <n v="242972.31"/>
  </r>
  <r>
    <s v="Invoice"/>
    <x v="46"/>
    <s v="0911"/>
    <x v="8"/>
    <m/>
    <m/>
    <m/>
    <x v="1"/>
    <x v="149"/>
    <n v="243722.31"/>
  </r>
  <r>
    <s v="Invoice"/>
    <x v="46"/>
    <s v="0958"/>
    <x v="8"/>
    <m/>
    <m/>
    <m/>
    <x v="1"/>
    <x v="30"/>
    <n v="243972.31"/>
  </r>
  <r>
    <s v="Invoice"/>
    <x v="47"/>
    <s v="775 PACIFIC"/>
    <x v="9"/>
    <m/>
    <m/>
    <m/>
    <x v="1"/>
    <x v="150"/>
    <n v="244738.26"/>
  </r>
  <r>
    <s v="Invoice"/>
    <x v="47"/>
    <s v="12101 AIRPO"/>
    <x v="9"/>
    <m/>
    <m/>
    <m/>
    <x v="1"/>
    <x v="27"/>
    <n v="245481.78"/>
  </r>
  <r>
    <s v="Invoice"/>
    <x v="47"/>
    <s v="562 KIPLING"/>
    <x v="9"/>
    <m/>
    <m/>
    <m/>
    <x v="1"/>
    <x v="151"/>
    <n v="245718.13"/>
  </r>
  <r>
    <s v="Invoice"/>
    <x v="47"/>
    <s v="4060A SLADV"/>
    <x v="9"/>
    <m/>
    <m/>
    <m/>
    <x v="1"/>
    <x v="152"/>
    <n v="246662.75"/>
  </r>
  <r>
    <s v="Invoice"/>
    <x v="47"/>
    <s v="0016"/>
    <x v="8"/>
    <m/>
    <m/>
    <m/>
    <x v="1"/>
    <x v="153"/>
    <n v="247680.25"/>
  </r>
  <r>
    <s v="Invoice"/>
    <x v="47"/>
    <s v="0959 12101"/>
    <x v="8"/>
    <m/>
    <m/>
    <m/>
    <x v="1"/>
    <x v="154"/>
    <n v="247917.81"/>
  </r>
  <r>
    <s v="Invoice"/>
    <x v="47"/>
    <s v="222 ESPLAND"/>
    <x v="9"/>
    <m/>
    <m/>
    <m/>
    <x v="1"/>
    <x v="103"/>
    <n v="247977.81"/>
  </r>
  <r>
    <s v="Invoice"/>
    <x v="47"/>
    <s v="1646 BLOOR"/>
    <x v="9"/>
    <m/>
    <m/>
    <m/>
    <x v="1"/>
    <x v="155"/>
    <n v="248047.81"/>
  </r>
  <r>
    <s v="Invoice"/>
    <x v="48"/>
    <s v="0017"/>
    <x v="8"/>
    <m/>
    <m/>
    <m/>
    <x v="1"/>
    <x v="156"/>
    <n v="248420.28"/>
  </r>
  <r>
    <s v="Invoice"/>
    <x v="48"/>
    <s v="0510-2217"/>
    <x v="18"/>
    <s v="ALL ELECTRIC WORK ACCORDING TO THE DRAWING"/>
    <m/>
    <m/>
    <x v="1"/>
    <x v="157"/>
    <n v="270920.28000000003"/>
  </r>
  <r>
    <s v="Invoice"/>
    <x v="49"/>
    <s v="0970"/>
    <x v="16"/>
    <m/>
    <m/>
    <m/>
    <x v="1"/>
    <x v="158"/>
    <n v="288120.28000000003"/>
  </r>
  <r>
    <s v="Invoice"/>
    <x v="50"/>
    <s v="AC L-1015"/>
    <x v="9"/>
    <m/>
    <m/>
    <m/>
    <x v="1"/>
    <x v="159"/>
    <n v="289773.36"/>
  </r>
  <r>
    <s v="Invoice"/>
    <x v="50"/>
    <s v="AC L-1016"/>
    <x v="9"/>
    <m/>
    <m/>
    <m/>
    <x v="1"/>
    <x v="160"/>
    <n v="290700.53000000003"/>
  </r>
  <r>
    <s v="Invoice"/>
    <x v="50"/>
    <s v="AC L-1017"/>
    <x v="9"/>
    <m/>
    <m/>
    <m/>
    <x v="1"/>
    <x v="161"/>
    <n v="291126.95"/>
  </r>
  <r>
    <s v="Invoice"/>
    <x v="50"/>
    <s v="AC L-1018"/>
    <x v="9"/>
    <m/>
    <m/>
    <m/>
    <x v="1"/>
    <x v="162"/>
    <n v="292269.53000000003"/>
  </r>
  <r>
    <s v="Invoice"/>
    <x v="50"/>
    <s v="AC L-1019"/>
    <x v="9"/>
    <m/>
    <m/>
    <m/>
    <x v="1"/>
    <x v="163"/>
    <n v="293273.28000000003"/>
  </r>
  <r>
    <s v="Invoice"/>
    <x v="50"/>
    <s v="AC L-1020"/>
    <x v="9"/>
    <m/>
    <m/>
    <m/>
    <x v="1"/>
    <x v="164"/>
    <n v="294209.42"/>
  </r>
  <r>
    <s v="Invoice"/>
    <x v="50"/>
    <s v="AC L-1021"/>
    <x v="9"/>
    <m/>
    <m/>
    <m/>
    <x v="1"/>
    <x v="165"/>
    <n v="295164.86"/>
  </r>
  <r>
    <s v="Invoice"/>
    <x v="50"/>
    <s v="AC L-1022"/>
    <x v="9"/>
    <m/>
    <m/>
    <m/>
    <x v="1"/>
    <x v="166"/>
    <n v="296577.76"/>
  </r>
  <r>
    <s v="Invoice"/>
    <x v="50"/>
    <s v="AC L-1023"/>
    <x v="9"/>
    <m/>
    <m/>
    <m/>
    <x v="1"/>
    <x v="167"/>
    <n v="296701.15999999997"/>
  </r>
  <r>
    <s v="Invoice"/>
    <x v="50"/>
    <s v="AC L-1024"/>
    <x v="9"/>
    <m/>
    <m/>
    <m/>
    <x v="1"/>
    <x v="168"/>
    <n v="297477.06"/>
  </r>
  <r>
    <s v="Invoice"/>
    <x v="50"/>
    <s v="0912"/>
    <x v="8"/>
    <m/>
    <m/>
    <m/>
    <x v="1"/>
    <x v="169"/>
    <n v="297731.3"/>
  </r>
  <r>
    <s v="Invoice"/>
    <x v="51"/>
    <s v="0913"/>
    <x v="8"/>
    <m/>
    <m/>
    <m/>
    <x v="1"/>
    <x v="170"/>
    <n v="298101.5"/>
  </r>
  <r>
    <s v="Invoice"/>
    <x v="52"/>
    <s v="0226"/>
    <x v="8"/>
    <m/>
    <m/>
    <m/>
    <x v="1"/>
    <x v="171"/>
    <n v="299003.75"/>
  </r>
  <r>
    <s v="Invoice"/>
    <x v="53"/>
    <s v="797 MINLER"/>
    <x v="9"/>
    <m/>
    <m/>
    <m/>
    <x v="1"/>
    <x v="172"/>
    <n v="299622.28999999998"/>
  </r>
  <r>
    <s v="Invoice"/>
    <x v="53"/>
    <s v="4060B SLAD"/>
    <x v="9"/>
    <m/>
    <m/>
    <m/>
    <x v="1"/>
    <x v="173"/>
    <n v="300518.75"/>
  </r>
  <r>
    <s v="Invoice"/>
    <x v="53"/>
    <s v="3438 SHEPP"/>
    <x v="9"/>
    <m/>
    <m/>
    <m/>
    <x v="1"/>
    <x v="174"/>
    <n v="301123.20000000001"/>
  </r>
  <r>
    <s v="Invoice"/>
    <x v="53"/>
    <s v="4525 EBENE"/>
    <x v="9"/>
    <m/>
    <m/>
    <m/>
    <x v="1"/>
    <x v="27"/>
    <n v="301866.71999999997"/>
  </r>
  <r>
    <s v="Invoice"/>
    <x v="53"/>
    <s v="49 FERRIS"/>
    <x v="9"/>
    <m/>
    <m/>
    <m/>
    <x v="1"/>
    <x v="175"/>
    <n v="302891.12"/>
  </r>
  <r>
    <s v="Invoice"/>
    <x v="53"/>
    <s v="371 BRADW"/>
    <x v="9"/>
    <m/>
    <m/>
    <m/>
    <x v="1"/>
    <x v="176"/>
    <n v="303577.42"/>
  </r>
  <r>
    <s v="Invoice"/>
    <x v="53"/>
    <s v="670 HWY 7"/>
    <x v="9"/>
    <m/>
    <m/>
    <m/>
    <x v="1"/>
    <x v="177"/>
    <n v="303918.37"/>
  </r>
  <r>
    <s v="Invoice"/>
    <x v="53"/>
    <s v="45 CARLTON"/>
    <x v="9"/>
    <m/>
    <m/>
    <m/>
    <x v="1"/>
    <x v="155"/>
    <n v="303988.37"/>
  </r>
  <r>
    <s v="Invoice"/>
    <x v="53"/>
    <s v="531 PARLIA"/>
    <x v="9"/>
    <m/>
    <m/>
    <m/>
    <x v="1"/>
    <x v="178"/>
    <n v="304089.37"/>
  </r>
  <r>
    <s v="Invoice"/>
    <x v="53"/>
    <s v="670 HWY7 G2"/>
    <x v="9"/>
    <m/>
    <m/>
    <m/>
    <x v="1"/>
    <x v="116"/>
    <n v="304997.71999999997"/>
  </r>
  <r>
    <s v="Invoice"/>
    <x v="53"/>
    <s v="0914"/>
    <x v="8"/>
    <m/>
    <m/>
    <m/>
    <x v="1"/>
    <x v="179"/>
    <n v="306886.69"/>
  </r>
  <r>
    <s v="Invoice"/>
    <x v="53"/>
    <s v="1053"/>
    <x v="8"/>
    <m/>
    <m/>
    <m/>
    <x v="1"/>
    <x v="180"/>
    <n v="307172.69"/>
  </r>
  <r>
    <s v="Invoice"/>
    <x v="54"/>
    <s v="2644 DAN"/>
    <x v="9"/>
    <m/>
    <m/>
    <m/>
    <x v="1"/>
    <x v="181"/>
    <n v="307832.2"/>
  </r>
  <r>
    <s v="Invoice"/>
    <x v="54"/>
    <s v="251 NORS"/>
    <x v="9"/>
    <m/>
    <m/>
    <m/>
    <x v="1"/>
    <x v="182"/>
    <n v="308499.18"/>
  </r>
  <r>
    <s v="Invoice"/>
    <x v="54"/>
    <s v="850 MAIN"/>
    <x v="9"/>
    <m/>
    <m/>
    <m/>
    <x v="1"/>
    <x v="155"/>
    <n v="308569.18"/>
  </r>
  <r>
    <s v="Invoice"/>
    <x v="54"/>
    <s v="14 OXFORD"/>
    <x v="9"/>
    <m/>
    <m/>
    <m/>
    <x v="1"/>
    <x v="183"/>
    <n v="309009.18"/>
  </r>
  <r>
    <s v="Invoice"/>
    <x v="54"/>
    <s v="0238"/>
    <x v="8"/>
    <m/>
    <m/>
    <m/>
    <x v="1"/>
    <x v="184"/>
    <n v="309575.18"/>
  </r>
  <r>
    <s v="Invoice"/>
    <x v="55"/>
    <s v="363 YOUNG"/>
    <x v="9"/>
    <m/>
    <m/>
    <m/>
    <x v="1"/>
    <x v="185"/>
    <n v="310128.18"/>
  </r>
  <r>
    <s v="Invoice"/>
    <x v="55"/>
    <s v="106 SAUN"/>
    <x v="9"/>
    <m/>
    <m/>
    <m/>
    <x v="1"/>
    <x v="186"/>
    <n v="311034.2"/>
  </r>
  <r>
    <s v="Invoice"/>
    <x v="55"/>
    <s v="253 NORS"/>
    <x v="9"/>
    <m/>
    <m/>
    <m/>
    <x v="1"/>
    <x v="85"/>
    <n v="311620.5"/>
  </r>
  <r>
    <s v="Invoice"/>
    <x v="55"/>
    <s v="5155 SPECT"/>
    <x v="9"/>
    <m/>
    <m/>
    <m/>
    <x v="1"/>
    <x v="187"/>
    <n v="312618.45"/>
  </r>
  <r>
    <s v="Invoice"/>
    <x v="55"/>
    <s v="2455 CAWTHR"/>
    <x v="9"/>
    <m/>
    <m/>
    <m/>
    <x v="1"/>
    <x v="188"/>
    <n v="313246.01"/>
  </r>
  <r>
    <s v="Invoice"/>
    <x v="55"/>
    <s v="6350 TOMKEN"/>
    <x v="9"/>
    <m/>
    <m/>
    <m/>
    <x v="1"/>
    <x v="189"/>
    <n v="314009.11"/>
  </r>
  <r>
    <s v="Invoice"/>
    <x v="55"/>
    <s v="26A REXDALE"/>
    <x v="9"/>
    <m/>
    <m/>
    <m/>
    <x v="1"/>
    <x v="190"/>
    <n v="314817.86"/>
  </r>
  <r>
    <s v="Invoice"/>
    <x v="55"/>
    <s v="361 JACKSON"/>
    <x v="9"/>
    <m/>
    <m/>
    <m/>
    <x v="1"/>
    <x v="191"/>
    <n v="315275.61"/>
  </r>
  <r>
    <s v="Invoice"/>
    <x v="55"/>
    <s v="0239"/>
    <x v="8"/>
    <m/>
    <m/>
    <m/>
    <x v="1"/>
    <x v="192"/>
    <n v="316536.17"/>
  </r>
  <r>
    <s v="Invoice"/>
    <x v="55"/>
    <s v="1056"/>
    <x v="8"/>
    <m/>
    <m/>
    <m/>
    <x v="1"/>
    <x v="169"/>
    <n v="316790.40999999997"/>
  </r>
  <r>
    <s v="Invoice"/>
    <x v="55"/>
    <s v="25 HERITAGE"/>
    <x v="9"/>
    <m/>
    <m/>
    <m/>
    <x v="1"/>
    <x v="193"/>
    <n v="317654.24"/>
  </r>
  <r>
    <s v="Invoice"/>
    <x v="55"/>
    <s v="1154 RYMAL"/>
    <x v="9"/>
    <m/>
    <m/>
    <m/>
    <x v="1"/>
    <x v="194"/>
    <n v="318733.28999999998"/>
  </r>
  <r>
    <s v="Invoice"/>
    <x v="56"/>
    <s v="1051"/>
    <x v="8"/>
    <m/>
    <m/>
    <m/>
    <x v="1"/>
    <x v="195"/>
    <n v="323910.57"/>
  </r>
  <r>
    <s v="Invoice"/>
    <x v="56"/>
    <s v="0697"/>
    <x v="8"/>
    <m/>
    <m/>
    <m/>
    <x v="1"/>
    <x v="196"/>
    <n v="324028.57"/>
  </r>
  <r>
    <s v="Invoice"/>
    <x v="56"/>
    <s v="1131 GORHAM"/>
    <x v="9"/>
    <m/>
    <m/>
    <m/>
    <x v="1"/>
    <x v="194"/>
    <n v="325107.62"/>
  </r>
  <r>
    <s v="Invoice"/>
    <x v="57"/>
    <s v="901 VICTOR"/>
    <x v="9"/>
    <m/>
    <m/>
    <m/>
    <x v="1"/>
    <x v="197"/>
    <n v="325496.44"/>
  </r>
  <r>
    <s v="Invoice"/>
    <x v="57"/>
    <s v="4040 STEEL"/>
    <x v="9"/>
    <m/>
    <m/>
    <m/>
    <x v="1"/>
    <x v="198"/>
    <n v="326373.64"/>
  </r>
  <r>
    <s v="Invoice"/>
    <x v="57"/>
    <s v="16 KING"/>
    <x v="9"/>
    <m/>
    <m/>
    <m/>
    <x v="1"/>
    <x v="199"/>
    <n v="326800.14"/>
  </r>
  <r>
    <s v="Invoice"/>
    <x v="57"/>
    <s v="842 VICTOR"/>
    <x v="9"/>
    <m/>
    <m/>
    <m/>
    <x v="1"/>
    <x v="200"/>
    <n v="327639.7"/>
  </r>
  <r>
    <s v="Invoice"/>
    <x v="58"/>
    <s v="14810 YOUNG"/>
    <x v="9"/>
    <m/>
    <m/>
    <m/>
    <x v="1"/>
    <x v="201"/>
    <n v="327964.44"/>
  </r>
  <r>
    <s v="Invoice"/>
    <x v="59"/>
    <s v="1420 BAYLY"/>
    <x v="9"/>
    <m/>
    <m/>
    <m/>
    <x v="1"/>
    <x v="202"/>
    <n v="328885.25"/>
  </r>
  <r>
    <s v="Invoice"/>
    <x v="59"/>
    <s v="255 INDUSTR"/>
    <x v="9"/>
    <m/>
    <m/>
    <m/>
    <x v="1"/>
    <x v="203"/>
    <n v="329526.03000000003"/>
  </r>
  <r>
    <s v="Invoice"/>
    <x v="59"/>
    <s v="1170 RYMAL"/>
    <x v="9"/>
    <m/>
    <m/>
    <m/>
    <x v="1"/>
    <x v="204"/>
    <n v="330041.03000000003"/>
  </r>
  <r>
    <s v="Invoice"/>
    <x v="59"/>
    <s v="1065"/>
    <x v="8"/>
    <m/>
    <m/>
    <m/>
    <x v="1"/>
    <x v="205"/>
    <n v="331147.03000000003"/>
  </r>
  <r>
    <s v="Invoice"/>
    <x v="60"/>
    <s v="418 HOR"/>
    <x v="9"/>
    <m/>
    <m/>
    <m/>
    <x v="1"/>
    <x v="206"/>
    <n v="331310.95"/>
  </r>
  <r>
    <s v="Invoice"/>
    <x v="60"/>
    <s v="4060A SLAD"/>
    <x v="9"/>
    <m/>
    <m/>
    <m/>
    <x v="1"/>
    <x v="207"/>
    <n v="332411.65999999997"/>
  </r>
  <r>
    <s v="Invoice"/>
    <x v="60"/>
    <s v="122 FORTI"/>
    <x v="9"/>
    <m/>
    <m/>
    <m/>
    <x v="1"/>
    <x v="208"/>
    <n v="332820.96000000002"/>
  </r>
  <r>
    <s v="Invoice"/>
    <x v="60"/>
    <s v="2584 DANFOR"/>
    <x v="9"/>
    <m/>
    <m/>
    <m/>
    <x v="1"/>
    <x v="209"/>
    <n v="332851.96000000002"/>
  </r>
  <r>
    <s v="Invoice"/>
    <x v="60"/>
    <s v="813 O'CONN"/>
    <x v="9"/>
    <m/>
    <m/>
    <m/>
    <x v="1"/>
    <x v="210"/>
    <n v="333561.89"/>
  </r>
  <r>
    <s v="Invoice"/>
    <x v="60"/>
    <s v="948 QUEEN"/>
    <x v="9"/>
    <m/>
    <m/>
    <m/>
    <x v="1"/>
    <x v="211"/>
    <n v="333617.53999999998"/>
  </r>
  <r>
    <s v="Invoice"/>
    <x v="60"/>
    <s v="0916"/>
    <x v="8"/>
    <m/>
    <m/>
    <m/>
    <x v="1"/>
    <x v="212"/>
    <n v="334229.53999999998"/>
  </r>
  <r>
    <s v="Invoice"/>
    <x v="61"/>
    <s v="400 BAYFILE"/>
    <x v="9"/>
    <m/>
    <m/>
    <m/>
    <x v="1"/>
    <x v="87"/>
    <n v="335131.06"/>
  </r>
  <r>
    <s v="Invoice"/>
    <x v="61"/>
    <s v="1453 KING"/>
    <x v="9"/>
    <m/>
    <m/>
    <m/>
    <x v="1"/>
    <x v="213"/>
    <n v="335531.44"/>
  </r>
  <r>
    <s v="Invoice"/>
    <x v="61"/>
    <s v="79 ELIGIN"/>
    <x v="9"/>
    <m/>
    <m/>
    <m/>
    <x v="1"/>
    <x v="214"/>
    <n v="335815.94"/>
  </r>
  <r>
    <s v="Invoice"/>
    <x v="61"/>
    <s v="18 CONCESSI"/>
    <x v="9"/>
    <m/>
    <m/>
    <m/>
    <x v="1"/>
    <x v="215"/>
    <n v="336545.19"/>
  </r>
  <r>
    <s v="Invoice"/>
    <x v="61"/>
    <s v="200 FRANKLI"/>
    <x v="9"/>
    <m/>
    <m/>
    <m/>
    <x v="1"/>
    <x v="216"/>
    <n v="336802.05"/>
  </r>
  <r>
    <s v="Invoice"/>
    <x v="61"/>
    <s v="262 KING"/>
    <x v="9"/>
    <m/>
    <m/>
    <m/>
    <x v="1"/>
    <x v="217"/>
    <n v="337485.34"/>
  </r>
  <r>
    <s v="Invoice"/>
    <x v="61"/>
    <s v="36 NORTHFIE"/>
    <x v="9"/>
    <m/>
    <m/>
    <m/>
    <x v="1"/>
    <x v="218"/>
    <n v="337705.89"/>
  </r>
  <r>
    <s v="Invoice"/>
    <x v="61"/>
    <s v="338 ROSSLAN"/>
    <x v="9"/>
    <m/>
    <m/>
    <m/>
    <x v="1"/>
    <x v="219"/>
    <n v="338210.59"/>
  </r>
  <r>
    <s v="Invoice"/>
    <x v="61"/>
    <s v="1383 WILSON"/>
    <x v="9"/>
    <m/>
    <m/>
    <m/>
    <x v="1"/>
    <x v="32"/>
    <n v="338350.59"/>
  </r>
  <r>
    <s v="Invoice"/>
    <x v="61"/>
    <s v="2887 BLOOR"/>
    <x v="9"/>
    <m/>
    <m/>
    <m/>
    <x v="1"/>
    <x v="220"/>
    <n v="338672.06"/>
  </r>
  <r>
    <s v="Invoice"/>
    <x v="61"/>
    <s v="21 ESSA RD"/>
    <x v="9"/>
    <m/>
    <m/>
    <m/>
    <x v="1"/>
    <x v="221"/>
    <n v="339707.13"/>
  </r>
  <r>
    <s v="Invoice"/>
    <x v="61"/>
    <s v="371 WILSON"/>
    <x v="9"/>
    <m/>
    <m/>
    <m/>
    <x v="1"/>
    <x v="222"/>
    <n v="340214.63"/>
  </r>
  <r>
    <s v="Invoice"/>
    <x v="61"/>
    <s v="179 UNION"/>
    <x v="9"/>
    <m/>
    <m/>
    <m/>
    <x v="1"/>
    <x v="223"/>
    <n v="340952.58"/>
  </r>
  <r>
    <s v="Invoice"/>
    <x v="61"/>
    <s v="0917"/>
    <x v="8"/>
    <m/>
    <m/>
    <m/>
    <x v="1"/>
    <x v="224"/>
    <n v="342223.78"/>
  </r>
  <r>
    <s v="Invoice"/>
    <x v="62"/>
    <s v="241 DUNS"/>
    <x v="9"/>
    <m/>
    <m/>
    <m/>
    <x v="1"/>
    <x v="225"/>
    <n v="342475.31"/>
  </r>
  <r>
    <s v="Invoice"/>
    <x v="63"/>
    <s v="10671 CHING"/>
    <x v="9"/>
    <m/>
    <m/>
    <m/>
    <x v="1"/>
    <x v="226"/>
    <n v="342571.94"/>
  </r>
  <r>
    <s v="Invoice"/>
    <x v="63"/>
    <s v="975 BROCK"/>
    <x v="9"/>
    <m/>
    <m/>
    <m/>
    <x v="1"/>
    <x v="227"/>
    <n v="343410.71"/>
  </r>
  <r>
    <s v="Invoice"/>
    <x v="64"/>
    <s v="SEP 8,22"/>
    <x v="19"/>
    <s v="FIRST PAYMENT FOR SUPPLYING MATERIALS FOR (SG-422-20/21-9, CHINGUACOUSY SS , AS PER Z22-4759. TO..."/>
    <m/>
    <m/>
    <x v="1"/>
    <x v="228"/>
    <n v="563410.71"/>
  </r>
  <r>
    <s v="Invoice"/>
    <x v="64"/>
    <s v="84 WATER ST"/>
    <x v="9"/>
    <m/>
    <m/>
    <m/>
    <x v="1"/>
    <x v="229"/>
    <n v="563991.59"/>
  </r>
  <r>
    <s v="Invoice"/>
    <x v="64"/>
    <s v="20 KINGSTON"/>
    <x v="9"/>
    <m/>
    <m/>
    <m/>
    <x v="1"/>
    <x v="185"/>
    <n v="564544.59"/>
  </r>
  <r>
    <s v="Invoice"/>
    <x v="64"/>
    <s v="0014"/>
    <x v="8"/>
    <m/>
    <m/>
    <m/>
    <x v="1"/>
    <x v="101"/>
    <n v="565116.63"/>
  </r>
  <r>
    <s v="Invoice"/>
    <x v="65"/>
    <s v="49 WAYNE"/>
    <x v="9"/>
    <m/>
    <m/>
    <m/>
    <x v="1"/>
    <x v="230"/>
    <n v="566003.78"/>
  </r>
  <r>
    <s v="Invoice"/>
    <x v="65"/>
    <s v="0960"/>
    <x v="8"/>
    <m/>
    <m/>
    <m/>
    <x v="1"/>
    <x v="231"/>
    <n v="566180.30000000005"/>
  </r>
  <r>
    <s v="Invoice"/>
    <x v="66"/>
    <s v="AC 09/13/22"/>
    <x v="20"/>
    <s v="MATERIALS:  -LED FIXTURE ,220W ,120V QTY 9 .  -CHAIN .  -BX COIL.   -SCISSOR LIFT .    "/>
    <m/>
    <m/>
    <x v="1"/>
    <x v="39"/>
    <n v="566180.30000000005"/>
  </r>
  <r>
    <s v="Invoice"/>
    <x v="66"/>
    <s v="AC 09/13/22"/>
    <x v="20"/>
    <s v="SCOPE OF WORK   -REPLACE AND RELOCATE 9 LED HIGHBAY FIXTURE IN THE INDUSTRIAL AREA .  -USING CHA..."/>
    <m/>
    <m/>
    <x v="1"/>
    <x v="39"/>
    <n v="566180.30000000005"/>
  </r>
  <r>
    <s v="Invoice"/>
    <x v="66"/>
    <s v="AC 09/13/22"/>
    <x v="20"/>
    <s v="*PRICE INCLUDED   SCISSOR LIFT FEES   ESA INSPECTION FEES AND CERTIFICATE .    "/>
    <m/>
    <m/>
    <x v="1"/>
    <x v="39"/>
    <n v="566180.30000000005"/>
  </r>
  <r>
    <s v="Invoice"/>
    <x v="66"/>
    <s v="AC 09/13/22"/>
    <x v="20"/>
    <s v="*PRICE EXCLUDED   TURBINE FANS (QTY 2), TO BE CHECKED AND QUOTED SEPARETIY."/>
    <m/>
    <m/>
    <x v="1"/>
    <x v="232"/>
    <n v="571040.30000000005"/>
  </r>
  <r>
    <s v="Invoice"/>
    <x v="67"/>
    <s v="0918"/>
    <x v="8"/>
    <m/>
    <m/>
    <m/>
    <x v="1"/>
    <x v="233"/>
    <n v="571198.30000000005"/>
  </r>
  <r>
    <s v="Invoice"/>
    <x v="67"/>
    <s v="1062"/>
    <x v="8"/>
    <m/>
    <m/>
    <m/>
    <x v="1"/>
    <x v="234"/>
    <n v="571418.94999999995"/>
  </r>
  <r>
    <s v="Invoice"/>
    <x v="68"/>
    <s v="1052"/>
    <x v="8"/>
    <m/>
    <m/>
    <m/>
    <x v="1"/>
    <x v="235"/>
    <n v="574487.30000000005"/>
  </r>
  <r>
    <s v="Invoice"/>
    <x v="68"/>
    <s v="0965"/>
    <x v="21"/>
    <s v="SCOPE OF WORK:    *SUPPLY AND INSTALL LED HIGHBAY FIXTURES SELECTABLE WATTS AND COLOR TEMP."/>
    <m/>
    <m/>
    <x v="1"/>
    <x v="236"/>
    <n v="580087.30000000005"/>
  </r>
  <r>
    <s v="Invoice"/>
    <x v="68"/>
    <s v="0965"/>
    <x v="21"/>
    <s v="  PRICE INCLUDE:  *SCISSOR LIFT FEES .  *ESA INSPECTION .  *ACCESSORIES AND FITTING.  *REMOVE AN..."/>
    <m/>
    <m/>
    <x v="1"/>
    <x v="39"/>
    <n v="580087.30000000005"/>
  </r>
  <r>
    <s v="Invoice"/>
    <x v="68"/>
    <s v="0965"/>
    <x v="21"/>
    <s v="PAYMENT TERMS:  * FIRST PAYMENT: 20% UPON APPROVAL.  * SECOND PAYMENT : 40% UPON RECEIVING MATER..."/>
    <m/>
    <m/>
    <x v="1"/>
    <x v="39"/>
    <n v="580087.30000000005"/>
  </r>
  <r>
    <s v="Invoice"/>
    <x v="68"/>
    <s v="0966"/>
    <x v="6"/>
    <s v="-Installation of 7 RAB projectors.  -Pvc pipes, boxes wp(weather proof), T 90 wires, breakers.  ..."/>
    <m/>
    <m/>
    <x v="1"/>
    <x v="7"/>
    <n v="587373.48"/>
  </r>
  <r>
    <s v="Invoice"/>
    <x v="68"/>
    <s v="0966"/>
    <x v="6"/>
    <s v="10% DISCOUNT"/>
    <m/>
    <m/>
    <x v="1"/>
    <x v="8"/>
    <n v="586644.86"/>
  </r>
  <r>
    <s v="Invoice"/>
    <x v="69"/>
    <s v="31 RAILSIDE"/>
    <x v="9"/>
    <m/>
    <m/>
    <m/>
    <x v="1"/>
    <x v="237"/>
    <n v="587586.64"/>
  </r>
  <r>
    <s v="Invoice"/>
    <x v="69"/>
    <s v="1794 DANFOR"/>
    <x v="9"/>
    <m/>
    <m/>
    <m/>
    <x v="1"/>
    <x v="238"/>
    <n v="588167.49"/>
  </r>
  <r>
    <s v="Invoice"/>
    <x v="69"/>
    <s v="270 EGLINTO"/>
    <x v="9"/>
    <m/>
    <m/>
    <m/>
    <x v="1"/>
    <x v="239"/>
    <n v="588542"/>
  </r>
  <r>
    <s v="Invoice"/>
    <x v="69"/>
    <s v="162 LIME ST"/>
    <x v="9"/>
    <m/>
    <m/>
    <m/>
    <x v="1"/>
    <x v="240"/>
    <n v="589241.75"/>
  </r>
  <r>
    <s v="Invoice"/>
    <x v="69"/>
    <s v="280 GUELPH"/>
    <x v="9"/>
    <m/>
    <m/>
    <m/>
    <x v="1"/>
    <x v="241"/>
    <n v="589696.55000000005"/>
  </r>
  <r>
    <s v="Invoice"/>
    <x v="69"/>
    <s v="2873 KINGST"/>
    <x v="9"/>
    <m/>
    <m/>
    <m/>
    <x v="1"/>
    <x v="242"/>
    <n v="590108.94999999995"/>
  </r>
  <r>
    <s v="Invoice"/>
    <x v="69"/>
    <s v="3250 FINCH"/>
    <x v="9"/>
    <m/>
    <m/>
    <m/>
    <x v="1"/>
    <x v="243"/>
    <n v="591115.87"/>
  </r>
  <r>
    <s v="Invoice"/>
    <x v="70"/>
    <s v="0919"/>
    <x v="8"/>
    <m/>
    <m/>
    <m/>
    <x v="1"/>
    <x v="244"/>
    <n v="591497.23"/>
  </r>
  <r>
    <s v="Invoice"/>
    <x v="70"/>
    <s v="460 RENFORT"/>
    <x v="9"/>
    <m/>
    <m/>
    <m/>
    <x v="1"/>
    <x v="245"/>
    <n v="592042.57999999996"/>
  </r>
  <r>
    <s v="Invoice"/>
    <x v="70"/>
    <s v="1110 FINCH"/>
    <x v="9"/>
    <m/>
    <m/>
    <m/>
    <x v="1"/>
    <x v="246"/>
    <n v="592669.43999999994"/>
  </r>
  <r>
    <s v="Invoice"/>
    <x v="70"/>
    <s v="1061"/>
    <x v="8"/>
    <m/>
    <m/>
    <m/>
    <x v="1"/>
    <x v="247"/>
    <n v="593114.36"/>
  </r>
  <r>
    <s v="Invoice"/>
    <x v="71"/>
    <s v="248 STIRLIN"/>
    <x v="9"/>
    <m/>
    <m/>
    <m/>
    <x v="1"/>
    <x v="248"/>
    <n v="594010.55000000005"/>
  </r>
  <r>
    <s v="Invoice"/>
    <x v="71"/>
    <s v="2203 DUNWIN"/>
    <x v="9"/>
    <m/>
    <m/>
    <m/>
    <x v="1"/>
    <x v="249"/>
    <n v="594966.88"/>
  </r>
  <r>
    <s v="Invoice"/>
    <x v="71"/>
    <s v="0961"/>
    <x v="8"/>
    <m/>
    <m/>
    <m/>
    <x v="1"/>
    <x v="250"/>
    <n v="595198.88"/>
  </r>
  <r>
    <s v="Invoice"/>
    <x v="71"/>
    <s v="0964"/>
    <x v="22"/>
    <s v="SCOPE OF WORK :"/>
    <m/>
    <m/>
    <x v="1"/>
    <x v="251"/>
    <n v="640198.88"/>
  </r>
  <r>
    <s v="Invoice"/>
    <x v="71"/>
    <s v="0964"/>
    <x v="22"/>
    <s v="PRICE INCLUDED :"/>
    <m/>
    <m/>
    <x v="1"/>
    <x v="39"/>
    <n v="640198.88"/>
  </r>
  <r>
    <s v="Invoice"/>
    <x v="71"/>
    <s v="0964"/>
    <x v="22"/>
    <s v="PAYMENT TERMS:  * FIRST PAYMENT: 20% UPON APPROVAL.  * SECOND PAYMENT : 40% UPON RECEIVING  MATE..."/>
    <m/>
    <m/>
    <x v="1"/>
    <x v="39"/>
    <n v="640198.88"/>
  </r>
  <r>
    <s v="Invoice"/>
    <x v="72"/>
    <s v="71 GLEN CAM"/>
    <x v="9"/>
    <m/>
    <m/>
    <m/>
    <x v="1"/>
    <x v="165"/>
    <n v="641154.31999999995"/>
  </r>
  <r>
    <s v="Invoice"/>
    <x v="72"/>
    <s v="1288 RITSON"/>
    <x v="9"/>
    <m/>
    <m/>
    <m/>
    <x v="1"/>
    <x v="252"/>
    <n v="641628.72"/>
  </r>
  <r>
    <s v="Invoice"/>
    <x v="72"/>
    <s v="487 CORNWAL"/>
    <x v="9"/>
    <m/>
    <m/>
    <m/>
    <x v="1"/>
    <x v="253"/>
    <n v="641983.72"/>
  </r>
  <r>
    <s v="Invoice"/>
    <x v="72"/>
    <s v="491 APPLEBY"/>
    <x v="9"/>
    <m/>
    <m/>
    <m/>
    <x v="1"/>
    <x v="254"/>
    <n v="642203.72"/>
  </r>
  <r>
    <s v="Invoice"/>
    <x v="73"/>
    <s v="80 CARLAUR"/>
    <x v="9"/>
    <m/>
    <m/>
    <m/>
    <x v="1"/>
    <x v="99"/>
    <n v="642738.72"/>
  </r>
  <r>
    <s v="Invoice"/>
    <x v="74"/>
    <s v="0962"/>
    <x v="8"/>
    <m/>
    <m/>
    <m/>
    <x v="1"/>
    <x v="255"/>
    <n v="643539.37"/>
  </r>
  <r>
    <s v="Invoice"/>
    <x v="75"/>
    <s v="300 GUELPH"/>
    <x v="9"/>
    <m/>
    <m/>
    <m/>
    <x v="1"/>
    <x v="256"/>
    <n v="644364.56000000006"/>
  </r>
  <r>
    <s v="Invoice"/>
    <x v="75"/>
    <s v="4580 EASTGA"/>
    <x v="9"/>
    <m/>
    <m/>
    <m/>
    <x v="1"/>
    <x v="257"/>
    <n v="644903.48"/>
  </r>
  <r>
    <s v="Invoice"/>
    <x v="75"/>
    <s v="1063 MCNICO"/>
    <x v="9"/>
    <m/>
    <m/>
    <m/>
    <x v="1"/>
    <x v="258"/>
    <n v="645673.04"/>
  </r>
  <r>
    <s v="Invoice"/>
    <x v="75"/>
    <s v="94 DUNDAS"/>
    <x v="9"/>
    <m/>
    <m/>
    <m/>
    <x v="1"/>
    <x v="259"/>
    <n v="645892.59"/>
  </r>
  <r>
    <s v="Invoice"/>
    <x v="75"/>
    <s v="280 DERRY"/>
    <x v="9"/>
    <m/>
    <m/>
    <m/>
    <x v="1"/>
    <x v="155"/>
    <n v="645962.59"/>
  </r>
  <r>
    <s v="Invoice"/>
    <x v="75"/>
    <s v="23546 WOOD"/>
    <x v="9"/>
    <m/>
    <m/>
    <m/>
    <x v="1"/>
    <x v="260"/>
    <n v="646883.14"/>
  </r>
  <r>
    <s v="Invoice"/>
    <x v="76"/>
    <s v="270 KINGSWA"/>
    <x v="9"/>
    <m/>
    <m/>
    <m/>
    <x v="1"/>
    <x v="261"/>
    <n v="647235.24"/>
  </r>
  <r>
    <s v="Invoice"/>
    <x v="77"/>
    <s v="UNIT 201B"/>
    <x v="9"/>
    <m/>
    <m/>
    <m/>
    <x v="1"/>
    <x v="262"/>
    <n v="648206.76"/>
  </r>
  <r>
    <s v="Invoice"/>
    <x v="77"/>
    <s v="UNIT 201B F"/>
    <x v="9"/>
    <m/>
    <m/>
    <m/>
    <x v="1"/>
    <x v="262"/>
    <n v="649178.28"/>
  </r>
  <r>
    <s v="Invoice"/>
    <x v="78"/>
    <s v="0961"/>
    <x v="23"/>
    <s v="20% ADVANCED PAYMENT FOR THE JOB # 0510-2225 DATED(10/06-2022)"/>
    <m/>
    <m/>
    <x v="1"/>
    <x v="263"/>
    <n v="651148.28"/>
  </r>
  <r>
    <s v="Invoice"/>
    <x v="78"/>
    <s v="0962"/>
    <x v="6"/>
    <s v="SCOPE OF WORK :  OPTION 1:    SUPPLY AND INSTALL(2'X4') LED FLAT PANELS 5000K COLOR TEMP.  INCLU..."/>
    <m/>
    <m/>
    <x v="1"/>
    <x v="264"/>
    <n v="655498.28"/>
  </r>
  <r>
    <s v="Invoice"/>
    <x v="78"/>
    <s v="0962"/>
    <x v="6"/>
    <s v="PAYMENT TERMS:  * FIRST PAYMENT: 20% UPON APPROVAL.  * SECOND PAYMENT : 40% UPON RECEIVING  MATE..."/>
    <m/>
    <m/>
    <x v="1"/>
    <x v="39"/>
    <n v="655498.28"/>
  </r>
  <r>
    <s v="Invoice"/>
    <x v="78"/>
    <s v="51 LEBOVIC"/>
    <x v="9"/>
    <m/>
    <m/>
    <m/>
    <x v="1"/>
    <x v="254"/>
    <n v="655718.28"/>
  </r>
  <r>
    <s v="Invoice"/>
    <x v="78"/>
    <s v="2105 MIDLAN"/>
    <x v="9"/>
    <m/>
    <m/>
    <m/>
    <x v="1"/>
    <x v="265"/>
    <n v="657404.79"/>
  </r>
  <r>
    <s v="Invoice"/>
    <x v="79"/>
    <s v="0963"/>
    <x v="22"/>
    <s v="BASED ON THE ESTIMATE #0510-2223 THERE IS A 20% AMOUNT DUE THAT NEEDS TO BE PAID"/>
    <m/>
    <m/>
    <x v="1"/>
    <x v="266"/>
    <n v="666404.79"/>
  </r>
  <r>
    <s v="Invoice"/>
    <x v="79"/>
    <s v="0964"/>
    <x v="4"/>
    <s v="BASED ON ESTIMATE #0510-2212 THERE IS A 40% AMOUNT DUE ( MATERIAL RECEIVED ) FOR THE SECOND PAYM..."/>
    <m/>
    <m/>
    <x v="1"/>
    <x v="267"/>
    <n v="672804.79"/>
  </r>
  <r>
    <s v="Invoice"/>
    <x v="79"/>
    <s v="0700"/>
    <x v="8"/>
    <m/>
    <m/>
    <m/>
    <x v="1"/>
    <x v="268"/>
    <n v="672989.89"/>
  </r>
  <r>
    <s v="Invoice"/>
    <x v="79"/>
    <s v="0510-2222"/>
    <x v="24"/>
    <m/>
    <m/>
    <m/>
    <x v="1"/>
    <x v="269"/>
    <n v="673174.98"/>
  </r>
  <r>
    <s v="Invoice"/>
    <x v="80"/>
    <s v="AC80004-22"/>
    <x v="1"/>
    <s v="Electrical installation as per drawings"/>
    <m/>
    <m/>
    <x v="1"/>
    <x v="270"/>
    <n v="689174.98"/>
  </r>
  <r>
    <s v="Invoice"/>
    <x v="80"/>
    <s v="AC80004-22"/>
    <x v="1"/>
    <s v="Automatic door w/c"/>
    <m/>
    <m/>
    <x v="1"/>
    <x v="271"/>
    <n v="691924.98"/>
  </r>
  <r>
    <s v="Invoice"/>
    <x v="80"/>
    <s v="AC80004-22"/>
    <x v="1"/>
    <s v="Automatic front door"/>
    <m/>
    <m/>
    <x v="1"/>
    <x v="93"/>
    <n v="693524.98"/>
  </r>
  <r>
    <s v="Invoice"/>
    <x v="80"/>
    <s v="AC80004-22"/>
    <x v="1"/>
    <s v="1 Hand dryer"/>
    <m/>
    <m/>
    <x v="1"/>
    <x v="272"/>
    <n v="694024.98"/>
  </r>
  <r>
    <s v="Invoice"/>
    <x v="80"/>
    <s v="AC80004-22"/>
    <x v="1"/>
    <s v="E.S.A. Permit included"/>
    <m/>
    <m/>
    <x v="1"/>
    <x v="39"/>
    <n v="694024.98"/>
  </r>
  <r>
    <s v="Invoice"/>
    <x v="81"/>
    <s v="9-27-22AC1"/>
    <x v="21"/>
    <s v="FIRST PAYMENT: 20% UPON APPROVAL."/>
    <m/>
    <m/>
    <x v="1"/>
    <x v="273"/>
    <n v="695144.98"/>
  </r>
  <r>
    <s v="Invoice"/>
    <x v="81"/>
    <s v="0963"/>
    <x v="1"/>
    <s v="FINAL PAYMENT DUE FOR BICTON LOCATION"/>
    <m/>
    <m/>
    <x v="1"/>
    <x v="274"/>
    <n v="706244.98"/>
  </r>
  <r>
    <s v="Invoice"/>
    <x v="81"/>
    <s v="0974"/>
    <x v="19"/>
    <s v="SUPPLYING MATERIALS / EQUIPMENT 20%"/>
    <m/>
    <m/>
    <x v="1"/>
    <x v="275"/>
    <n v="746244.98"/>
  </r>
  <r>
    <s v="Invoice"/>
    <x v="81"/>
    <s v="0974"/>
    <x v="19"/>
    <s v="LABOUR 20%"/>
    <m/>
    <m/>
    <x v="1"/>
    <x v="276"/>
    <n v="770244.98"/>
  </r>
  <r>
    <s v="Invoice"/>
    <x v="81"/>
    <s v="0974"/>
    <x v="19"/>
    <s v="WARRANTY / ACCESS 100%"/>
    <m/>
    <m/>
    <x v="1"/>
    <x v="277"/>
    <n v="785244.98"/>
  </r>
  <r>
    <s v="Invoice"/>
    <x v="81"/>
    <s v="0974"/>
    <x v="19"/>
    <s v="DEMOLITION 43%"/>
    <m/>
    <m/>
    <x v="1"/>
    <x v="277"/>
    <n v="800244.98"/>
  </r>
  <r>
    <s v="Invoice"/>
    <x v="81"/>
    <s v="0974"/>
    <x v="19"/>
    <s v="RECYCLING 33%"/>
    <m/>
    <m/>
    <x v="1"/>
    <x v="278"/>
    <n v="803244.98"/>
  </r>
  <r>
    <s v="Invoice"/>
    <x v="81"/>
    <s v="0974"/>
    <x v="19"/>
    <s v="CEILING MATERIALS 100%"/>
    <m/>
    <m/>
    <x v="1"/>
    <x v="270"/>
    <n v="819244.98"/>
  </r>
  <r>
    <s v="Invoice"/>
    <x v="81"/>
    <s v="0974"/>
    <x v="19"/>
    <s v="10%"/>
    <m/>
    <m/>
    <x v="1"/>
    <x v="279"/>
    <n v="807944.98"/>
  </r>
  <r>
    <s v="Invoice"/>
    <x v="82"/>
    <s v="0973"/>
    <x v="23"/>
    <s v="FINAL PAYMENT  80% UPON FINISHING"/>
    <m/>
    <m/>
    <x v="1"/>
    <x v="280"/>
    <n v="815824.98"/>
  </r>
  <r>
    <s v="Invoice"/>
    <x v="83"/>
    <s v="0510-2228"/>
    <x v="16"/>
    <s v="SCOPE OF WORK   OPTION 2  * REMOVE THE SKYLIGHT (4) EXISTING FIXTURES  * SUPPLY AND INSTALL 8 ( ..."/>
    <m/>
    <m/>
    <x v="1"/>
    <x v="39"/>
    <n v="815824.98"/>
  </r>
  <r>
    <s v="Invoice"/>
    <x v="83"/>
    <s v="0510-2228"/>
    <x v="16"/>
    <s v="OFFER INCLUDED:  * ALL MATERIAL INCLUDING ADAPTERS AND FITTING PLUS LABOUR.  * SCISSOR LIFT FEES..."/>
    <m/>
    <m/>
    <x v="1"/>
    <x v="118"/>
    <n v="819234.98"/>
  </r>
  <r>
    <s v="Invoice"/>
    <x v="83"/>
    <s v="0510-2229"/>
    <x v="18"/>
    <s v="SCOPE OF WORK :"/>
    <m/>
    <m/>
    <x v="1"/>
    <x v="39"/>
    <n v="819234.98"/>
  </r>
  <r>
    <s v="Invoice"/>
    <x v="83"/>
    <s v="0510-2229"/>
    <x v="18"/>
    <s v="1- SUPPLY AND INSTALL 14*2 CABLE IN THE PLAZA (45M)"/>
    <m/>
    <m/>
    <x v="1"/>
    <x v="281"/>
    <n v="820359.98"/>
  </r>
  <r>
    <s v="Credit Memo"/>
    <x v="84"/>
    <s v="0975c"/>
    <x v="25"/>
    <s v="credit memo against Invoice dated August 3, 2022"/>
    <m/>
    <m/>
    <x v="1"/>
    <x v="282"/>
    <n v="794359.98"/>
  </r>
  <r>
    <s v="Credit Memo"/>
    <x v="84"/>
    <s v="0977c"/>
    <x v="26"/>
    <s v="credit memo to adjust Bar Burrito revenue vs. Manar revenue to actual"/>
    <m/>
    <m/>
    <x v="1"/>
    <x v="283"/>
    <n v="789359.98"/>
  </r>
  <r>
    <s v="Credit Memo"/>
    <x v="84"/>
    <s v="0978c"/>
    <x v="4"/>
    <m/>
    <m/>
    <m/>
    <x v="1"/>
    <x v="284"/>
    <n v="781209.54"/>
  </r>
  <r>
    <s v="Credit Memo"/>
    <x v="84"/>
    <s v="0979c"/>
    <x v="16"/>
    <s v="SCOPE OF WORK   OPTION 2  * REMOVE THE SKYLIGHT (4) EXISTING FIXTURES  * SUPPLY AND INSTALL 8 ( ..."/>
    <m/>
    <m/>
    <x v="1"/>
    <x v="39"/>
    <n v="781209.54"/>
  </r>
  <r>
    <s v="Credit Memo"/>
    <x v="84"/>
    <s v="0979c"/>
    <x v="16"/>
    <s v="OFFER INCLUDED:  * ALL MATERIAL INCLUDING ADAPTERS AND FITTING PLUS LABOUR.  * SCISSOR LIFT FEES..."/>
    <m/>
    <m/>
    <x v="1"/>
    <x v="285"/>
    <n v="777799.54"/>
  </r>
  <r>
    <s v="Credit Memo"/>
    <x v="84"/>
    <s v="0980c"/>
    <x v="16"/>
    <m/>
    <m/>
    <m/>
    <x v="1"/>
    <x v="286"/>
    <n v="760599.54"/>
  </r>
  <r>
    <s v="Credit Memo"/>
    <x v="84"/>
    <s v="0981c"/>
    <x v="4"/>
    <s v="SCOPE OF WORK:   ELECTRICAL INSTALLATION AS PER THE DRAWINGS   THE OFFER EXCLUDES:   "/>
    <m/>
    <m/>
    <x v="1"/>
    <x v="39"/>
    <n v="760599.54"/>
  </r>
  <r>
    <s v="Credit Memo"/>
    <x v="84"/>
    <s v="0981c"/>
    <x v="4"/>
    <s v="1- AUTOMATIC DOORS INSTALLATION   2- COMPUTER CABLES INSTALLATION  3- MAIN TRANSFORMER"/>
    <m/>
    <m/>
    <x v="1"/>
    <x v="39"/>
    <n v="760599.54"/>
  </r>
  <r>
    <s v="Credit Memo"/>
    <x v="84"/>
    <s v="0981c"/>
    <x v="4"/>
    <m/>
    <m/>
    <m/>
    <x v="1"/>
    <x v="287"/>
    <n v="740599.54"/>
  </r>
  <r>
    <s v="Credit Memo"/>
    <x v="84"/>
    <s v="0982c"/>
    <x v="1"/>
    <m/>
    <m/>
    <m/>
    <x v="1"/>
    <x v="288"/>
    <n v="718849.54"/>
  </r>
  <r>
    <s v="Credit Memo"/>
    <x v="84"/>
    <s v="0983c"/>
    <x v="22"/>
    <s v="SCOPE OF WORK :"/>
    <m/>
    <m/>
    <x v="1"/>
    <x v="289"/>
    <n v="673849.54"/>
  </r>
  <r>
    <s v="Credit Memo"/>
    <x v="84"/>
    <s v="0983c"/>
    <x v="22"/>
    <s v="PRICE INCLUDED :"/>
    <m/>
    <m/>
    <x v="1"/>
    <x v="39"/>
    <n v="673849.54"/>
  </r>
  <r>
    <s v="Credit Memo"/>
    <x v="84"/>
    <s v="0983c"/>
    <x v="22"/>
    <s v="PAYMENT TERMS:  * FIRST PAYMENT: 20% UPON APPROVAL.  * SECOND PAYMENT : 40% UPON RECEIVING  MATE..."/>
    <m/>
    <m/>
    <x v="1"/>
    <x v="39"/>
    <n v="673849.54"/>
  </r>
  <r>
    <s v="Credit Memo"/>
    <x v="84"/>
    <s v="0984c"/>
    <x v="13"/>
    <s v="-ARRANGING ALL CABLES AND PANELS  -REMOVING AND RECYCLING ALL UNWANTED WIRES AND RECEPTACLES.  -..."/>
    <m/>
    <m/>
    <x v="1"/>
    <x v="39"/>
    <n v="673849.54"/>
  </r>
  <r>
    <s v="Credit Memo"/>
    <x v="84"/>
    <s v="0984c"/>
    <x v="13"/>
    <s v="-2 DAYS WORKING LABOUR AND MATERIAL   -OPTIONS ( NOT INCLUDED IN THE ORIGINAL OFFER ).  -REMOVE ..."/>
    <m/>
    <m/>
    <x v="1"/>
    <x v="290"/>
    <n v="672249.54"/>
  </r>
  <r>
    <s v="Credit Memo"/>
    <x v="84"/>
    <s v="0984c"/>
    <x v="13"/>
    <s v="-REMOVING FLUORESCENT 8' FIXTURES IN THE BACK AREA ( NO JUNK ). LABOUR AND MATERIAL ."/>
    <m/>
    <m/>
    <x v="1"/>
    <x v="291"/>
    <n v="671849.54"/>
  </r>
  <r>
    <s v="Credit Memo"/>
    <x v="84"/>
    <s v="0984c"/>
    <x v="13"/>
    <s v="-REPLACING ALL SWITCHES AND RECEPTACLES IN THE OFFICES AREA. LABOUR AND MATERIAL."/>
    <m/>
    <m/>
    <x v="1"/>
    <x v="292"/>
    <n v="671249.54"/>
  </r>
  <r>
    <s v="Credit Memo"/>
    <x v="84"/>
    <s v="0984c"/>
    <x v="13"/>
    <s v="-EXIT SIGNS AND EMERGENCY LIGHTS IN THE WHOLE AREA ACCORDING TO THE ELECTRICAL BUILDING CODE IN ..."/>
    <m/>
    <m/>
    <x v="1"/>
    <x v="293"/>
    <n v="668749.54"/>
  </r>
  <r>
    <s v="Invoice"/>
    <x v="84"/>
    <s v="0985c"/>
    <x v="1"/>
    <s v="PRICE DIFFERENCE IN AUTOMATIC DOOR W/C AND AUTOMATIC FRONT DOOR"/>
    <m/>
    <m/>
    <x v="1"/>
    <x v="294"/>
    <n v="669399.54"/>
  </r>
  <r>
    <s v="Invoice"/>
    <x v="85"/>
    <s v="0510-2214"/>
    <x v="18"/>
    <s v="SCOPE OF WORK :"/>
    <m/>
    <m/>
    <x v="1"/>
    <x v="39"/>
    <n v="669399.54"/>
  </r>
  <r>
    <s v="Invoice"/>
    <x v="85"/>
    <s v="0510-2214"/>
    <x v="18"/>
    <s v="1- SUPPLY AND INSTALL 14*2 CABLE IN THE PLAZA (45M)"/>
    <m/>
    <m/>
    <x v="1"/>
    <x v="281"/>
    <n v="670524.54"/>
  </r>
  <r>
    <s v="Invoice"/>
    <x v="86"/>
    <s v="0510-2215"/>
    <x v="27"/>
    <s v="SCOPE OF WORK:  EXTRA RECEPTACLES AND ELECTRICAL WORK"/>
    <m/>
    <m/>
    <x v="1"/>
    <x v="295"/>
    <n v="674024.54"/>
  </r>
  <r>
    <s v="Invoice"/>
    <x v="87"/>
    <s v="0510-2220"/>
    <x v="18"/>
    <s v="ALL ELECTRIC WORK ACCORDING TO THE DRAWING"/>
    <m/>
    <m/>
    <x v="1"/>
    <x v="296"/>
    <n v="693524.54"/>
  </r>
  <r>
    <s v="Invoice"/>
    <x v="88"/>
    <s v="0510-2216"/>
    <x v="28"/>
    <s v="1- SUPPLY AND INSTALL 9-8' LED- 90W - 5000K LIGHT FIXTURES IN DIFFERENT AREAS INSIDE THE WAREHOU..."/>
    <m/>
    <m/>
    <x v="1"/>
    <x v="297"/>
    <n v="698924.54"/>
  </r>
  <r>
    <s v="Invoice"/>
    <x v="88"/>
    <s v="0510-2216"/>
    <x v="28"/>
    <s v="OFFER INCLUDES :    * SCISSOR LIFT    * ESA INSPECTION     * LABOUR AND MATERIAL PLUS ACCESSORIE..."/>
    <m/>
    <m/>
    <x v="1"/>
    <x v="39"/>
    <n v="698924.54"/>
  </r>
  <r>
    <s v="Invoice"/>
    <x v="89"/>
    <s v="0510-2218"/>
    <x v="18"/>
    <s v="SUPPLY &amp; INSTALL AUTOMATIC DOOR"/>
    <m/>
    <m/>
    <x v="1"/>
    <x v="298"/>
    <n v="702024.54"/>
  </r>
  <r>
    <s v="Invoice"/>
    <x v="90"/>
    <s v="0510-2221"/>
    <x v="29"/>
    <s v="REMOVAL"/>
    <m/>
    <m/>
    <x v="1"/>
    <x v="299"/>
    <n v="703224.54"/>
  </r>
  <r>
    <s v="Invoice"/>
    <x v="91"/>
    <s v="0510-2224"/>
    <x v="30"/>
    <s v="FIRST PAYMENT"/>
    <m/>
    <m/>
    <x v="1"/>
    <x v="300"/>
    <n v="708976.75"/>
  </r>
  <r>
    <s v="Invoice"/>
    <x v="92"/>
    <s v="0510-2226"/>
    <x v="31"/>
    <m/>
    <m/>
    <m/>
    <x v="1"/>
    <x v="301"/>
    <n v="709276.75"/>
  </r>
  <r>
    <s v="Invoice"/>
    <x v="92"/>
    <s v="0510-2227"/>
    <x v="32"/>
    <s v="SUPPLY AND INSTALL (2*4) LED FLAT PANELS 4000K"/>
    <m/>
    <m/>
    <x v="1"/>
    <x v="302"/>
    <n v="711496.75"/>
  </r>
  <r>
    <s v="Invoice"/>
    <x v="93"/>
    <s v="0510-2223"/>
    <x v="33"/>
    <s v="FIRST PAYMENT"/>
    <m/>
    <m/>
    <x v="1"/>
    <x v="303"/>
    <n v="713266.66"/>
  </r>
  <r>
    <s v="Invoice"/>
    <x v="93"/>
    <s v="0510-2225"/>
    <x v="30"/>
    <s v="FINAL PAYMENT"/>
    <m/>
    <m/>
    <x v="1"/>
    <x v="304"/>
    <n v="718514.35"/>
  </r>
  <r>
    <s v="Invoice"/>
    <x v="94"/>
    <s v="0510-2230"/>
    <x v="4"/>
    <s v="SECOND PAYMENT FOR THIS JOB"/>
    <m/>
    <m/>
    <x v="1"/>
    <x v="305"/>
    <n v="725014.35"/>
  </r>
  <r>
    <s v="Invoice"/>
    <x v="95"/>
    <s v="0510-2231"/>
    <x v="4"/>
    <s v="AUTOMATION PANEL AS PER THE QUOTATION"/>
    <m/>
    <m/>
    <x v="1"/>
    <x v="299"/>
    <n v="726214.35"/>
  </r>
  <r>
    <s v="Invoice"/>
    <x v="95"/>
    <s v="0510-2232"/>
    <x v="1"/>
    <s v="FINAL PAYMENT"/>
    <m/>
    <m/>
    <x v="1"/>
    <x v="306"/>
    <n v="735590.46"/>
  </r>
  <r>
    <s v="Invoice"/>
    <x v="96"/>
    <s v="0510-2233"/>
    <x v="30"/>
    <s v="SCOPE OF WORK :  ALL ELECTRICAL WORK ACCORDING TO THE DRAWING .  "/>
    <m/>
    <m/>
    <x v="1"/>
    <x v="96"/>
    <n v="755590.46"/>
  </r>
  <r>
    <s v="Invoice"/>
    <x v="96"/>
    <s v="0510-2233"/>
    <x v="30"/>
    <s v="PAYMENT TERMS:  * FIRST PAYMENT: 20% UPON APPROVAL.  * SECOND PAYMENT : 40% UPON RECEIVING  MATE..."/>
    <m/>
    <m/>
    <x v="1"/>
    <x v="39"/>
    <n v="755590.46"/>
  </r>
  <r>
    <s v="Invoice"/>
    <x v="97"/>
    <s v="0510-2234"/>
    <x v="4"/>
    <s v="FINAL PAYMENT FOR LONDON JOB LOCATED AT ( 170 ADELAIDE ST ) LONDON ONTARIO"/>
    <m/>
    <m/>
    <x v="1"/>
    <x v="307"/>
    <n v="762690.4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s v="Bill"/>
    <x v="0"/>
    <s v="4792779"/>
    <x v="0"/>
    <m/>
    <m/>
    <m/>
    <s v="20000 · Accounts Payable"/>
    <n v="2900.1"/>
  </r>
  <r>
    <s v="Bill"/>
    <x v="1"/>
    <s v="105482"/>
    <x v="1"/>
    <m/>
    <m/>
    <m/>
    <s v="20000 · Accounts Payable"/>
    <n v="3855"/>
  </r>
  <r>
    <s v="Credit Card Charge"/>
    <x v="1"/>
    <m/>
    <x v="2"/>
    <m/>
    <m/>
    <m/>
    <s v="CIBC VISA"/>
    <n v="1559.5"/>
  </r>
  <r>
    <s v="Credit Card Charge"/>
    <x v="2"/>
    <m/>
    <x v="2"/>
    <m/>
    <m/>
    <m/>
    <s v="21000 · RBC Visa Avion"/>
    <m/>
  </r>
  <r>
    <s v="Credit Card Charge"/>
    <x v="3"/>
    <m/>
    <x v="2"/>
    <m/>
    <m/>
    <m/>
    <s v="21000 · RBC Visa Avion"/>
    <m/>
  </r>
  <r>
    <s v="Cheque"/>
    <x v="4"/>
    <m/>
    <x v="3"/>
    <s v="PAID FROM DIAA PERSONAL ACCOUNT"/>
    <m/>
    <m/>
    <s v="11800 · CIBC"/>
    <n v="425.47"/>
  </r>
  <r>
    <s v="Bill"/>
    <x v="5"/>
    <m/>
    <x v="4"/>
    <m/>
    <m/>
    <m/>
    <s v="20000 · Accounts Payable"/>
    <n v="158"/>
  </r>
  <r>
    <s v="Bill"/>
    <x v="5"/>
    <m/>
    <x v="4"/>
    <m/>
    <m/>
    <m/>
    <s v="20000 · Accounts Payable"/>
    <n v="760.71"/>
  </r>
  <r>
    <s v="Cheque"/>
    <x v="6"/>
    <s v="1684"/>
    <x v="5"/>
    <m/>
    <m/>
    <m/>
    <s v="11800 · CIBC"/>
    <n v="260.7"/>
  </r>
  <r>
    <s v="Bill"/>
    <x v="7"/>
    <m/>
    <x v="6"/>
    <m/>
    <m/>
    <m/>
    <s v="20000 · Accounts Payable"/>
    <n v="5815"/>
  </r>
  <r>
    <s v="Cheque"/>
    <x v="8"/>
    <m/>
    <x v="3"/>
    <m/>
    <m/>
    <m/>
    <s v="11800 · CIBC"/>
    <n v="311.93"/>
  </r>
  <r>
    <s v="Bill"/>
    <x v="9"/>
    <s v="492153-00"/>
    <x v="7"/>
    <m/>
    <m/>
    <m/>
    <s v="20000 · Accounts Payable"/>
    <n v="2071.66"/>
  </r>
  <r>
    <s v="Bill"/>
    <x v="10"/>
    <m/>
    <x v="8"/>
    <m/>
    <m/>
    <m/>
    <s v="20000 · Accounts Payable"/>
    <n v="728.83"/>
  </r>
  <r>
    <s v="Cheque"/>
    <x v="11"/>
    <m/>
    <x v="8"/>
    <m/>
    <m/>
    <m/>
    <s v="11800 · CIBC"/>
    <n v="572.38"/>
  </r>
  <r>
    <s v="Cheque"/>
    <x v="11"/>
    <m/>
    <x v="8"/>
    <m/>
    <m/>
    <m/>
    <s v="11800 · CIBC"/>
    <n v="823.58"/>
  </r>
  <r>
    <s v="Bill"/>
    <x v="12"/>
    <m/>
    <x v="9"/>
    <m/>
    <m/>
    <m/>
    <s v="20000 · Accounts Payable"/>
    <n v="17377.27"/>
  </r>
  <r>
    <s v="Bill"/>
    <x v="13"/>
    <m/>
    <x v="8"/>
    <m/>
    <m/>
    <m/>
    <s v="20000 · Accounts Payable"/>
    <n v="2212.39"/>
  </r>
  <r>
    <s v="General Journal"/>
    <x v="14"/>
    <s v="66"/>
    <x v="10"/>
    <s v="NU-TECH FREIGHT"/>
    <m/>
    <m/>
    <s v="11800 · CIBC"/>
    <n v="324.87"/>
  </r>
  <r>
    <s v="Bill"/>
    <x v="15"/>
    <m/>
    <x v="11"/>
    <m/>
    <m/>
    <m/>
    <s v="20000 · Accounts Payable"/>
    <n v="271.08"/>
  </r>
  <r>
    <s v="Bill"/>
    <x v="15"/>
    <m/>
    <x v="4"/>
    <m/>
    <m/>
    <m/>
    <s v="20000 · Accounts Payable"/>
    <n v="2212.39"/>
  </r>
  <r>
    <s v="Bill"/>
    <x v="16"/>
    <m/>
    <x v="12"/>
    <m/>
    <m/>
    <m/>
    <s v="20000 · Accounts Payable"/>
    <n v="350.07"/>
  </r>
  <r>
    <s v="Bill"/>
    <x v="16"/>
    <m/>
    <x v="13"/>
    <m/>
    <m/>
    <m/>
    <s v="20000 · Accounts Payable"/>
    <n v="197.56"/>
  </r>
  <r>
    <s v="Bill"/>
    <x v="17"/>
    <m/>
    <x v="14"/>
    <m/>
    <m/>
    <m/>
    <s v="20000 · Accounts Payable"/>
    <n v="371.3"/>
  </r>
  <r>
    <s v="Bill"/>
    <x v="18"/>
    <m/>
    <x v="15"/>
    <m/>
    <m/>
    <m/>
    <s v="20000 · Accounts Payable"/>
    <n v="3939.6"/>
  </r>
  <r>
    <s v="Bill"/>
    <x v="19"/>
    <m/>
    <x v="16"/>
    <s v="FOR PEEL DISTRICT SCHOOL"/>
    <m/>
    <m/>
    <s v="20000 · Accounts Payable"/>
    <n v="10062"/>
  </r>
  <r>
    <s v="Cheque"/>
    <x v="20"/>
    <m/>
    <x v="17"/>
    <m/>
    <m/>
    <m/>
    <s v="11800 · CIBC"/>
    <n v="63945.73"/>
  </r>
  <r>
    <s v="Bill"/>
    <x v="21"/>
    <m/>
    <x v="13"/>
    <m/>
    <m/>
    <m/>
    <s v="20000 · Accounts Payable"/>
    <n v="421.2"/>
  </r>
  <r>
    <s v="Bill"/>
    <x v="22"/>
    <m/>
    <x v="18"/>
    <s v="SUBWAY TOTTENHAM"/>
    <m/>
    <m/>
    <s v="20000 · Accounts Payable"/>
    <n v="4310"/>
  </r>
  <r>
    <s v="Cheque"/>
    <x v="22"/>
    <m/>
    <x v="18"/>
    <s v="SUBWAY TOTTENHAM"/>
    <m/>
    <m/>
    <s v="11800 · CIBC"/>
    <n v="884.96"/>
  </r>
  <r>
    <s v="Cheque"/>
    <x v="23"/>
    <m/>
    <x v="18"/>
    <m/>
    <m/>
    <m/>
    <s v="11800 · CIBC"/>
    <n v="3425.04"/>
  </r>
  <r>
    <s v="Bill"/>
    <x v="24"/>
    <m/>
    <x v="19"/>
    <s v="VIA CANADA HOLDING GROUP WAREHOUSE ARES ( PAID TO DIAA BY CHQ )"/>
    <m/>
    <m/>
    <s v="20000 · Accounts Payable"/>
    <n v="157.96"/>
  </r>
  <r>
    <s v="Bill"/>
    <x v="24"/>
    <m/>
    <x v="19"/>
    <s v="VIA CANADA HOLDING GROUP WAREHOUSE ARES ( PAID TO DIAA BY CHQ )"/>
    <m/>
    <m/>
    <s v="20000 · Accounts Payable"/>
    <n v="188.95"/>
  </r>
  <r>
    <s v="Bill"/>
    <x v="24"/>
    <m/>
    <x v="19"/>
    <s v="VIA CANADA HOLDING GROUP WAREHOUSE ARES ( PAID TO DIAA BY CHQ )"/>
    <m/>
    <m/>
    <s v="20000 · Accounts Payable"/>
    <n v="35.979999999999997"/>
  </r>
  <r>
    <s v="Bill"/>
    <x v="24"/>
    <m/>
    <x v="19"/>
    <s v="VIA CANADA HOLDING GROUP WAREHOUSE ARES ( PAID TO DIAA BY CHQ )"/>
    <m/>
    <m/>
    <s v="20000 · Accounts Payable"/>
    <n v="171.54"/>
  </r>
  <r>
    <s v="Cheque"/>
    <x v="24"/>
    <m/>
    <x v="3"/>
    <m/>
    <m/>
    <m/>
    <s v="11800 · CIBC"/>
    <n v="626.5"/>
  </r>
  <r>
    <s v="Cheque"/>
    <x v="24"/>
    <s v="1854"/>
    <x v="8"/>
    <m/>
    <m/>
    <m/>
    <s v="11800 · CIBC"/>
    <n v="2355.27"/>
  </r>
  <r>
    <s v="Cheque"/>
    <x v="25"/>
    <m/>
    <x v="20"/>
    <s v="(42.67) GRAINGER , (309.35) RONA , (821.26) RONA , (1061.05) HOME DEPOT , (121.41) FUEL"/>
    <m/>
    <m/>
    <s v="11800 · CIBC"/>
    <n v="2084.6799999999998"/>
  </r>
  <r>
    <s v="Cheque"/>
    <x v="25"/>
    <m/>
    <x v="21"/>
    <s v="(368.73) ONEIL , (38.14) GERRIE , (61.28) GERRIE , (192.93) GAS , (68.48) GAS , (160.46) GAS , (..."/>
    <m/>
    <m/>
    <s v="11800 · CIBC"/>
    <n v="1065.08"/>
  </r>
  <r>
    <s v="Bill"/>
    <x v="26"/>
    <m/>
    <x v="22"/>
    <s v="ROLLER SKATING ORILLIA"/>
    <m/>
    <m/>
    <s v="20000 · Accounts Payable"/>
    <n v="2320"/>
  </r>
  <r>
    <s v="Bill"/>
    <x v="26"/>
    <m/>
    <x v="4"/>
    <m/>
    <m/>
    <m/>
    <s v="20000 · Accounts Payable"/>
    <n v="5268.92"/>
  </r>
  <r>
    <s v="Cheque"/>
    <x v="27"/>
    <m/>
    <x v="14"/>
    <s v="paid for Diaa"/>
    <m/>
    <m/>
    <s v="11800 · CIBC"/>
    <n v="33.380000000000003"/>
  </r>
  <r>
    <s v="Cheque"/>
    <x v="27"/>
    <m/>
    <x v="12"/>
    <s v="paid for Diaa"/>
    <m/>
    <m/>
    <s v="11800 · CIBC"/>
    <n v="24.05"/>
  </r>
  <r>
    <s v="Cheque"/>
    <x v="27"/>
    <m/>
    <x v="23"/>
    <s v="paid for Diaa"/>
    <m/>
    <m/>
    <s v="11800 · CIBC"/>
    <n v="31.4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4">
  <r>
    <x v="0"/>
    <m/>
    <m/>
    <x v="0"/>
    <m/>
    <m/>
    <m/>
    <m/>
    <x v="0"/>
    <m/>
  </r>
  <r>
    <x v="0"/>
    <m/>
    <m/>
    <x v="0"/>
    <m/>
    <m/>
    <m/>
    <m/>
    <x v="0"/>
    <m/>
  </r>
  <r>
    <x v="0"/>
    <m/>
    <m/>
    <x v="0"/>
    <m/>
    <m/>
    <m/>
    <m/>
    <x v="0"/>
    <m/>
  </r>
  <r>
    <x v="1"/>
    <d v="2022-04-05T00:00:00"/>
    <s v="AC 80001-22"/>
    <x v="1"/>
    <m/>
    <m/>
    <m/>
    <s v="11001 · Accounts Receivable"/>
    <x v="1"/>
    <n v="21750"/>
  </r>
  <r>
    <x v="1"/>
    <d v="2022-04-11T00:00:00"/>
    <s v="AC 80003-22"/>
    <x v="2"/>
    <m/>
    <m/>
    <m/>
    <s v="11001 · Accounts Receivable"/>
    <x v="2"/>
    <n v="24450"/>
  </r>
  <r>
    <x v="1"/>
    <d v="2022-04-11T00:00:00"/>
    <s v="AC 80004-22"/>
    <x v="3"/>
    <m/>
    <m/>
    <m/>
    <s v="11001 · Accounts Receivable"/>
    <x v="3"/>
    <n v="26200"/>
  </r>
  <r>
    <x v="1"/>
    <d v="2022-04-27T00:00:00"/>
    <s v="AC0427-22"/>
    <x v="4"/>
    <m/>
    <m/>
    <m/>
    <s v="11001 · Accounts Receivable"/>
    <x v="4"/>
    <n v="43200"/>
  </r>
  <r>
    <x v="1"/>
    <d v="2022-04-27T00:00:00"/>
    <s v="AC0427-22"/>
    <x v="4"/>
    <m/>
    <m/>
    <m/>
    <s v="11001 · Accounts Receivable"/>
    <x v="5"/>
    <n v="47200"/>
  </r>
  <r>
    <x v="1"/>
    <d v="2022-04-29T00:00:00"/>
    <s v="AC 041922-3"/>
    <x v="5"/>
    <s v="2580 shepard ave -9500 total job +hst"/>
    <m/>
    <m/>
    <s v="11001 · Accounts Receivable"/>
    <x v="6"/>
    <n v="56700"/>
  </r>
  <r>
    <x v="1"/>
    <d v="2022-04-29T00:00:00"/>
    <s v="AC 0429-22"/>
    <x v="6"/>
    <s v="-Installation of 7 RAB projectors.  -Pvc pipes, boxes wp(weather proof), T 90 wires, breakers.  ..."/>
    <m/>
    <m/>
    <s v="11001 · Accounts Receivable"/>
    <x v="7"/>
    <n v="63986.18"/>
  </r>
  <r>
    <x v="1"/>
    <d v="2022-04-29T00:00:00"/>
    <s v="AC 0429-22"/>
    <x v="6"/>
    <s v="-10% Discount"/>
    <m/>
    <m/>
    <s v="11001 · Accounts Receivable"/>
    <x v="8"/>
    <n v="63257.56"/>
  </r>
  <r>
    <x v="1"/>
    <d v="2022-05-31T00:00:00"/>
    <s v="AC0427-23"/>
    <x v="7"/>
    <s v="Removals"/>
    <m/>
    <m/>
    <s v="11001 · Accounts Receivable"/>
    <x v="9"/>
    <n v="64232.56"/>
  </r>
  <r>
    <x v="1"/>
    <d v="2022-06-03T00:00:00"/>
    <s v="AC 0224"/>
    <x v="8"/>
    <m/>
    <m/>
    <m/>
    <s v="11001 · Accounts Receivable"/>
    <x v="10"/>
    <n v="65728.259999999995"/>
  </r>
  <r>
    <x v="1"/>
    <d v="2022-06-06T00:00:00"/>
    <s v="AC 062422"/>
    <x v="9"/>
    <m/>
    <m/>
    <m/>
    <s v="11001 · Accounts Receivable"/>
    <x v="11"/>
    <n v="66364.259999999995"/>
  </r>
  <r>
    <x v="1"/>
    <d v="2022-06-06T00:00:00"/>
    <s v="AC M-160"/>
    <x v="9"/>
    <m/>
    <m/>
    <m/>
    <s v="11001 · Accounts Receivable"/>
    <x v="12"/>
    <n v="66996.81"/>
  </r>
  <r>
    <x v="1"/>
    <d v="2022-06-06T00:00:00"/>
    <s v="AC L-256"/>
    <x v="9"/>
    <m/>
    <m/>
    <m/>
    <s v="11001 · Accounts Receivable"/>
    <x v="13"/>
    <n v="67616.41"/>
  </r>
  <r>
    <x v="1"/>
    <d v="2022-06-06T00:00:00"/>
    <s v="AC L-755"/>
    <x v="9"/>
    <m/>
    <m/>
    <m/>
    <s v="11001 · Accounts Receivable"/>
    <x v="14"/>
    <n v="68348.639999999999"/>
  </r>
  <r>
    <x v="1"/>
    <d v="2022-06-07T00:00:00"/>
    <s v="AC 0951"/>
    <x v="8"/>
    <m/>
    <m/>
    <m/>
    <s v="11001 · Accounts Receivable"/>
    <x v="15"/>
    <n v="68548.639999999999"/>
  </r>
  <r>
    <x v="1"/>
    <d v="2022-06-07T00:00:00"/>
    <s v="AC 06-07-22"/>
    <x v="9"/>
    <m/>
    <m/>
    <m/>
    <s v="11001 · Accounts Receivable"/>
    <x v="16"/>
    <n v="68939.600000000006"/>
  </r>
  <r>
    <x v="1"/>
    <d v="2022-06-07T00:00:00"/>
    <s v="AC L-1004"/>
    <x v="9"/>
    <m/>
    <m/>
    <m/>
    <s v="11001 · Accounts Receivable"/>
    <x v="17"/>
    <n v="69067.850000000006"/>
  </r>
  <r>
    <x v="1"/>
    <d v="2022-06-07T00:00:00"/>
    <s v="0951"/>
    <x v="8"/>
    <m/>
    <m/>
    <m/>
    <s v="11001 · Accounts Receivable"/>
    <x v="15"/>
    <n v="69267.850000000006"/>
  </r>
  <r>
    <x v="1"/>
    <d v="2022-06-08T00:00:00"/>
    <s v="07-01-30AC"/>
    <x v="9"/>
    <m/>
    <m/>
    <m/>
    <s v="11001 · Accounts Receivable"/>
    <x v="17"/>
    <n v="69396.100000000006"/>
  </r>
  <r>
    <x v="1"/>
    <d v="2022-06-10T00:00:00"/>
    <s v="AC 06-10-22"/>
    <x v="9"/>
    <m/>
    <m/>
    <m/>
    <s v="11001 · Accounts Receivable"/>
    <x v="18"/>
    <n v="70293.850000000006"/>
  </r>
  <r>
    <x v="1"/>
    <d v="2022-06-13T00:00:00"/>
    <s v="AC06-132209"/>
    <x v="10"/>
    <s v="Churchill Meadows CC Mississauga - Supply and install 2 x “SPEC / IDAS – A7810 data loggers comp..."/>
    <m/>
    <m/>
    <s v="11001 · Accounts Receivable"/>
    <x v="19"/>
    <n v="78493.850000000006"/>
  </r>
  <r>
    <x v="1"/>
    <d v="2022-06-13T00:00:00"/>
    <s v="AC 06-13-22"/>
    <x v="9"/>
    <m/>
    <m/>
    <m/>
    <s v="11001 · Accounts Receivable"/>
    <x v="20"/>
    <n v="79306.87"/>
  </r>
  <r>
    <x v="1"/>
    <d v="2022-06-13T00:00:00"/>
    <s v="0692"/>
    <x v="8"/>
    <m/>
    <m/>
    <m/>
    <s v="11001 · Accounts Receivable"/>
    <x v="21"/>
    <n v="79546.87"/>
  </r>
  <r>
    <x v="1"/>
    <d v="2022-06-14T00:00:00"/>
    <s v="AC 14-06-22"/>
    <x v="9"/>
    <m/>
    <m/>
    <m/>
    <s v="11001 · Accounts Receivable"/>
    <x v="22"/>
    <n v="79942.28"/>
  </r>
  <r>
    <x v="1"/>
    <d v="2022-06-14T00:00:00"/>
    <s v="AC 14-06-23"/>
    <x v="9"/>
    <m/>
    <m/>
    <m/>
    <s v="11001 · Accounts Receivable"/>
    <x v="23"/>
    <n v="80489.84"/>
  </r>
  <r>
    <x v="1"/>
    <d v="2022-06-15T00:00:00"/>
    <s v="AC 06-15-22"/>
    <x v="9"/>
    <m/>
    <m/>
    <m/>
    <s v="11001 · Accounts Receivable"/>
    <x v="24"/>
    <n v="81066.679999999993"/>
  </r>
  <r>
    <x v="1"/>
    <d v="2022-06-15T00:00:00"/>
    <s v="AC 06-06-22"/>
    <x v="9"/>
    <m/>
    <m/>
    <m/>
    <s v="11001 · Accounts Receivable"/>
    <x v="25"/>
    <n v="82046.429999999993"/>
  </r>
  <r>
    <x v="1"/>
    <d v="2022-06-15T00:00:00"/>
    <s v="AC 22-15-06"/>
    <x v="9"/>
    <m/>
    <m/>
    <m/>
    <s v="11001 · Accounts Receivable"/>
    <x v="26"/>
    <n v="82890.55"/>
  </r>
  <r>
    <x v="1"/>
    <d v="2022-06-16T00:00:00"/>
    <s v="AC 06-16-22"/>
    <x v="9"/>
    <m/>
    <m/>
    <m/>
    <s v="11001 · Accounts Receivable"/>
    <x v="27"/>
    <n v="83634.070000000007"/>
  </r>
  <r>
    <x v="1"/>
    <d v="2022-06-16T00:00:00"/>
    <s v="ACL-249"/>
    <x v="9"/>
    <m/>
    <m/>
    <m/>
    <s v="11001 · Accounts Receivable"/>
    <x v="28"/>
    <n v="83986.82"/>
  </r>
  <r>
    <x v="1"/>
    <d v="2022-06-20T00:00:00"/>
    <s v="AC 22-06-20"/>
    <x v="9"/>
    <m/>
    <m/>
    <m/>
    <s v="11001 · Accounts Receivable"/>
    <x v="29"/>
    <n v="84632.36"/>
  </r>
  <r>
    <x v="1"/>
    <d v="2022-06-21T00:00:00"/>
    <s v="AC 0952"/>
    <x v="8"/>
    <m/>
    <m/>
    <m/>
    <s v="11001 · Accounts Receivable"/>
    <x v="30"/>
    <n v="84882.36"/>
  </r>
  <r>
    <x v="1"/>
    <d v="2022-06-21T00:00:00"/>
    <s v="AC 0953"/>
    <x v="8"/>
    <m/>
    <m/>
    <m/>
    <s v="11001 · Accounts Receivable"/>
    <x v="30"/>
    <n v="85132.36"/>
  </r>
  <r>
    <x v="1"/>
    <d v="2022-06-21T00:00:00"/>
    <s v="AC 06-21-22"/>
    <x v="9"/>
    <m/>
    <m/>
    <m/>
    <s v="11001 · Accounts Receivable"/>
    <x v="31"/>
    <n v="85659.02"/>
  </r>
  <r>
    <x v="1"/>
    <d v="2022-06-21T00:00:00"/>
    <s v="0952"/>
    <x v="8"/>
    <m/>
    <m/>
    <m/>
    <s v="11001 · Accounts Receivable"/>
    <x v="30"/>
    <n v="85909.02"/>
  </r>
  <r>
    <x v="1"/>
    <d v="2022-06-21T00:00:00"/>
    <s v="0953"/>
    <x v="8"/>
    <m/>
    <m/>
    <m/>
    <s v="11001 · Accounts Receivable"/>
    <x v="30"/>
    <n v="86159.02"/>
  </r>
  <r>
    <x v="1"/>
    <d v="2022-06-24T00:00:00"/>
    <s v="AC 0903"/>
    <x v="8"/>
    <m/>
    <m/>
    <m/>
    <s v="11001 · Accounts Receivable"/>
    <x v="32"/>
    <n v="86299.02"/>
  </r>
  <r>
    <x v="1"/>
    <d v="2022-06-24T00:00:00"/>
    <s v="AC 0904"/>
    <x v="8"/>
    <m/>
    <m/>
    <m/>
    <s v="11001 · Accounts Receivable"/>
    <x v="33"/>
    <n v="88138.97"/>
  </r>
  <r>
    <x v="1"/>
    <d v="2022-06-24T00:00:00"/>
    <s v="07-01-27AC"/>
    <x v="9"/>
    <m/>
    <m/>
    <m/>
    <s v="11001 · Accounts Receivable"/>
    <x v="34"/>
    <n v="88904.53"/>
  </r>
  <r>
    <x v="1"/>
    <d v="2022-06-24T00:00:00"/>
    <s v="07-01-31AC"/>
    <x v="9"/>
    <m/>
    <m/>
    <m/>
    <s v="11001 · Accounts Receivable"/>
    <x v="12"/>
    <n v="89537.08"/>
  </r>
  <r>
    <x v="1"/>
    <d v="2022-06-24T00:00:00"/>
    <s v="0903"/>
    <x v="8"/>
    <m/>
    <m/>
    <m/>
    <s v="11001 · Accounts Receivable"/>
    <x v="32"/>
    <n v="89677.08"/>
  </r>
  <r>
    <x v="1"/>
    <d v="2022-06-24T00:00:00"/>
    <s v="0904"/>
    <x v="8"/>
    <m/>
    <m/>
    <m/>
    <s v="11001 · Accounts Receivable"/>
    <x v="33"/>
    <n v="91517.03"/>
  </r>
  <r>
    <x v="1"/>
    <d v="2022-06-27T00:00:00"/>
    <s v="AC 0694"/>
    <x v="8"/>
    <m/>
    <m/>
    <m/>
    <s v="11001 · Accounts Receivable"/>
    <x v="35"/>
    <n v="92406.87"/>
  </r>
  <r>
    <x v="1"/>
    <d v="2022-06-27T00:00:00"/>
    <s v="0694"/>
    <x v="8"/>
    <m/>
    <m/>
    <m/>
    <s v="11001 · Accounts Receivable"/>
    <x v="35"/>
    <n v="93296.71"/>
  </r>
  <r>
    <x v="1"/>
    <d v="2022-06-29T00:00:00"/>
    <s v="AC 0954"/>
    <x v="8"/>
    <m/>
    <m/>
    <m/>
    <s v="11001 · Accounts Receivable"/>
    <x v="36"/>
    <n v="94596.71"/>
  </r>
  <r>
    <x v="1"/>
    <d v="2022-06-29T00:00:00"/>
    <s v="0954"/>
    <x v="8"/>
    <m/>
    <m/>
    <m/>
    <s v="11001 · Accounts Receivable"/>
    <x v="36"/>
    <n v="95896.71"/>
  </r>
  <r>
    <x v="1"/>
    <d v="2022-07-01T00:00:00"/>
    <s v="07-01-22AC"/>
    <x v="11"/>
    <s v="AUTOMATION SYSTEM FOR EXHAUST FAN, MAKE UP AIR UNIT"/>
    <m/>
    <m/>
    <s v="11001 · Accounts Receivable"/>
    <x v="37"/>
    <n v="98396.71"/>
  </r>
  <r>
    <x v="1"/>
    <d v="2022-07-01T00:00:00"/>
    <s v="07-01-22AC"/>
    <x v="11"/>
    <s v="COMPUTER CABLE  AND ACCESSORIES"/>
    <m/>
    <m/>
    <s v="11001 · Accounts Receivable"/>
    <x v="38"/>
    <n v="98454.71"/>
  </r>
  <r>
    <x v="1"/>
    <d v="2022-07-01T00:00:00"/>
    <s v="07-01-23AC"/>
    <x v="12"/>
    <s v="AUTOMATION SYSTEM INSTALL"/>
    <m/>
    <m/>
    <s v="11001 · Accounts Receivable"/>
    <x v="39"/>
    <n v="98454.71"/>
  </r>
  <r>
    <x v="1"/>
    <d v="2022-07-01T00:00:00"/>
    <s v="07-01-23AC"/>
    <x v="12"/>
    <s v="RECONNECTING EMT"/>
    <m/>
    <m/>
    <s v="11001 · Accounts Receivable"/>
    <x v="39"/>
    <n v="98454.71"/>
  </r>
  <r>
    <x v="1"/>
    <d v="2022-07-01T00:00:00"/>
    <s v="07-01-23AC"/>
    <x v="12"/>
    <m/>
    <m/>
    <m/>
    <s v="11001 · Accounts Receivable"/>
    <x v="40"/>
    <n v="100454.71"/>
  </r>
  <r>
    <x v="1"/>
    <d v="2022-07-01T00:00:00"/>
    <s v="0957"/>
    <x v="9"/>
    <m/>
    <m/>
    <m/>
    <s v="11001 · Accounts Receivable"/>
    <x v="41"/>
    <n v="101017.26"/>
  </r>
  <r>
    <x v="1"/>
    <d v="2022-07-01T00:00:00"/>
    <s v="0959"/>
    <x v="9"/>
    <m/>
    <m/>
    <m/>
    <s v="11001 · Accounts Receivable"/>
    <x v="42"/>
    <n v="102061.34"/>
  </r>
  <r>
    <x v="1"/>
    <d v="2022-07-01T00:00:00"/>
    <s v="0962"/>
    <x v="9"/>
    <m/>
    <m/>
    <m/>
    <s v="11001 · Accounts Receivable"/>
    <x v="43"/>
    <n v="102916.12"/>
  </r>
  <r>
    <x v="1"/>
    <d v="2022-07-01T00:00:00"/>
    <s v="0966"/>
    <x v="9"/>
    <m/>
    <m/>
    <m/>
    <s v="11001 · Accounts Receivable"/>
    <x v="44"/>
    <n v="103648.26"/>
  </r>
  <r>
    <x v="1"/>
    <d v="2022-07-01T00:00:00"/>
    <s v="0967"/>
    <x v="9"/>
    <m/>
    <m/>
    <m/>
    <s v="11001 · Accounts Receivable"/>
    <x v="45"/>
    <n v="104314.67"/>
  </r>
  <r>
    <x v="1"/>
    <d v="2022-07-01T00:00:00"/>
    <s v="0968"/>
    <x v="9"/>
    <m/>
    <m/>
    <m/>
    <s v="11001 · Accounts Receivable"/>
    <x v="46"/>
    <n v="104737.79"/>
  </r>
  <r>
    <x v="1"/>
    <d v="2022-07-01T00:00:00"/>
    <s v="0970"/>
    <x v="9"/>
    <m/>
    <m/>
    <m/>
    <s v="11001 · Accounts Receivable"/>
    <x v="47"/>
    <n v="105354.09"/>
  </r>
  <r>
    <x v="1"/>
    <d v="2022-07-01T00:00:00"/>
    <s v="0971"/>
    <x v="9"/>
    <m/>
    <m/>
    <m/>
    <s v="11001 · Accounts Receivable"/>
    <x v="48"/>
    <n v="105797.89"/>
  </r>
  <r>
    <x v="1"/>
    <d v="2022-07-01T00:00:00"/>
    <s v="0973"/>
    <x v="9"/>
    <m/>
    <m/>
    <m/>
    <s v="11001 · Accounts Receivable"/>
    <x v="49"/>
    <n v="105921.81"/>
  </r>
  <r>
    <x v="1"/>
    <d v="2022-07-01T00:00:00"/>
    <s v="0974"/>
    <x v="9"/>
    <m/>
    <m/>
    <m/>
    <s v="11001 · Accounts Receivable"/>
    <x v="50"/>
    <n v="106468.07"/>
  </r>
  <r>
    <x v="1"/>
    <d v="2022-07-01T00:00:00"/>
    <s v="0975"/>
    <x v="9"/>
    <m/>
    <m/>
    <m/>
    <s v="11001 · Accounts Receivable"/>
    <x v="51"/>
    <n v="107120.12"/>
  </r>
  <r>
    <x v="1"/>
    <d v="2022-07-01T00:00:00"/>
    <s v="0977"/>
    <x v="9"/>
    <m/>
    <m/>
    <m/>
    <s v="11001 · Accounts Receivable"/>
    <x v="52"/>
    <n v="107922.26"/>
  </r>
  <r>
    <x v="1"/>
    <d v="2022-07-01T00:00:00"/>
    <s v="0978"/>
    <x v="9"/>
    <m/>
    <m/>
    <m/>
    <s v="11001 · Accounts Receivable"/>
    <x v="53"/>
    <n v="108468.56"/>
  </r>
  <r>
    <x v="1"/>
    <d v="2022-07-01T00:00:00"/>
    <s v="0979"/>
    <x v="9"/>
    <m/>
    <m/>
    <m/>
    <s v="11001 · Accounts Receivable"/>
    <x v="53"/>
    <n v="109014.86"/>
  </r>
  <r>
    <x v="1"/>
    <d v="2022-07-01T00:00:00"/>
    <s v="0980"/>
    <x v="8"/>
    <m/>
    <m/>
    <m/>
    <s v="11001 · Accounts Receivable"/>
    <x v="54"/>
    <n v="112024.36"/>
  </r>
  <r>
    <x v="1"/>
    <d v="2022-07-01T00:00:00"/>
    <s v="0981"/>
    <x v="8"/>
    <m/>
    <m/>
    <m/>
    <s v="11001 · Accounts Receivable"/>
    <x v="55"/>
    <n v="112454.3"/>
  </r>
  <r>
    <x v="1"/>
    <d v="2022-07-01T00:00:00"/>
    <s v="0982"/>
    <x v="8"/>
    <m/>
    <m/>
    <m/>
    <s v="11001 · Accounts Receivable"/>
    <x v="56"/>
    <n v="113006.91"/>
  </r>
  <r>
    <x v="1"/>
    <d v="2022-07-01T00:00:00"/>
    <s v="0983"/>
    <x v="8"/>
    <m/>
    <m/>
    <m/>
    <s v="11001 · Accounts Receivable"/>
    <x v="57"/>
    <n v="114214.55"/>
  </r>
  <r>
    <x v="1"/>
    <d v="2022-07-01T00:00:00"/>
    <s v="0984"/>
    <x v="8"/>
    <m/>
    <m/>
    <m/>
    <s v="11001 · Accounts Receivable"/>
    <x v="58"/>
    <n v="114723.03"/>
  </r>
  <r>
    <x v="1"/>
    <d v="2022-07-01T00:00:00"/>
    <s v="0985"/>
    <x v="8"/>
    <m/>
    <m/>
    <m/>
    <s v="11001 · Accounts Receivable"/>
    <x v="59"/>
    <n v="116869.99"/>
  </r>
  <r>
    <x v="1"/>
    <d v="2022-07-01T00:00:00"/>
    <s v="0986"/>
    <x v="8"/>
    <m/>
    <m/>
    <m/>
    <s v="11001 · Accounts Receivable"/>
    <x v="60"/>
    <n v="118165.69"/>
  </r>
  <r>
    <x v="1"/>
    <d v="2022-07-01T00:00:00"/>
    <s v="0987"/>
    <x v="8"/>
    <m/>
    <m/>
    <m/>
    <s v="11001 · Accounts Receivable"/>
    <x v="61"/>
    <n v="119888.74"/>
  </r>
  <r>
    <x v="1"/>
    <d v="2022-07-01T00:00:00"/>
    <s v="1003"/>
    <x v="8"/>
    <s v="5-212 pellatt ave"/>
    <m/>
    <m/>
    <s v="11001 · Accounts Receivable"/>
    <x v="62"/>
    <n v="121388.74"/>
  </r>
  <r>
    <x v="1"/>
    <d v="2022-07-01T00:00:00"/>
    <s v="1003"/>
    <x v="8"/>
    <s v="1 wexford"/>
    <m/>
    <m/>
    <s v="11001 · Accounts Receivable"/>
    <x v="63"/>
    <n v="122194.34"/>
  </r>
  <r>
    <x v="1"/>
    <d v="2022-07-01T00:00:00"/>
    <s v="ac22-07-18"/>
    <x v="9"/>
    <m/>
    <m/>
    <m/>
    <s v="11001 · Accounts Receivable"/>
    <x v="64"/>
    <n v="123124.92"/>
  </r>
  <r>
    <x v="1"/>
    <d v="2022-07-01T00:00:00"/>
    <s v="ac22-07-19"/>
    <x v="9"/>
    <m/>
    <m/>
    <m/>
    <s v="11001 · Accounts Receivable"/>
    <x v="65"/>
    <n v="123690.42"/>
  </r>
  <r>
    <x v="1"/>
    <d v="2022-07-01T00:00:00"/>
    <s v="ac22-07-20"/>
    <x v="9"/>
    <m/>
    <m/>
    <m/>
    <s v="11001 · Accounts Receivable"/>
    <x v="66"/>
    <n v="123926.88"/>
  </r>
  <r>
    <x v="1"/>
    <d v="2022-07-01T00:00:00"/>
    <s v="AC L-1006"/>
    <x v="9"/>
    <m/>
    <m/>
    <m/>
    <s v="11001 · Accounts Receivable"/>
    <x v="53"/>
    <n v="124473.18"/>
  </r>
  <r>
    <x v="1"/>
    <d v="2022-07-01T00:00:00"/>
    <s v="328 N RIVER"/>
    <x v="9"/>
    <m/>
    <m/>
    <m/>
    <s v="11001 · Accounts Receivable"/>
    <x v="67"/>
    <n v="124973.75999999999"/>
  </r>
  <r>
    <x v="1"/>
    <d v="2022-07-01T00:00:00"/>
    <s v="34B MCIN"/>
    <x v="9"/>
    <m/>
    <m/>
    <m/>
    <s v="11001 · Accounts Receivable"/>
    <x v="20"/>
    <n v="125786.78"/>
  </r>
  <r>
    <x v="1"/>
    <d v="2022-07-01T00:00:00"/>
    <s v="2458 KINGST"/>
    <x v="9"/>
    <m/>
    <m/>
    <m/>
    <s v="11001 · Accounts Receivable"/>
    <x v="68"/>
    <n v="126013.3"/>
  </r>
  <r>
    <x v="1"/>
    <d v="2022-07-01T00:00:00"/>
    <s v="21 ESSA"/>
    <x v="9"/>
    <m/>
    <m/>
    <m/>
    <s v="11001 · Accounts Receivable"/>
    <x v="69"/>
    <n v="126880.74"/>
  </r>
  <r>
    <x v="1"/>
    <d v="2022-07-02T00:00:00"/>
    <s v="0988"/>
    <x v="9"/>
    <m/>
    <m/>
    <m/>
    <s v="11001 · Accounts Receivable"/>
    <x v="70"/>
    <n v="127398.29"/>
  </r>
  <r>
    <x v="1"/>
    <d v="2022-07-02T00:00:00"/>
    <s v="0991"/>
    <x v="9"/>
    <m/>
    <m/>
    <m/>
    <s v="11001 · Accounts Receivable"/>
    <x v="71"/>
    <n v="128261.58"/>
  </r>
  <r>
    <x v="1"/>
    <d v="2022-07-02T00:00:00"/>
    <s v="0992"/>
    <x v="9"/>
    <m/>
    <m/>
    <m/>
    <s v="11001 · Accounts Receivable"/>
    <x v="72"/>
    <n v="129062.11"/>
  </r>
  <r>
    <x v="1"/>
    <d v="2022-07-02T00:00:00"/>
    <s v="0993"/>
    <x v="9"/>
    <m/>
    <m/>
    <m/>
    <s v="11001 · Accounts Receivable"/>
    <x v="53"/>
    <n v="129608.41"/>
  </r>
  <r>
    <x v="1"/>
    <d v="2022-07-02T00:00:00"/>
    <s v="0994"/>
    <x v="9"/>
    <m/>
    <m/>
    <m/>
    <s v="11001 · Accounts Receivable"/>
    <x v="73"/>
    <n v="130477.7"/>
  </r>
  <r>
    <x v="1"/>
    <d v="2022-07-02T00:00:00"/>
    <s v="0995"/>
    <x v="9"/>
    <m/>
    <m/>
    <m/>
    <s v="11001 · Accounts Receivable"/>
    <x v="74"/>
    <n v="131843.85999999999"/>
  </r>
  <r>
    <x v="1"/>
    <d v="2022-07-02T00:00:00"/>
    <s v="0996"/>
    <x v="9"/>
    <m/>
    <m/>
    <m/>
    <s v="11001 · Accounts Receivable"/>
    <x v="75"/>
    <n v="132913.59"/>
  </r>
  <r>
    <x v="1"/>
    <d v="2022-07-02T00:00:00"/>
    <s v="0998"/>
    <x v="9"/>
    <m/>
    <m/>
    <m/>
    <s v="11001 · Accounts Receivable"/>
    <x v="76"/>
    <n v="133006.53"/>
  </r>
  <r>
    <x v="1"/>
    <d v="2022-07-02T00:00:00"/>
    <s v="0999"/>
    <x v="9"/>
    <m/>
    <m/>
    <m/>
    <s v="11001 · Accounts Receivable"/>
    <x v="77"/>
    <n v="133565.43"/>
  </r>
  <r>
    <x v="1"/>
    <d v="2022-07-02T00:00:00"/>
    <s v="1000"/>
    <x v="9"/>
    <m/>
    <m/>
    <m/>
    <s v="11001 · Accounts Receivable"/>
    <x v="78"/>
    <n v="134438.88"/>
  </r>
  <r>
    <x v="1"/>
    <d v="2022-07-02T00:00:00"/>
    <s v="1001"/>
    <x v="9"/>
    <m/>
    <m/>
    <m/>
    <s v="11001 · Accounts Receivable"/>
    <x v="79"/>
    <n v="134592.78"/>
  </r>
  <r>
    <x v="1"/>
    <d v="2022-07-02T00:00:00"/>
    <s v="AC L-1007"/>
    <x v="9"/>
    <m/>
    <m/>
    <m/>
    <s v="11001 · Accounts Receivable"/>
    <x v="80"/>
    <n v="135068.98000000001"/>
  </r>
  <r>
    <x v="1"/>
    <d v="2022-07-02T00:00:00"/>
    <s v="AC L-1008"/>
    <x v="9"/>
    <m/>
    <m/>
    <m/>
    <s v="11001 · Accounts Receivable"/>
    <x v="27"/>
    <n v="135812.5"/>
  </r>
  <r>
    <x v="1"/>
    <d v="2022-07-03T00:00:00"/>
    <s v="0224"/>
    <x v="8"/>
    <m/>
    <m/>
    <m/>
    <s v="11001 · Accounts Receivable"/>
    <x v="10"/>
    <n v="137308.20000000001"/>
  </r>
  <r>
    <x v="1"/>
    <d v="2022-07-04T00:00:00"/>
    <s v="0955"/>
    <x v="8"/>
    <m/>
    <m/>
    <m/>
    <s v="11001 · Accounts Receivable"/>
    <x v="81"/>
    <n v="142138.34"/>
  </r>
  <r>
    <x v="1"/>
    <d v="2022-07-04T00:00:00"/>
    <s v="ac22-07-14"/>
    <x v="9"/>
    <m/>
    <m/>
    <m/>
    <s v="11001 · Accounts Receivable"/>
    <x v="82"/>
    <n v="142976.69"/>
  </r>
  <r>
    <x v="1"/>
    <d v="2022-07-04T00:00:00"/>
    <s v="ac22-07-15"/>
    <x v="9"/>
    <m/>
    <m/>
    <m/>
    <s v="11001 · Accounts Receivable"/>
    <x v="83"/>
    <n v="143444.13"/>
  </r>
  <r>
    <x v="1"/>
    <d v="2022-07-04T00:00:00"/>
    <s v="ac22-07-16"/>
    <x v="9"/>
    <m/>
    <m/>
    <m/>
    <s v="11001 · Accounts Receivable"/>
    <x v="39"/>
    <n v="143444.13"/>
  </r>
  <r>
    <x v="1"/>
    <d v="2022-07-04T00:00:00"/>
    <s v="ac22-07-17"/>
    <x v="9"/>
    <m/>
    <m/>
    <m/>
    <s v="11001 · Accounts Receivable"/>
    <x v="84"/>
    <n v="143728.82999999999"/>
  </r>
  <r>
    <x v="1"/>
    <d v="2022-07-04T00:00:00"/>
    <s v="2860 DENISO"/>
    <x v="9"/>
    <m/>
    <m/>
    <m/>
    <s v="11001 · Accounts Receivable"/>
    <x v="82"/>
    <n v="144567.18"/>
  </r>
  <r>
    <x v="1"/>
    <d v="2022-07-04T00:00:00"/>
    <s v="2351 FINCH"/>
    <x v="9"/>
    <m/>
    <m/>
    <m/>
    <s v="11001 · Accounts Receivable"/>
    <x v="85"/>
    <n v="145153.48000000001"/>
  </r>
  <r>
    <x v="1"/>
    <d v="2022-07-07T00:00:00"/>
    <s v="AC L-1010"/>
    <x v="9"/>
    <m/>
    <m/>
    <m/>
    <s v="11001 · Accounts Receivable"/>
    <x v="76"/>
    <n v="145246.42000000001"/>
  </r>
  <r>
    <x v="1"/>
    <d v="2022-07-07T00:00:00"/>
    <s v="AC L-1011"/>
    <x v="9"/>
    <m/>
    <m/>
    <m/>
    <s v="11001 · Accounts Receivable"/>
    <x v="80"/>
    <n v="145722.62"/>
  </r>
  <r>
    <x v="1"/>
    <d v="2022-07-07T00:00:00"/>
    <s v="AC L-1012"/>
    <x v="9"/>
    <m/>
    <m/>
    <m/>
    <s v="11001 · Accounts Receivable"/>
    <x v="86"/>
    <n v="145953.47"/>
  </r>
  <r>
    <x v="1"/>
    <d v="2022-07-09T00:00:00"/>
    <s v="460 GARYRAY"/>
    <x v="9"/>
    <m/>
    <m/>
    <m/>
    <s v="11001 · Accounts Receivable"/>
    <x v="87"/>
    <n v="146854.99"/>
  </r>
  <r>
    <x v="1"/>
    <d v="2022-07-11T00:00:00"/>
    <s v="2760 DERRY"/>
    <x v="9"/>
    <m/>
    <m/>
    <m/>
    <s v="11001 · Accounts Receivable"/>
    <x v="49"/>
    <n v="146978.91"/>
  </r>
  <r>
    <x v="1"/>
    <d v="2022-07-11T00:00:00"/>
    <s v="0905"/>
    <x v="8"/>
    <m/>
    <m/>
    <m/>
    <s v="11001 · Accounts Receivable"/>
    <x v="60"/>
    <n v="148274.60999999999"/>
  </r>
  <r>
    <x v="1"/>
    <d v="2022-07-12T00:00:00"/>
    <s v="0989"/>
    <x v="9"/>
    <m/>
    <m/>
    <m/>
    <s v="11001 · Accounts Receivable"/>
    <x v="88"/>
    <n v="149376.60999999999"/>
  </r>
  <r>
    <x v="1"/>
    <d v="2022-07-12T00:00:00"/>
    <s v="AC L-1009"/>
    <x v="9"/>
    <m/>
    <m/>
    <m/>
    <s v="11001 · Accounts Receivable"/>
    <x v="27"/>
    <n v="150120.13"/>
  </r>
  <r>
    <x v="1"/>
    <d v="2022-07-12T00:00:00"/>
    <s v="AC L-1013"/>
    <x v="9"/>
    <m/>
    <m/>
    <m/>
    <s v="11001 · Accounts Receivable"/>
    <x v="89"/>
    <n v="150484.32999999999"/>
  </r>
  <r>
    <x v="1"/>
    <d v="2022-07-12T00:00:00"/>
    <s v="AC L-1014"/>
    <x v="9"/>
    <m/>
    <m/>
    <m/>
    <s v="11001 · Accounts Receivable"/>
    <x v="90"/>
    <n v="151092.54999999999"/>
  </r>
  <r>
    <x v="1"/>
    <d v="2022-07-12T00:00:00"/>
    <s v="17 TANNERY"/>
    <x v="9"/>
    <m/>
    <m/>
    <m/>
    <s v="11001 · Accounts Receivable"/>
    <x v="91"/>
    <n v="151319.21"/>
  </r>
  <r>
    <x v="1"/>
    <d v="2022-07-12T00:00:00"/>
    <s v="1634 EGLINT"/>
    <x v="9"/>
    <m/>
    <m/>
    <m/>
    <s v="11001 · Accounts Receivable"/>
    <x v="89"/>
    <n v="151683.41"/>
  </r>
  <r>
    <x v="1"/>
    <d v="2022-07-12T00:00:00"/>
    <s v="1253 KENNED"/>
    <x v="9"/>
    <m/>
    <m/>
    <m/>
    <s v="11001 · Accounts Receivable"/>
    <x v="80"/>
    <n v="152159.60999999999"/>
  </r>
  <r>
    <x v="1"/>
    <d v="2022-07-14T00:00:00"/>
    <s v="ac22-07-14"/>
    <x v="9"/>
    <m/>
    <m/>
    <m/>
    <s v="11001 · Accounts Receivable"/>
    <x v="92"/>
    <n v="152602.99"/>
  </r>
  <r>
    <x v="1"/>
    <d v="2022-07-14T00:00:00"/>
    <s v="0967"/>
    <x v="13"/>
    <s v="-ARRANGING ALL CABLES AND PANELS  -REMOVING AND RECYCLING ALL UNWANTED WIRES AND RECEPTACLES.  -..."/>
    <m/>
    <m/>
    <s v="11001 · Accounts Receivable"/>
    <x v="39"/>
    <n v="152602.99"/>
  </r>
  <r>
    <x v="1"/>
    <d v="2022-07-14T00:00:00"/>
    <s v="0967"/>
    <x v="13"/>
    <s v="-2 DAYS WORKING LABOUR AND MATERIAL   -OPTIONS ( NOT INCLUDED IN THE ORIGINAL OFFER ).  -REMOVE ..."/>
    <m/>
    <m/>
    <s v="11001 · Accounts Receivable"/>
    <x v="93"/>
    <n v="154202.99"/>
  </r>
  <r>
    <x v="1"/>
    <d v="2022-07-14T00:00:00"/>
    <s v="0967"/>
    <x v="13"/>
    <s v="-REMOVING FLUORESCENT 8' FIXTURES IN THE BACK AREA ( NO JUNK ). LABOUR AND MATERIAL ."/>
    <m/>
    <m/>
    <s v="11001 · Accounts Receivable"/>
    <x v="94"/>
    <n v="154602.99"/>
  </r>
  <r>
    <x v="1"/>
    <d v="2022-07-14T00:00:00"/>
    <s v="0967"/>
    <x v="13"/>
    <s v="-REPLACING ALL SWITCHES AND RECEPTACLES IN THE OFFICES AREA. LABOUR AND MATERIAL."/>
    <m/>
    <m/>
    <s v="11001 · Accounts Receivable"/>
    <x v="95"/>
    <n v="155202.99"/>
  </r>
  <r>
    <x v="1"/>
    <d v="2022-07-14T00:00:00"/>
    <s v="0967"/>
    <x v="13"/>
    <s v="-EXIT SIGNS AND EMERGENCY LIGHTS IN THE WHOLE AREA ACCORDING TO THE ELECTRICAL BUILDING CODE IN ..."/>
    <m/>
    <m/>
    <s v="11001 · Accounts Receivable"/>
    <x v="37"/>
    <n v="157702.99"/>
  </r>
  <r>
    <x v="1"/>
    <d v="2022-07-14T00:00:00"/>
    <s v="0968"/>
    <x v="14"/>
    <s v="SCOPE OF WORK:   ELECTRICAL INSTALLATION AS PER THE DRAWINGS   THE OFFER EXCLUDES:   "/>
    <m/>
    <m/>
    <s v="11001 · Accounts Receivable"/>
    <x v="39"/>
    <n v="157702.99"/>
  </r>
  <r>
    <x v="1"/>
    <d v="2022-07-14T00:00:00"/>
    <s v="0968"/>
    <x v="14"/>
    <s v="1- AUTOMATIC DOORS INSTALLATION   2- COMPUTER CABLES INSTALLATION  3- MAIN TRANSFORMER"/>
    <m/>
    <m/>
    <s v="11001 · Accounts Receivable"/>
    <x v="39"/>
    <n v="157702.99"/>
  </r>
  <r>
    <x v="1"/>
    <d v="2022-07-14T00:00:00"/>
    <s v="0968"/>
    <x v="14"/>
    <m/>
    <m/>
    <m/>
    <s v="11001 · Accounts Receivable"/>
    <x v="96"/>
    <n v="177702.99"/>
  </r>
  <r>
    <x v="1"/>
    <d v="2022-07-14T00:00:00"/>
    <s v="0971"/>
    <x v="4"/>
    <m/>
    <m/>
    <m/>
    <s v="11001 · Accounts Receivable"/>
    <x v="97"/>
    <n v="185853.43"/>
  </r>
  <r>
    <x v="1"/>
    <d v="2022-07-15T00:00:00"/>
    <s v="1060"/>
    <x v="8"/>
    <m/>
    <m/>
    <m/>
    <s v="11001 · Accounts Receivable"/>
    <x v="63"/>
    <n v="186659.03"/>
  </r>
  <r>
    <x v="1"/>
    <d v="2022-07-17T00:00:00"/>
    <s v="1054"/>
    <x v="8"/>
    <m/>
    <m/>
    <m/>
    <s v="11001 · Accounts Receivable"/>
    <x v="98"/>
    <n v="186747.29"/>
  </r>
  <r>
    <x v="1"/>
    <d v="2022-07-18T00:00:00"/>
    <s v="0956"/>
    <x v="8"/>
    <m/>
    <m/>
    <m/>
    <s v="11001 · Accounts Receivable"/>
    <x v="30"/>
    <n v="186997.29"/>
  </r>
  <r>
    <x v="1"/>
    <d v="2022-07-19T00:00:00"/>
    <s v="0010/0009"/>
    <x v="8"/>
    <m/>
    <m/>
    <m/>
    <s v="11001 · Accounts Receivable"/>
    <x v="59"/>
    <n v="189144.25"/>
  </r>
  <r>
    <x v="1"/>
    <d v="2022-07-20T00:00:00"/>
    <s v="1 WEXFORD"/>
    <x v="9"/>
    <m/>
    <m/>
    <m/>
    <s v="11001 · Accounts Receivable"/>
    <x v="87"/>
    <n v="190045.77"/>
  </r>
  <r>
    <x v="1"/>
    <d v="2022-07-20T00:00:00"/>
    <s v="1355 ARTISA"/>
    <x v="9"/>
    <m/>
    <m/>
    <m/>
    <s v="11001 · Accounts Receivable"/>
    <x v="99"/>
    <n v="190580.77"/>
  </r>
  <r>
    <x v="1"/>
    <d v="2022-07-20T00:00:00"/>
    <s v="0957"/>
    <x v="8"/>
    <m/>
    <m/>
    <m/>
    <s v="11001 · Accounts Receivable"/>
    <x v="100"/>
    <n v="192304.22"/>
  </r>
  <r>
    <x v="1"/>
    <d v="2022-07-20T00:00:00"/>
    <s v="0907"/>
    <x v="8"/>
    <m/>
    <m/>
    <m/>
    <s v="11001 · Accounts Receivable"/>
    <x v="58"/>
    <n v="192812.7"/>
  </r>
  <r>
    <x v="1"/>
    <d v="2022-07-22T00:00:00"/>
    <s v="0901/0902"/>
    <x v="8"/>
    <m/>
    <m/>
    <m/>
    <s v="11001 · Accounts Receivable"/>
    <x v="55"/>
    <n v="193242.64"/>
  </r>
  <r>
    <x v="1"/>
    <d v="2022-07-25T00:00:00"/>
    <s v="0909"/>
    <x v="8"/>
    <m/>
    <m/>
    <m/>
    <s v="11001 · Accounts Receivable"/>
    <x v="101"/>
    <n v="193814.68"/>
  </r>
  <r>
    <x v="1"/>
    <d v="2022-07-25T00:00:00"/>
    <s v="0011"/>
    <x v="8"/>
    <m/>
    <m/>
    <m/>
    <s v="11001 · Accounts Receivable"/>
    <x v="54"/>
    <n v="196824.18"/>
  </r>
  <r>
    <x v="1"/>
    <d v="2022-07-26T00:00:00"/>
    <s v="7025 MARKHA"/>
    <x v="9"/>
    <m/>
    <m/>
    <m/>
    <s v="11001 · Accounts Receivable"/>
    <x v="83"/>
    <n v="197291.62"/>
  </r>
  <r>
    <x v="1"/>
    <d v="2022-07-27T00:00:00"/>
    <s v="07-01-25AC"/>
    <x v="7"/>
    <m/>
    <m/>
    <m/>
    <s v="11001 · Accounts Receivable"/>
    <x v="102"/>
    <n v="199541.62"/>
  </r>
  <r>
    <x v="1"/>
    <d v="2022-07-27T00:00:00"/>
    <s v="2979 BLOOR"/>
    <x v="9"/>
    <m/>
    <m/>
    <m/>
    <s v="11001 · Accounts Receivable"/>
    <x v="103"/>
    <n v="199601.62"/>
  </r>
  <r>
    <x v="1"/>
    <d v="2022-07-29T00:00:00"/>
    <s v="AC N-2020"/>
    <x v="9"/>
    <m/>
    <m/>
    <m/>
    <s v="11001 · Accounts Receivable"/>
    <x v="104"/>
    <n v="199944.77"/>
  </r>
  <r>
    <x v="1"/>
    <d v="2022-07-29T00:00:00"/>
    <s v="AC N-2019"/>
    <x v="9"/>
    <m/>
    <m/>
    <m/>
    <s v="11001 · Accounts Receivable"/>
    <x v="105"/>
    <n v="200717.31"/>
  </r>
  <r>
    <x v="1"/>
    <d v="2022-07-29T00:00:00"/>
    <s v="AC N-1995"/>
    <x v="9"/>
    <m/>
    <m/>
    <m/>
    <s v="11001 · Accounts Receivable"/>
    <x v="106"/>
    <n v="201479.19"/>
  </r>
  <r>
    <x v="1"/>
    <d v="2022-07-29T00:00:00"/>
    <s v="AC N--891"/>
    <x v="9"/>
    <m/>
    <m/>
    <m/>
    <s v="11001 · Accounts Receivable"/>
    <x v="107"/>
    <n v="202411.29"/>
  </r>
  <r>
    <x v="1"/>
    <d v="2022-07-29T00:00:00"/>
    <s v="0908"/>
    <x v="8"/>
    <m/>
    <m/>
    <m/>
    <s v="11001 · Accounts Receivable"/>
    <x v="57"/>
    <n v="203618.93"/>
  </r>
  <r>
    <x v="1"/>
    <d v="2022-07-29T00:00:00"/>
    <s v="0650"/>
    <x v="8"/>
    <m/>
    <m/>
    <m/>
    <s v="11001 · Accounts Receivable"/>
    <x v="56"/>
    <n v="204171.54"/>
  </r>
  <r>
    <x v="1"/>
    <d v="2022-08-01T00:00:00"/>
    <s v="AC L-1005"/>
    <x v="15"/>
    <s v="REPLACE 6 LIGHT SWITCHES WITH COVERS ON WASHROOMS IN THE DRIVER BUILDING"/>
    <m/>
    <m/>
    <s v="11001 · Accounts Receivable"/>
    <x v="39"/>
    <n v="204171.54"/>
  </r>
  <r>
    <x v="1"/>
    <d v="2022-08-01T00:00:00"/>
    <s v="AC L-1005"/>
    <x v="15"/>
    <s v="THE COMPANY OUTSIDE SIGN"/>
    <m/>
    <m/>
    <s v="11001 · Accounts Receivable"/>
    <x v="39"/>
    <n v="204171.54"/>
  </r>
  <r>
    <x v="1"/>
    <d v="2022-08-01T00:00:00"/>
    <s v="AC L-1005"/>
    <x v="15"/>
    <s v="- REPLACE 8 LAMPS (F96 T8 841/SPX41)"/>
    <m/>
    <m/>
    <s v="11001 · Accounts Receivable"/>
    <x v="39"/>
    <n v="204171.54"/>
  </r>
  <r>
    <x v="1"/>
    <d v="2022-08-01T00:00:00"/>
    <s v="AC L-1005"/>
    <x v="15"/>
    <s v="-REPLACE BALAST (T8 347 FLOUR ELE BALLAST)"/>
    <m/>
    <m/>
    <s v="11001 · Accounts Receivable"/>
    <x v="39"/>
    <n v="204171.54"/>
  </r>
  <r>
    <x v="1"/>
    <d v="2022-08-01T00:00:00"/>
    <s v="AC L-1005"/>
    <x v="15"/>
    <s v="- SUPPLY AND INSTALL PHOTO CELL"/>
    <m/>
    <m/>
    <s v="11001 · Accounts Receivable"/>
    <x v="39"/>
    <n v="204171.54"/>
  </r>
  <r>
    <x v="1"/>
    <d v="2022-08-01T00:00:00"/>
    <s v="AC L-1005"/>
    <x v="15"/>
    <s v="REPLACE TARBIN FAN FOR WASHROOM IN THE BUILDING WITH NEW ONE"/>
    <m/>
    <m/>
    <s v="11001 · Accounts Receivable"/>
    <x v="39"/>
    <n v="204171.54"/>
  </r>
  <r>
    <x v="1"/>
    <d v="2022-08-01T00:00:00"/>
    <s v="AC L-1005"/>
    <x v="15"/>
    <m/>
    <m/>
    <m/>
    <s v="11001 · Accounts Receivable"/>
    <x v="108"/>
    <n v="206031.54"/>
  </r>
  <r>
    <x v="1"/>
    <d v="2022-08-02T00:00:00"/>
    <s v="91 PAT"/>
    <x v="9"/>
    <m/>
    <m/>
    <m/>
    <s v="11001 · Accounts Receivable"/>
    <x v="109"/>
    <n v="207189.27"/>
  </r>
  <r>
    <x v="1"/>
    <d v="2022-08-02T00:00:00"/>
    <s v="1055"/>
    <x v="8"/>
    <m/>
    <m/>
    <m/>
    <s v="11001 · Accounts Receivable"/>
    <x v="110"/>
    <n v="210385"/>
  </r>
  <r>
    <x v="1"/>
    <d v="2022-08-03T00:00:00"/>
    <s v="ac22-08-03"/>
    <x v="9"/>
    <m/>
    <m/>
    <m/>
    <s v="11001 · Accounts Receivable"/>
    <x v="82"/>
    <n v="211223.35"/>
  </r>
  <r>
    <x v="1"/>
    <d v="2022-08-03T00:00:00"/>
    <s v="ac22-08-034"/>
    <x v="9"/>
    <m/>
    <m/>
    <m/>
    <s v="11001 · Accounts Receivable"/>
    <x v="111"/>
    <n v="211274.65"/>
  </r>
  <r>
    <x v="1"/>
    <d v="2022-08-03T00:00:00"/>
    <s v="ac22-08-038"/>
    <x v="9"/>
    <m/>
    <m/>
    <m/>
    <s v="11001 · Accounts Receivable"/>
    <x v="112"/>
    <n v="211535.65"/>
  </r>
  <r>
    <x v="1"/>
    <d v="2022-08-03T00:00:00"/>
    <s v="ac22-08-030"/>
    <x v="9"/>
    <m/>
    <m/>
    <m/>
    <s v="11001 · Accounts Receivable"/>
    <x v="113"/>
    <n v="211612.6"/>
  </r>
  <r>
    <x v="1"/>
    <d v="2022-08-03T00:00:00"/>
    <s v="ac22-08-031"/>
    <x v="9"/>
    <m/>
    <m/>
    <m/>
    <s v="11001 · Accounts Receivable"/>
    <x v="114"/>
    <n v="211968.37"/>
  </r>
  <r>
    <x v="1"/>
    <d v="2022-08-03T00:00:00"/>
    <s v="ac22-08-032"/>
    <x v="9"/>
    <m/>
    <m/>
    <m/>
    <s v="11001 · Accounts Receivable"/>
    <x v="115"/>
    <n v="212369.85"/>
  </r>
  <r>
    <x v="1"/>
    <d v="2022-08-03T00:00:00"/>
    <s v="ac22-08-033"/>
    <x v="9"/>
    <m/>
    <m/>
    <m/>
    <s v="11001 · Accounts Receivable"/>
    <x v="53"/>
    <n v="212916.15"/>
  </r>
  <r>
    <x v="1"/>
    <d v="2022-08-03T00:00:00"/>
    <s v="AC N-1052"/>
    <x v="9"/>
    <m/>
    <m/>
    <m/>
    <s v="11001 · Accounts Receivable"/>
    <x v="49"/>
    <n v="213040.07"/>
  </r>
  <r>
    <x v="1"/>
    <d v="2022-08-03T00:00:00"/>
    <s v="848 BURNHAM"/>
    <x v="9"/>
    <m/>
    <m/>
    <m/>
    <s v="11001 · Accounts Receivable"/>
    <x v="116"/>
    <n v="213948.42"/>
  </r>
  <r>
    <x v="1"/>
    <d v="2022-08-03T00:00:00"/>
    <s v="0695"/>
    <x v="8"/>
    <m/>
    <m/>
    <m/>
    <s v="11001 · Accounts Receivable"/>
    <x v="117"/>
    <n v="216901.18"/>
  </r>
  <r>
    <x v="1"/>
    <d v="2022-08-03T00:00:00"/>
    <s v="0510-2210"/>
    <x v="16"/>
    <s v="SCOPE OF WORK   OPTION 2  * REMOVE THE SKYLIGHT (4) EXISTING FIXTURES  * SUPPLY AND INSTALL 8 ( ..."/>
    <m/>
    <m/>
    <s v="11001 · Accounts Receivable"/>
    <x v="39"/>
    <n v="216901.18"/>
  </r>
  <r>
    <x v="1"/>
    <d v="2022-08-03T00:00:00"/>
    <s v="0510-2210"/>
    <x v="16"/>
    <s v="OFFER INCLUDED:  * ALL MATERIAL INCLUDING ADAPTERS AND FITTING PLUS LABOUR.  * SCISSOR LIFT FEES..."/>
    <m/>
    <m/>
    <s v="11001 · Accounts Receivable"/>
    <x v="118"/>
    <n v="220311.18"/>
  </r>
  <r>
    <x v="1"/>
    <d v="2022-08-03T00:00:00"/>
    <s v="498 APPLEBY"/>
    <x v="17"/>
    <s v="INSTALL 4' -2 LAMP FIXTURES."/>
    <m/>
    <m/>
    <s v="11001 · Accounts Receivable"/>
    <x v="39"/>
    <n v="220311.18"/>
  </r>
  <r>
    <x v="1"/>
    <d v="2022-08-03T00:00:00"/>
    <s v="498 APPLEBY"/>
    <x v="17"/>
    <s v="SUPPLY CHAINS AND FITTING TO SET THE FIXTURES ON 18' HEIGHT."/>
    <m/>
    <m/>
    <s v="11001 · Accounts Receivable"/>
    <x v="39"/>
    <n v="220311.18"/>
  </r>
  <r>
    <x v="1"/>
    <d v="2022-08-03T00:00:00"/>
    <s v="498 APPLEBY"/>
    <x v="17"/>
    <s v="INSTALL THE POWER CABLES."/>
    <m/>
    <m/>
    <s v="11001 · Accounts Receivable"/>
    <x v="39"/>
    <n v="220311.18"/>
  </r>
  <r>
    <x v="1"/>
    <d v="2022-08-03T00:00:00"/>
    <s v="498 APPLEBY"/>
    <x v="17"/>
    <m/>
    <m/>
    <m/>
    <s v="11001 · Accounts Receivable"/>
    <x v="36"/>
    <n v="221611.18"/>
  </r>
  <r>
    <x v="1"/>
    <d v="2022-08-03T00:00:00"/>
    <s v="316 BURNHAM"/>
    <x v="9"/>
    <m/>
    <m/>
    <m/>
    <s v="11001 · Accounts Receivable"/>
    <x v="119"/>
    <n v="222502.7"/>
  </r>
  <r>
    <x v="1"/>
    <d v="2022-08-03T00:00:00"/>
    <s v="377 BURNHAM"/>
    <x v="9"/>
    <m/>
    <m/>
    <m/>
    <s v="11001 · Accounts Receivable"/>
    <x v="120"/>
    <n v="222998.17"/>
  </r>
  <r>
    <x v="1"/>
    <d v="2022-08-04T00:00:00"/>
    <s v="0696"/>
    <x v="8"/>
    <m/>
    <m/>
    <m/>
    <s v="11001 · Accounts Receivable"/>
    <x v="88"/>
    <n v="224100.17"/>
  </r>
  <r>
    <x v="1"/>
    <d v="2022-08-05T00:00:00"/>
    <s v="41 MAIN"/>
    <x v="9"/>
    <m/>
    <m/>
    <m/>
    <s v="11001 · Accounts Receivable"/>
    <x v="121"/>
    <n v="224787.67"/>
  </r>
  <r>
    <x v="1"/>
    <d v="2022-08-05T00:00:00"/>
    <s v="2185 STAVE"/>
    <x v="9"/>
    <m/>
    <m/>
    <m/>
    <s v="11001 · Accounts Receivable"/>
    <x v="122"/>
    <n v="225754.48"/>
  </r>
  <r>
    <x v="1"/>
    <d v="2022-08-05T00:00:00"/>
    <s v="106 SAUND"/>
    <x v="9"/>
    <m/>
    <m/>
    <m/>
    <s v="11001 · Accounts Receivable"/>
    <x v="123"/>
    <n v="226668.26"/>
  </r>
  <r>
    <x v="1"/>
    <d v="2022-08-05T00:00:00"/>
    <s v="18 AUTO"/>
    <x v="9"/>
    <m/>
    <m/>
    <m/>
    <s v="11001 · Accounts Receivable"/>
    <x v="124"/>
    <n v="227548.79"/>
  </r>
  <r>
    <x v="1"/>
    <d v="2022-08-05T00:00:00"/>
    <s v="306 KING"/>
    <x v="9"/>
    <m/>
    <m/>
    <m/>
    <s v="11001 · Accounts Receivable"/>
    <x v="125"/>
    <n v="227886.93"/>
  </r>
  <r>
    <x v="1"/>
    <d v="2022-08-05T00:00:00"/>
    <s v="33B MCIN"/>
    <x v="9"/>
    <m/>
    <m/>
    <m/>
    <s v="11001 · Accounts Receivable"/>
    <x v="126"/>
    <n v="228747.47"/>
  </r>
  <r>
    <x v="1"/>
    <d v="2022-08-05T00:00:00"/>
    <s v="252 NORS"/>
    <x v="9"/>
    <m/>
    <m/>
    <m/>
    <s v="11001 · Accounts Receivable"/>
    <x v="127"/>
    <n v="229690.76"/>
  </r>
  <r>
    <x v="1"/>
    <d v="2022-08-05T00:00:00"/>
    <s v="727 QUEEN"/>
    <x v="9"/>
    <m/>
    <m/>
    <m/>
    <s v="11001 · Accounts Receivable"/>
    <x v="128"/>
    <n v="229807.71"/>
  </r>
  <r>
    <x v="1"/>
    <d v="2022-08-05T00:00:00"/>
    <s v="1250 S SERV"/>
    <x v="9"/>
    <m/>
    <m/>
    <m/>
    <s v="11001 · Accounts Receivable"/>
    <x v="128"/>
    <n v="229924.66"/>
  </r>
  <r>
    <x v="1"/>
    <d v="2022-08-05T00:00:00"/>
    <s v="1900 FOWLER"/>
    <x v="9"/>
    <m/>
    <m/>
    <m/>
    <s v="11001 · Accounts Receivable"/>
    <x v="129"/>
    <n v="230015.96"/>
  </r>
  <r>
    <x v="1"/>
    <d v="2022-08-05T00:00:00"/>
    <s v="33A MCIN"/>
    <x v="9"/>
    <m/>
    <m/>
    <m/>
    <s v="11001 · Accounts Receivable"/>
    <x v="130"/>
    <n v="230865.84"/>
  </r>
  <r>
    <x v="1"/>
    <d v="2022-08-05T00:00:00"/>
    <s v="393 DONALDS"/>
    <x v="9"/>
    <m/>
    <m/>
    <m/>
    <s v="11001 · Accounts Receivable"/>
    <x v="131"/>
    <n v="231034.09"/>
  </r>
  <r>
    <x v="1"/>
    <d v="2022-08-05T00:00:00"/>
    <s v="1210 CALED"/>
    <x v="9"/>
    <m/>
    <m/>
    <m/>
    <s v="11001 · Accounts Receivable"/>
    <x v="132"/>
    <n v="231736.64"/>
  </r>
  <r>
    <x v="1"/>
    <d v="2022-08-05T00:00:00"/>
    <s v="964 WESTPO"/>
    <x v="9"/>
    <m/>
    <m/>
    <m/>
    <s v="11001 · Accounts Receivable"/>
    <x v="133"/>
    <n v="232311.64"/>
  </r>
  <r>
    <x v="1"/>
    <d v="2022-08-05T00:00:00"/>
    <s v="1119 FENNE"/>
    <x v="9"/>
    <m/>
    <m/>
    <m/>
    <s v="11001 · Accounts Receivable"/>
    <x v="134"/>
    <n v="232621.64"/>
  </r>
  <r>
    <x v="1"/>
    <d v="2022-08-05T00:00:00"/>
    <s v="740 BEAVER"/>
    <x v="9"/>
    <m/>
    <m/>
    <m/>
    <s v="11001 · Accounts Receivable"/>
    <x v="135"/>
    <n v="233641.74"/>
  </r>
  <r>
    <x v="1"/>
    <d v="2022-08-05T00:00:00"/>
    <s v="545 STEELES"/>
    <x v="9"/>
    <m/>
    <m/>
    <m/>
    <s v="11001 · Accounts Receivable"/>
    <x v="136"/>
    <n v="234371.34"/>
  </r>
  <r>
    <x v="1"/>
    <d v="2022-08-05T00:00:00"/>
    <s v="253 SUMMER"/>
    <x v="9"/>
    <m/>
    <m/>
    <m/>
    <s v="11001 · Accounts Receivable"/>
    <x v="137"/>
    <n v="234977.64"/>
  </r>
  <r>
    <x v="1"/>
    <d v="2022-08-05T00:00:00"/>
    <s v="1104 CANNON"/>
    <x v="9"/>
    <m/>
    <m/>
    <m/>
    <s v="11001 · Accounts Receivable"/>
    <x v="138"/>
    <n v="235911.09"/>
  </r>
  <r>
    <x v="1"/>
    <d v="2022-08-05T00:00:00"/>
    <s v="5353 LAKESH"/>
    <x v="9"/>
    <m/>
    <m/>
    <m/>
    <s v="11001 · Accounts Receivable"/>
    <x v="139"/>
    <n v="236742.61"/>
  </r>
  <r>
    <x v="1"/>
    <d v="2022-08-05T00:00:00"/>
    <s v="0013"/>
    <x v="8"/>
    <m/>
    <m/>
    <m/>
    <s v="11001 · Accounts Receivable"/>
    <x v="140"/>
    <n v="236786.74"/>
  </r>
  <r>
    <x v="1"/>
    <d v="2022-08-05T00:00:00"/>
    <s v="7025 UPS"/>
    <x v="9"/>
    <m/>
    <m/>
    <m/>
    <s v="11001 · Accounts Receivable"/>
    <x v="141"/>
    <n v="237294.15"/>
  </r>
  <r>
    <x v="1"/>
    <d v="2022-08-07T00:00:00"/>
    <s v="149 WEST"/>
    <x v="9"/>
    <m/>
    <m/>
    <m/>
    <s v="11001 · Accounts Receivable"/>
    <x v="142"/>
    <n v="237891.1"/>
  </r>
  <r>
    <x v="1"/>
    <d v="2022-08-07T00:00:00"/>
    <s v="3105 WINSTO"/>
    <x v="9"/>
    <m/>
    <m/>
    <m/>
    <s v="11001 · Accounts Receivable"/>
    <x v="143"/>
    <n v="238471.75"/>
  </r>
  <r>
    <x v="1"/>
    <d v="2022-08-09T00:00:00"/>
    <s v="1261 SHAW"/>
    <x v="9"/>
    <m/>
    <m/>
    <m/>
    <s v="11001 · Accounts Receivable"/>
    <x v="144"/>
    <n v="240134.81"/>
  </r>
  <r>
    <x v="1"/>
    <d v="2022-08-09T00:00:00"/>
    <s v="5230 DUNDAS"/>
    <x v="9"/>
    <m/>
    <m/>
    <m/>
    <s v="11001 · Accounts Receivable"/>
    <x v="145"/>
    <n v="240555.23"/>
  </r>
  <r>
    <x v="1"/>
    <d v="2022-08-09T00:00:00"/>
    <s v="6710 LUNDY"/>
    <x v="9"/>
    <m/>
    <m/>
    <m/>
    <s v="11001 · Accounts Receivable"/>
    <x v="146"/>
    <n v="241150.23"/>
  </r>
  <r>
    <x v="1"/>
    <d v="2022-08-09T00:00:00"/>
    <s v="1582 KING"/>
    <x v="9"/>
    <m/>
    <m/>
    <m/>
    <s v="11001 · Accounts Receivable"/>
    <x v="34"/>
    <n v="241915.79"/>
  </r>
  <r>
    <x v="1"/>
    <d v="2022-08-09T00:00:00"/>
    <s v="120 ERINGAT"/>
    <x v="9"/>
    <m/>
    <m/>
    <m/>
    <s v="11001 · Accounts Receivable"/>
    <x v="147"/>
    <n v="242877.31"/>
  </r>
  <r>
    <x v="1"/>
    <d v="2022-08-09T00:00:00"/>
    <s v="0910"/>
    <x v="8"/>
    <m/>
    <m/>
    <m/>
    <s v="11001 · Accounts Receivable"/>
    <x v="148"/>
    <n v="242972.31"/>
  </r>
  <r>
    <x v="1"/>
    <d v="2022-08-10T00:00:00"/>
    <s v="0911"/>
    <x v="8"/>
    <m/>
    <m/>
    <m/>
    <s v="11001 · Accounts Receivable"/>
    <x v="149"/>
    <n v="243722.31"/>
  </r>
  <r>
    <x v="1"/>
    <d v="2022-08-10T00:00:00"/>
    <s v="0958"/>
    <x v="8"/>
    <m/>
    <m/>
    <m/>
    <s v="11001 · Accounts Receivable"/>
    <x v="30"/>
    <n v="243972.31"/>
  </r>
  <r>
    <x v="1"/>
    <d v="2022-08-11T00:00:00"/>
    <s v="775 PACIFIC"/>
    <x v="9"/>
    <m/>
    <m/>
    <m/>
    <s v="11001 · Accounts Receivable"/>
    <x v="150"/>
    <n v="244738.26"/>
  </r>
  <r>
    <x v="1"/>
    <d v="2022-08-11T00:00:00"/>
    <s v="12101 AIRPO"/>
    <x v="9"/>
    <m/>
    <m/>
    <m/>
    <s v="11001 · Accounts Receivable"/>
    <x v="27"/>
    <n v="245481.78"/>
  </r>
  <r>
    <x v="1"/>
    <d v="2022-08-11T00:00:00"/>
    <s v="562 KIPLING"/>
    <x v="9"/>
    <m/>
    <m/>
    <m/>
    <s v="11001 · Accounts Receivable"/>
    <x v="151"/>
    <n v="245718.13"/>
  </r>
  <r>
    <x v="1"/>
    <d v="2022-08-11T00:00:00"/>
    <s v="4060A SLADV"/>
    <x v="9"/>
    <m/>
    <m/>
    <m/>
    <s v="11001 · Accounts Receivable"/>
    <x v="152"/>
    <n v="246662.75"/>
  </r>
  <r>
    <x v="1"/>
    <d v="2022-08-11T00:00:00"/>
    <s v="0016"/>
    <x v="8"/>
    <m/>
    <m/>
    <m/>
    <s v="11001 · Accounts Receivable"/>
    <x v="153"/>
    <n v="247680.25"/>
  </r>
  <r>
    <x v="1"/>
    <d v="2022-08-11T00:00:00"/>
    <s v="0959 12101"/>
    <x v="8"/>
    <m/>
    <m/>
    <m/>
    <s v="11001 · Accounts Receivable"/>
    <x v="154"/>
    <n v="247917.81"/>
  </r>
  <r>
    <x v="1"/>
    <d v="2022-08-11T00:00:00"/>
    <s v="222 ESPLAND"/>
    <x v="9"/>
    <m/>
    <m/>
    <m/>
    <s v="11001 · Accounts Receivable"/>
    <x v="103"/>
    <n v="247977.81"/>
  </r>
  <r>
    <x v="1"/>
    <d v="2022-08-11T00:00:00"/>
    <s v="1646 BLOOR"/>
    <x v="9"/>
    <m/>
    <m/>
    <m/>
    <s v="11001 · Accounts Receivable"/>
    <x v="155"/>
    <n v="248047.81"/>
  </r>
  <r>
    <x v="1"/>
    <d v="2022-08-12T00:00:00"/>
    <s v="0017"/>
    <x v="8"/>
    <m/>
    <m/>
    <m/>
    <s v="11001 · Accounts Receivable"/>
    <x v="156"/>
    <n v="248420.28"/>
  </r>
  <r>
    <x v="1"/>
    <d v="2022-08-12T00:00:00"/>
    <s v="0510-2217"/>
    <x v="18"/>
    <s v="ALL ELECTRIC WORK ACCORDING TO THE DRAWING"/>
    <m/>
    <m/>
    <s v="11001 · Accounts Receivable"/>
    <x v="157"/>
    <n v="270920.28000000003"/>
  </r>
  <r>
    <x v="1"/>
    <d v="2022-08-14T00:00:00"/>
    <s v="0970"/>
    <x v="16"/>
    <m/>
    <m/>
    <m/>
    <s v="11001 · Accounts Receivable"/>
    <x v="158"/>
    <n v="288120.28000000003"/>
  </r>
  <r>
    <x v="1"/>
    <d v="2022-08-15T00:00:00"/>
    <s v="AC L-1015"/>
    <x v="9"/>
    <m/>
    <m/>
    <m/>
    <s v="11001 · Accounts Receivable"/>
    <x v="159"/>
    <n v="289773.36"/>
  </r>
  <r>
    <x v="1"/>
    <d v="2022-08-15T00:00:00"/>
    <s v="AC L-1016"/>
    <x v="9"/>
    <m/>
    <m/>
    <m/>
    <s v="11001 · Accounts Receivable"/>
    <x v="160"/>
    <n v="290700.53000000003"/>
  </r>
  <r>
    <x v="1"/>
    <d v="2022-08-15T00:00:00"/>
    <s v="AC L-1017"/>
    <x v="9"/>
    <m/>
    <m/>
    <m/>
    <s v="11001 · Accounts Receivable"/>
    <x v="161"/>
    <n v="291126.95"/>
  </r>
  <r>
    <x v="1"/>
    <d v="2022-08-15T00:00:00"/>
    <s v="AC L-1018"/>
    <x v="9"/>
    <m/>
    <m/>
    <m/>
    <s v="11001 · Accounts Receivable"/>
    <x v="162"/>
    <n v="292269.53000000003"/>
  </r>
  <r>
    <x v="1"/>
    <d v="2022-08-15T00:00:00"/>
    <s v="AC L-1019"/>
    <x v="9"/>
    <m/>
    <m/>
    <m/>
    <s v="11001 · Accounts Receivable"/>
    <x v="163"/>
    <n v="293273.28000000003"/>
  </r>
  <r>
    <x v="1"/>
    <d v="2022-08-15T00:00:00"/>
    <s v="AC L-1020"/>
    <x v="9"/>
    <m/>
    <m/>
    <m/>
    <s v="11001 · Accounts Receivable"/>
    <x v="164"/>
    <n v="294209.42"/>
  </r>
  <r>
    <x v="1"/>
    <d v="2022-08-15T00:00:00"/>
    <s v="AC L-1021"/>
    <x v="9"/>
    <m/>
    <m/>
    <m/>
    <s v="11001 · Accounts Receivable"/>
    <x v="165"/>
    <n v="295164.86"/>
  </r>
  <r>
    <x v="1"/>
    <d v="2022-08-15T00:00:00"/>
    <s v="AC L-1022"/>
    <x v="9"/>
    <m/>
    <m/>
    <m/>
    <s v="11001 · Accounts Receivable"/>
    <x v="166"/>
    <n v="296577.76"/>
  </r>
  <r>
    <x v="1"/>
    <d v="2022-08-15T00:00:00"/>
    <s v="AC L-1023"/>
    <x v="9"/>
    <m/>
    <m/>
    <m/>
    <s v="11001 · Accounts Receivable"/>
    <x v="167"/>
    <n v="296701.15999999997"/>
  </r>
  <r>
    <x v="1"/>
    <d v="2022-08-15T00:00:00"/>
    <s v="AC L-1024"/>
    <x v="9"/>
    <m/>
    <m/>
    <m/>
    <s v="11001 · Accounts Receivable"/>
    <x v="168"/>
    <n v="297477.06"/>
  </r>
  <r>
    <x v="1"/>
    <d v="2022-08-15T00:00:00"/>
    <s v="0912"/>
    <x v="8"/>
    <m/>
    <m/>
    <m/>
    <s v="11001 · Accounts Receivable"/>
    <x v="169"/>
    <n v="297731.3"/>
  </r>
  <r>
    <x v="1"/>
    <d v="2022-08-16T00:00:00"/>
    <s v="0913"/>
    <x v="8"/>
    <m/>
    <m/>
    <m/>
    <s v="11001 · Accounts Receivable"/>
    <x v="170"/>
    <n v="298101.5"/>
  </r>
  <r>
    <x v="1"/>
    <d v="2022-08-17T00:00:00"/>
    <s v="0226"/>
    <x v="8"/>
    <m/>
    <m/>
    <m/>
    <s v="11001 · Accounts Receivable"/>
    <x v="171"/>
    <n v="299003.75"/>
  </r>
  <r>
    <x v="1"/>
    <d v="2022-08-22T00:00:00"/>
    <s v="797 MINLER"/>
    <x v="9"/>
    <m/>
    <m/>
    <m/>
    <s v="11001 · Accounts Receivable"/>
    <x v="172"/>
    <n v="299622.28999999998"/>
  </r>
  <r>
    <x v="1"/>
    <d v="2022-08-22T00:00:00"/>
    <s v="4060B SLAD"/>
    <x v="9"/>
    <m/>
    <m/>
    <m/>
    <s v="11001 · Accounts Receivable"/>
    <x v="173"/>
    <n v="300518.75"/>
  </r>
  <r>
    <x v="1"/>
    <d v="2022-08-22T00:00:00"/>
    <s v="3438 SHEPP"/>
    <x v="9"/>
    <m/>
    <m/>
    <m/>
    <s v="11001 · Accounts Receivable"/>
    <x v="174"/>
    <n v="301123.20000000001"/>
  </r>
  <r>
    <x v="1"/>
    <d v="2022-08-22T00:00:00"/>
    <s v="4525 EBENE"/>
    <x v="9"/>
    <m/>
    <m/>
    <m/>
    <s v="11001 · Accounts Receivable"/>
    <x v="27"/>
    <n v="301866.71999999997"/>
  </r>
  <r>
    <x v="1"/>
    <d v="2022-08-22T00:00:00"/>
    <s v="49 FERRIS"/>
    <x v="9"/>
    <m/>
    <m/>
    <m/>
    <s v="11001 · Accounts Receivable"/>
    <x v="175"/>
    <n v="302891.12"/>
  </r>
  <r>
    <x v="1"/>
    <d v="2022-08-22T00:00:00"/>
    <s v="371 BRADW"/>
    <x v="9"/>
    <m/>
    <m/>
    <m/>
    <s v="11001 · Accounts Receivable"/>
    <x v="176"/>
    <n v="303577.42"/>
  </r>
  <r>
    <x v="1"/>
    <d v="2022-08-22T00:00:00"/>
    <s v="670 HWY 7"/>
    <x v="9"/>
    <m/>
    <m/>
    <m/>
    <s v="11001 · Accounts Receivable"/>
    <x v="177"/>
    <n v="303918.37"/>
  </r>
  <r>
    <x v="1"/>
    <d v="2022-08-22T00:00:00"/>
    <s v="45 CARLTON"/>
    <x v="9"/>
    <m/>
    <m/>
    <m/>
    <s v="11001 · Accounts Receivable"/>
    <x v="155"/>
    <n v="303988.37"/>
  </r>
  <r>
    <x v="1"/>
    <d v="2022-08-22T00:00:00"/>
    <s v="531 PARLIA"/>
    <x v="9"/>
    <m/>
    <m/>
    <m/>
    <s v="11001 · Accounts Receivable"/>
    <x v="178"/>
    <n v="304089.37"/>
  </r>
  <r>
    <x v="1"/>
    <d v="2022-08-22T00:00:00"/>
    <s v="670 HWY7 G2"/>
    <x v="9"/>
    <m/>
    <m/>
    <m/>
    <s v="11001 · Accounts Receivable"/>
    <x v="116"/>
    <n v="304997.71999999997"/>
  </r>
  <r>
    <x v="1"/>
    <d v="2022-08-22T00:00:00"/>
    <s v="0914"/>
    <x v="8"/>
    <m/>
    <m/>
    <m/>
    <s v="11001 · Accounts Receivable"/>
    <x v="179"/>
    <n v="306886.69"/>
  </r>
  <r>
    <x v="1"/>
    <d v="2022-08-22T00:00:00"/>
    <s v="1053"/>
    <x v="8"/>
    <m/>
    <m/>
    <m/>
    <s v="11001 · Accounts Receivable"/>
    <x v="180"/>
    <n v="307172.69"/>
  </r>
  <r>
    <x v="1"/>
    <d v="2022-08-23T00:00:00"/>
    <s v="2644 DAN"/>
    <x v="9"/>
    <m/>
    <m/>
    <m/>
    <s v="11001 · Accounts Receivable"/>
    <x v="181"/>
    <n v="307832.2"/>
  </r>
  <r>
    <x v="1"/>
    <d v="2022-08-23T00:00:00"/>
    <s v="251 NORS"/>
    <x v="9"/>
    <m/>
    <m/>
    <m/>
    <s v="11001 · Accounts Receivable"/>
    <x v="182"/>
    <n v="308499.18"/>
  </r>
  <r>
    <x v="1"/>
    <d v="2022-08-23T00:00:00"/>
    <s v="850 MAIN"/>
    <x v="9"/>
    <m/>
    <m/>
    <m/>
    <s v="11001 · Accounts Receivable"/>
    <x v="155"/>
    <n v="308569.18"/>
  </r>
  <r>
    <x v="1"/>
    <d v="2022-08-23T00:00:00"/>
    <s v="14 OXFORD"/>
    <x v="9"/>
    <m/>
    <m/>
    <m/>
    <s v="11001 · Accounts Receivable"/>
    <x v="183"/>
    <n v="309009.18"/>
  </r>
  <r>
    <x v="1"/>
    <d v="2022-08-23T00:00:00"/>
    <s v="0238"/>
    <x v="8"/>
    <m/>
    <m/>
    <m/>
    <s v="11001 · Accounts Receivable"/>
    <x v="184"/>
    <n v="309575.18"/>
  </r>
  <r>
    <x v="1"/>
    <d v="2022-08-24T00:00:00"/>
    <s v="363 YOUNG"/>
    <x v="9"/>
    <m/>
    <m/>
    <m/>
    <s v="11001 · Accounts Receivable"/>
    <x v="185"/>
    <n v="310128.18"/>
  </r>
  <r>
    <x v="1"/>
    <d v="2022-08-24T00:00:00"/>
    <s v="106 SAUN"/>
    <x v="9"/>
    <m/>
    <m/>
    <m/>
    <s v="11001 · Accounts Receivable"/>
    <x v="186"/>
    <n v="311034.2"/>
  </r>
  <r>
    <x v="1"/>
    <d v="2022-08-24T00:00:00"/>
    <s v="253 NORS"/>
    <x v="9"/>
    <m/>
    <m/>
    <m/>
    <s v="11001 · Accounts Receivable"/>
    <x v="85"/>
    <n v="311620.5"/>
  </r>
  <r>
    <x v="1"/>
    <d v="2022-08-24T00:00:00"/>
    <s v="5155 SPECT"/>
    <x v="9"/>
    <m/>
    <m/>
    <m/>
    <s v="11001 · Accounts Receivable"/>
    <x v="187"/>
    <n v="312618.45"/>
  </r>
  <r>
    <x v="1"/>
    <d v="2022-08-24T00:00:00"/>
    <s v="2455 CAWTHR"/>
    <x v="9"/>
    <m/>
    <m/>
    <m/>
    <s v="11001 · Accounts Receivable"/>
    <x v="188"/>
    <n v="313246.01"/>
  </r>
  <r>
    <x v="1"/>
    <d v="2022-08-24T00:00:00"/>
    <s v="6350 TOMKEN"/>
    <x v="9"/>
    <m/>
    <m/>
    <m/>
    <s v="11001 · Accounts Receivable"/>
    <x v="189"/>
    <n v="314009.11"/>
  </r>
  <r>
    <x v="1"/>
    <d v="2022-08-24T00:00:00"/>
    <s v="26A REXDALE"/>
    <x v="9"/>
    <m/>
    <m/>
    <m/>
    <s v="11001 · Accounts Receivable"/>
    <x v="190"/>
    <n v="314817.86"/>
  </r>
  <r>
    <x v="1"/>
    <d v="2022-08-24T00:00:00"/>
    <s v="361 JACKSON"/>
    <x v="9"/>
    <m/>
    <m/>
    <m/>
    <s v="11001 · Accounts Receivable"/>
    <x v="191"/>
    <n v="315275.61"/>
  </r>
  <r>
    <x v="1"/>
    <d v="2022-08-24T00:00:00"/>
    <s v="0239"/>
    <x v="8"/>
    <m/>
    <m/>
    <m/>
    <s v="11001 · Accounts Receivable"/>
    <x v="192"/>
    <n v="316536.17"/>
  </r>
  <r>
    <x v="1"/>
    <d v="2022-08-24T00:00:00"/>
    <s v="1056"/>
    <x v="8"/>
    <m/>
    <m/>
    <m/>
    <s v="11001 · Accounts Receivable"/>
    <x v="169"/>
    <n v="316790.40999999997"/>
  </r>
  <r>
    <x v="1"/>
    <d v="2022-08-24T00:00:00"/>
    <s v="25 HERITAGE"/>
    <x v="9"/>
    <m/>
    <m/>
    <m/>
    <s v="11001 · Accounts Receivable"/>
    <x v="193"/>
    <n v="317654.24"/>
  </r>
  <r>
    <x v="1"/>
    <d v="2022-08-24T00:00:00"/>
    <s v="1154 RYMAL"/>
    <x v="9"/>
    <m/>
    <m/>
    <m/>
    <s v="11001 · Accounts Receivable"/>
    <x v="194"/>
    <n v="318733.28999999998"/>
  </r>
  <r>
    <x v="1"/>
    <d v="2022-08-25T00:00:00"/>
    <s v="1051"/>
    <x v="8"/>
    <m/>
    <m/>
    <m/>
    <s v="11001 · Accounts Receivable"/>
    <x v="195"/>
    <n v="323910.57"/>
  </r>
  <r>
    <x v="1"/>
    <d v="2022-08-25T00:00:00"/>
    <s v="0697"/>
    <x v="8"/>
    <m/>
    <m/>
    <m/>
    <s v="11001 · Accounts Receivable"/>
    <x v="196"/>
    <n v="324028.57"/>
  </r>
  <r>
    <x v="1"/>
    <d v="2022-08-25T00:00:00"/>
    <s v="1131 GORHAM"/>
    <x v="9"/>
    <m/>
    <m/>
    <m/>
    <s v="11001 · Accounts Receivable"/>
    <x v="194"/>
    <n v="325107.62"/>
  </r>
  <r>
    <x v="1"/>
    <d v="2022-08-26T00:00:00"/>
    <s v="901 VICTOR"/>
    <x v="9"/>
    <m/>
    <m/>
    <m/>
    <s v="11001 · Accounts Receivable"/>
    <x v="197"/>
    <n v="325496.44"/>
  </r>
  <r>
    <x v="1"/>
    <d v="2022-08-26T00:00:00"/>
    <s v="4040 STEEL"/>
    <x v="9"/>
    <m/>
    <m/>
    <m/>
    <s v="11001 · Accounts Receivable"/>
    <x v="198"/>
    <n v="326373.64"/>
  </r>
  <r>
    <x v="1"/>
    <d v="2022-08-26T00:00:00"/>
    <s v="16 KING"/>
    <x v="9"/>
    <m/>
    <m/>
    <m/>
    <s v="11001 · Accounts Receivable"/>
    <x v="199"/>
    <n v="326800.14"/>
  </r>
  <r>
    <x v="1"/>
    <d v="2022-08-26T00:00:00"/>
    <s v="842 VICTOR"/>
    <x v="9"/>
    <m/>
    <m/>
    <m/>
    <s v="11001 · Accounts Receivable"/>
    <x v="200"/>
    <n v="327639.7"/>
  </r>
  <r>
    <x v="1"/>
    <d v="2022-08-27T00:00:00"/>
    <s v="14810 YOUNG"/>
    <x v="9"/>
    <m/>
    <m/>
    <m/>
    <s v="11001 · Accounts Receivable"/>
    <x v="201"/>
    <n v="327964.44"/>
  </r>
  <r>
    <x v="1"/>
    <d v="2022-08-30T00:00:00"/>
    <s v="1420 BAYLY"/>
    <x v="9"/>
    <m/>
    <m/>
    <m/>
    <s v="11001 · Accounts Receivable"/>
    <x v="202"/>
    <n v="328885.25"/>
  </r>
  <r>
    <x v="1"/>
    <d v="2022-08-30T00:00:00"/>
    <s v="255 INDUSTR"/>
    <x v="9"/>
    <m/>
    <m/>
    <m/>
    <s v="11001 · Accounts Receivable"/>
    <x v="203"/>
    <n v="329526.03000000003"/>
  </r>
  <r>
    <x v="1"/>
    <d v="2022-08-30T00:00:00"/>
    <s v="1170 RYMAL"/>
    <x v="9"/>
    <m/>
    <m/>
    <m/>
    <s v="11001 · Accounts Receivable"/>
    <x v="204"/>
    <n v="330041.03000000003"/>
  </r>
  <r>
    <x v="1"/>
    <d v="2022-08-30T00:00:00"/>
    <s v="1065"/>
    <x v="8"/>
    <m/>
    <m/>
    <m/>
    <s v="11001 · Accounts Receivable"/>
    <x v="205"/>
    <n v="331147.03000000003"/>
  </r>
  <r>
    <x v="1"/>
    <d v="2022-08-31T00:00:00"/>
    <s v="418 HOR"/>
    <x v="9"/>
    <m/>
    <m/>
    <m/>
    <s v="11001 · Accounts Receivable"/>
    <x v="206"/>
    <n v="331310.95"/>
  </r>
  <r>
    <x v="1"/>
    <d v="2022-08-31T00:00:00"/>
    <s v="4060A SLAD"/>
    <x v="9"/>
    <m/>
    <m/>
    <m/>
    <s v="11001 · Accounts Receivable"/>
    <x v="207"/>
    <n v="332411.65999999997"/>
  </r>
  <r>
    <x v="1"/>
    <d v="2022-08-31T00:00:00"/>
    <s v="122 FORTI"/>
    <x v="9"/>
    <m/>
    <m/>
    <m/>
    <s v="11001 · Accounts Receivable"/>
    <x v="208"/>
    <n v="332820.96000000002"/>
  </r>
  <r>
    <x v="1"/>
    <d v="2022-08-31T00:00:00"/>
    <s v="2584 DANFOR"/>
    <x v="9"/>
    <m/>
    <m/>
    <m/>
    <s v="11001 · Accounts Receivable"/>
    <x v="209"/>
    <n v="332851.96000000002"/>
  </r>
  <r>
    <x v="1"/>
    <d v="2022-08-31T00:00:00"/>
    <s v="813 O'CONN"/>
    <x v="9"/>
    <m/>
    <m/>
    <m/>
    <s v="11001 · Accounts Receivable"/>
    <x v="210"/>
    <n v="333561.89"/>
  </r>
  <r>
    <x v="1"/>
    <d v="2022-08-31T00:00:00"/>
    <s v="948 QUEEN"/>
    <x v="9"/>
    <m/>
    <m/>
    <m/>
    <s v="11001 · Accounts Receivable"/>
    <x v="211"/>
    <n v="333617.53999999998"/>
  </r>
  <r>
    <x v="1"/>
    <d v="2022-08-31T00:00:00"/>
    <s v="0916"/>
    <x v="8"/>
    <m/>
    <m/>
    <m/>
    <s v="11001 · Accounts Receivable"/>
    <x v="212"/>
    <n v="334229.53999999998"/>
  </r>
  <r>
    <x v="1"/>
    <d v="2022-09-02T00:00:00"/>
    <s v="400 BAYFILE"/>
    <x v="9"/>
    <m/>
    <m/>
    <m/>
    <s v="11001 · Accounts Receivable"/>
    <x v="87"/>
    <n v="335131.06"/>
  </r>
  <r>
    <x v="1"/>
    <d v="2022-09-02T00:00:00"/>
    <s v="1453 KING"/>
    <x v="9"/>
    <m/>
    <m/>
    <m/>
    <s v="11001 · Accounts Receivable"/>
    <x v="213"/>
    <n v="335531.44"/>
  </r>
  <r>
    <x v="1"/>
    <d v="2022-09-02T00:00:00"/>
    <s v="79 ELIGIN"/>
    <x v="9"/>
    <m/>
    <m/>
    <m/>
    <s v="11001 · Accounts Receivable"/>
    <x v="214"/>
    <n v="335815.94"/>
  </r>
  <r>
    <x v="1"/>
    <d v="2022-09-02T00:00:00"/>
    <s v="18 CONCESSI"/>
    <x v="9"/>
    <m/>
    <m/>
    <m/>
    <s v="11001 · Accounts Receivable"/>
    <x v="215"/>
    <n v="336545.19"/>
  </r>
  <r>
    <x v="1"/>
    <d v="2022-09-02T00:00:00"/>
    <s v="200 FRANKLI"/>
    <x v="9"/>
    <m/>
    <m/>
    <m/>
    <s v="11001 · Accounts Receivable"/>
    <x v="216"/>
    <n v="336802.05"/>
  </r>
  <r>
    <x v="1"/>
    <d v="2022-09-02T00:00:00"/>
    <s v="262 KING"/>
    <x v="9"/>
    <m/>
    <m/>
    <m/>
    <s v="11001 · Accounts Receivable"/>
    <x v="217"/>
    <n v="337485.34"/>
  </r>
  <r>
    <x v="1"/>
    <d v="2022-09-02T00:00:00"/>
    <s v="36 NORTHFIE"/>
    <x v="9"/>
    <m/>
    <m/>
    <m/>
    <s v="11001 · Accounts Receivable"/>
    <x v="218"/>
    <n v="337705.89"/>
  </r>
  <r>
    <x v="1"/>
    <d v="2022-09-02T00:00:00"/>
    <s v="338 ROSSLAN"/>
    <x v="9"/>
    <m/>
    <m/>
    <m/>
    <s v="11001 · Accounts Receivable"/>
    <x v="219"/>
    <n v="338210.59"/>
  </r>
  <r>
    <x v="1"/>
    <d v="2022-09-02T00:00:00"/>
    <s v="1383 WILSON"/>
    <x v="9"/>
    <m/>
    <m/>
    <m/>
    <s v="11001 · Accounts Receivable"/>
    <x v="32"/>
    <n v="338350.59"/>
  </r>
  <r>
    <x v="1"/>
    <d v="2022-09-02T00:00:00"/>
    <s v="2887 BLOOR"/>
    <x v="9"/>
    <m/>
    <m/>
    <m/>
    <s v="11001 · Accounts Receivable"/>
    <x v="220"/>
    <n v="338672.06"/>
  </r>
  <r>
    <x v="1"/>
    <d v="2022-09-02T00:00:00"/>
    <s v="21 ESSA RD"/>
    <x v="9"/>
    <m/>
    <m/>
    <m/>
    <s v="11001 · Accounts Receivable"/>
    <x v="221"/>
    <n v="339707.13"/>
  </r>
  <r>
    <x v="1"/>
    <d v="2022-09-02T00:00:00"/>
    <s v="371 WILSON"/>
    <x v="9"/>
    <m/>
    <m/>
    <m/>
    <s v="11001 · Accounts Receivable"/>
    <x v="222"/>
    <n v="340214.63"/>
  </r>
  <r>
    <x v="1"/>
    <d v="2022-09-02T00:00:00"/>
    <s v="179 UNION"/>
    <x v="9"/>
    <m/>
    <m/>
    <m/>
    <s v="11001 · Accounts Receivable"/>
    <x v="223"/>
    <n v="340952.58"/>
  </r>
  <r>
    <x v="1"/>
    <d v="2022-09-02T00:00:00"/>
    <s v="0917"/>
    <x v="8"/>
    <m/>
    <m/>
    <m/>
    <s v="11001 · Accounts Receivable"/>
    <x v="224"/>
    <n v="342223.78"/>
  </r>
  <r>
    <x v="1"/>
    <d v="2022-09-06T00:00:00"/>
    <s v="241 DUNS"/>
    <x v="9"/>
    <m/>
    <m/>
    <m/>
    <s v="11001 · Accounts Receivable"/>
    <x v="225"/>
    <n v="342475.31"/>
  </r>
  <r>
    <x v="1"/>
    <d v="2022-09-07T00:00:00"/>
    <s v="10671 CHING"/>
    <x v="9"/>
    <m/>
    <m/>
    <m/>
    <s v="11001 · Accounts Receivable"/>
    <x v="226"/>
    <n v="342571.94"/>
  </r>
  <r>
    <x v="1"/>
    <d v="2022-09-07T00:00:00"/>
    <s v="975 BROCK"/>
    <x v="9"/>
    <m/>
    <m/>
    <m/>
    <s v="11001 · Accounts Receivable"/>
    <x v="227"/>
    <n v="343410.71"/>
  </r>
  <r>
    <x v="1"/>
    <d v="2022-09-08T00:00:00"/>
    <s v="SEP 8,22"/>
    <x v="19"/>
    <s v="FIRST PAYMENT FOR SUPPLYING MATERIALS FOR (SG-422-20/21-9, CHINGUACOUSY SS , AS PER Z22-4759. TO..."/>
    <m/>
    <m/>
    <s v="11001 · Accounts Receivable"/>
    <x v="228"/>
    <n v="563410.71"/>
  </r>
  <r>
    <x v="1"/>
    <d v="2022-09-08T00:00:00"/>
    <s v="84 WATER ST"/>
    <x v="9"/>
    <m/>
    <m/>
    <m/>
    <s v="11001 · Accounts Receivable"/>
    <x v="229"/>
    <n v="563991.59"/>
  </r>
  <r>
    <x v="1"/>
    <d v="2022-09-08T00:00:00"/>
    <s v="20 KINGSTON"/>
    <x v="9"/>
    <m/>
    <m/>
    <m/>
    <s v="11001 · Accounts Receivable"/>
    <x v="185"/>
    <n v="564544.59"/>
  </r>
  <r>
    <x v="1"/>
    <d v="2022-09-08T00:00:00"/>
    <s v="0014"/>
    <x v="8"/>
    <m/>
    <m/>
    <m/>
    <s v="11001 · Accounts Receivable"/>
    <x v="101"/>
    <n v="565116.63"/>
  </r>
  <r>
    <x v="1"/>
    <d v="2022-09-12T00:00:00"/>
    <s v="49 WAYNE"/>
    <x v="9"/>
    <m/>
    <m/>
    <m/>
    <s v="11001 · Accounts Receivable"/>
    <x v="230"/>
    <n v="566003.78"/>
  </r>
  <r>
    <x v="1"/>
    <d v="2022-09-12T00:00:00"/>
    <s v="0960"/>
    <x v="8"/>
    <m/>
    <m/>
    <m/>
    <s v="11001 · Accounts Receivable"/>
    <x v="231"/>
    <n v="566180.30000000005"/>
  </r>
  <r>
    <x v="1"/>
    <d v="2022-09-13T00:00:00"/>
    <s v="AC 09/13/22"/>
    <x v="20"/>
    <s v="MATERIALS:  -LED FIXTURE ,220W ,120V QTY 9 .  -CHAIN .  -BX COIL.   -SCISSOR LIFT .    "/>
    <m/>
    <m/>
    <s v="11001 · Accounts Receivable"/>
    <x v="39"/>
    <n v="566180.30000000005"/>
  </r>
  <r>
    <x v="1"/>
    <d v="2022-09-13T00:00:00"/>
    <s v="AC 09/13/22"/>
    <x v="20"/>
    <s v="SCOPE OF WORK   -REPLACE AND RELOCATE 9 LED HIGHBAY FIXTURE IN THE INDUSTRIAL AREA .  -USING CHA..."/>
    <m/>
    <m/>
    <s v="11001 · Accounts Receivable"/>
    <x v="39"/>
    <n v="566180.30000000005"/>
  </r>
  <r>
    <x v="1"/>
    <d v="2022-09-13T00:00:00"/>
    <s v="AC 09/13/22"/>
    <x v="20"/>
    <s v="*PRICE INCLUDED   SCISSOR LIFT FEES   ESA INSPECTION FEES AND CERTIFICATE .    "/>
    <m/>
    <m/>
    <s v="11001 · Accounts Receivable"/>
    <x v="39"/>
    <n v="566180.30000000005"/>
  </r>
  <r>
    <x v="1"/>
    <d v="2022-09-13T00:00:00"/>
    <s v="AC 09/13/22"/>
    <x v="20"/>
    <s v="*PRICE EXCLUDED   TURBINE FANS (QTY 2), TO BE CHECKED AND QUOTED SEPARETIY."/>
    <m/>
    <m/>
    <s v="11001 · Accounts Receivable"/>
    <x v="232"/>
    <n v="571040.30000000005"/>
  </r>
  <r>
    <x v="1"/>
    <d v="2022-09-14T00:00:00"/>
    <s v="0918"/>
    <x v="8"/>
    <m/>
    <m/>
    <m/>
    <s v="11001 · Accounts Receivable"/>
    <x v="233"/>
    <n v="571198.30000000005"/>
  </r>
  <r>
    <x v="1"/>
    <d v="2022-09-14T00:00:00"/>
    <s v="1062"/>
    <x v="8"/>
    <m/>
    <m/>
    <m/>
    <s v="11001 · Accounts Receivable"/>
    <x v="234"/>
    <n v="571418.94999999995"/>
  </r>
  <r>
    <x v="1"/>
    <d v="2022-09-15T00:00:00"/>
    <s v="1052"/>
    <x v="8"/>
    <m/>
    <m/>
    <m/>
    <s v="11001 · Accounts Receivable"/>
    <x v="235"/>
    <n v="574487.30000000005"/>
  </r>
  <r>
    <x v="1"/>
    <d v="2022-09-15T00:00:00"/>
    <s v="0965"/>
    <x v="21"/>
    <s v="SCOPE OF WORK:    *SUPPLY AND INSTALL LED HIGHBAY FIXTURES SELECTABLE WATTS AND COLOR TEMP."/>
    <m/>
    <m/>
    <s v="11001 · Accounts Receivable"/>
    <x v="236"/>
    <n v="580087.30000000005"/>
  </r>
  <r>
    <x v="1"/>
    <d v="2022-09-15T00:00:00"/>
    <s v="0965"/>
    <x v="21"/>
    <s v="  PRICE INCLUDE:  *SCISSOR LIFT FEES .  *ESA INSPECTION .  *ACCESSORIES AND FITTING.  *REMOVE AN..."/>
    <m/>
    <m/>
    <s v="11001 · Accounts Receivable"/>
    <x v="39"/>
    <n v="580087.30000000005"/>
  </r>
  <r>
    <x v="1"/>
    <d v="2022-09-15T00:00:00"/>
    <s v="0965"/>
    <x v="21"/>
    <s v="PAYMENT TERMS:  * FIRST PAYMENT: 20% UPON APPROVAL.  * SECOND PAYMENT : 40% UPON RECEIVING MATER..."/>
    <m/>
    <m/>
    <s v="11001 · Accounts Receivable"/>
    <x v="39"/>
    <n v="580087.30000000005"/>
  </r>
  <r>
    <x v="1"/>
    <d v="2022-09-15T00:00:00"/>
    <s v="0966"/>
    <x v="6"/>
    <s v="-Installation of 7 RAB projectors.  -Pvc pipes, boxes wp(weather proof), T 90 wires, breakers.  ..."/>
    <m/>
    <m/>
    <s v="11001 · Accounts Receivable"/>
    <x v="7"/>
    <n v="587373.48"/>
  </r>
  <r>
    <x v="1"/>
    <d v="2022-09-15T00:00:00"/>
    <s v="0966"/>
    <x v="6"/>
    <s v="10% DISCOUNT"/>
    <m/>
    <m/>
    <s v="11001 · Accounts Receivable"/>
    <x v="8"/>
    <n v="586644.86"/>
  </r>
  <r>
    <x v="1"/>
    <d v="2022-09-16T00:00:00"/>
    <s v="31 RAILSIDE"/>
    <x v="9"/>
    <m/>
    <m/>
    <m/>
    <s v="11001 · Accounts Receivable"/>
    <x v="237"/>
    <n v="587586.64"/>
  </r>
  <r>
    <x v="1"/>
    <d v="2022-09-16T00:00:00"/>
    <s v="1794 DANFOR"/>
    <x v="9"/>
    <m/>
    <m/>
    <m/>
    <s v="11001 · Accounts Receivable"/>
    <x v="238"/>
    <n v="588167.49"/>
  </r>
  <r>
    <x v="1"/>
    <d v="2022-09-16T00:00:00"/>
    <s v="270 EGLINTO"/>
    <x v="9"/>
    <m/>
    <m/>
    <m/>
    <s v="11001 · Accounts Receivable"/>
    <x v="239"/>
    <n v="588542"/>
  </r>
  <r>
    <x v="1"/>
    <d v="2022-09-16T00:00:00"/>
    <s v="162 LIME ST"/>
    <x v="9"/>
    <m/>
    <m/>
    <m/>
    <s v="11001 · Accounts Receivable"/>
    <x v="240"/>
    <n v="589241.75"/>
  </r>
  <r>
    <x v="1"/>
    <d v="2022-09-16T00:00:00"/>
    <s v="280 GUELPH"/>
    <x v="9"/>
    <m/>
    <m/>
    <m/>
    <s v="11001 · Accounts Receivable"/>
    <x v="241"/>
    <n v="589696.55000000005"/>
  </r>
  <r>
    <x v="1"/>
    <d v="2022-09-16T00:00:00"/>
    <s v="2873 KINGST"/>
    <x v="9"/>
    <m/>
    <m/>
    <m/>
    <s v="11001 · Accounts Receivable"/>
    <x v="242"/>
    <n v="590108.94999999995"/>
  </r>
  <r>
    <x v="1"/>
    <d v="2022-09-16T00:00:00"/>
    <s v="3250 FINCH"/>
    <x v="9"/>
    <m/>
    <m/>
    <m/>
    <s v="11001 · Accounts Receivable"/>
    <x v="243"/>
    <n v="591115.87"/>
  </r>
  <r>
    <x v="1"/>
    <d v="2022-09-19T00:00:00"/>
    <s v="0919"/>
    <x v="8"/>
    <m/>
    <m/>
    <m/>
    <s v="11001 · Accounts Receivable"/>
    <x v="244"/>
    <n v="591497.23"/>
  </r>
  <r>
    <x v="1"/>
    <d v="2022-09-19T00:00:00"/>
    <s v="460 RENFORT"/>
    <x v="9"/>
    <m/>
    <m/>
    <m/>
    <s v="11001 · Accounts Receivable"/>
    <x v="245"/>
    <n v="592042.57999999996"/>
  </r>
  <r>
    <x v="1"/>
    <d v="2022-09-19T00:00:00"/>
    <s v="1110 FINCH"/>
    <x v="9"/>
    <m/>
    <m/>
    <m/>
    <s v="11001 · Accounts Receivable"/>
    <x v="246"/>
    <n v="592669.43999999994"/>
  </r>
  <r>
    <x v="1"/>
    <d v="2022-09-19T00:00:00"/>
    <s v="1061"/>
    <x v="8"/>
    <m/>
    <m/>
    <m/>
    <s v="11001 · Accounts Receivable"/>
    <x v="247"/>
    <n v="593114.36"/>
  </r>
  <r>
    <x v="1"/>
    <d v="2022-09-20T00:00:00"/>
    <s v="248 STIRLIN"/>
    <x v="9"/>
    <m/>
    <m/>
    <m/>
    <s v="11001 · Accounts Receivable"/>
    <x v="248"/>
    <n v="594010.55000000005"/>
  </r>
  <r>
    <x v="1"/>
    <d v="2022-09-20T00:00:00"/>
    <s v="2203 DUNWIN"/>
    <x v="9"/>
    <m/>
    <m/>
    <m/>
    <s v="11001 · Accounts Receivable"/>
    <x v="249"/>
    <n v="594966.88"/>
  </r>
  <r>
    <x v="1"/>
    <d v="2022-09-20T00:00:00"/>
    <s v="0961"/>
    <x v="8"/>
    <m/>
    <m/>
    <m/>
    <s v="11001 · Accounts Receivable"/>
    <x v="250"/>
    <n v="595198.88"/>
  </r>
  <r>
    <x v="1"/>
    <d v="2022-09-20T00:00:00"/>
    <s v="0964"/>
    <x v="22"/>
    <s v="SCOPE OF WORK :"/>
    <m/>
    <m/>
    <s v="11001 · Accounts Receivable"/>
    <x v="251"/>
    <n v="640198.88"/>
  </r>
  <r>
    <x v="1"/>
    <d v="2022-09-20T00:00:00"/>
    <s v="0964"/>
    <x v="22"/>
    <s v="PRICE INCLUDED :"/>
    <m/>
    <m/>
    <s v="11001 · Accounts Receivable"/>
    <x v="39"/>
    <n v="640198.88"/>
  </r>
  <r>
    <x v="1"/>
    <d v="2022-09-20T00:00:00"/>
    <s v="0964"/>
    <x v="22"/>
    <s v="PAYMENT TERMS:  * FIRST PAYMENT: 20% UPON APPROVAL.  * SECOND PAYMENT : 40% UPON RECEIVING  MATE..."/>
    <m/>
    <m/>
    <s v="11001 · Accounts Receivable"/>
    <x v="39"/>
    <n v="640198.88"/>
  </r>
  <r>
    <x v="1"/>
    <d v="2022-09-23T00:00:00"/>
    <s v="71 GLEN CAM"/>
    <x v="9"/>
    <m/>
    <m/>
    <m/>
    <s v="11001 · Accounts Receivable"/>
    <x v="165"/>
    <n v="641154.31999999995"/>
  </r>
  <r>
    <x v="1"/>
    <d v="2022-09-23T00:00:00"/>
    <s v="1288 RITSON"/>
    <x v="9"/>
    <m/>
    <m/>
    <m/>
    <s v="11001 · Accounts Receivable"/>
    <x v="252"/>
    <n v="641628.72"/>
  </r>
  <r>
    <x v="1"/>
    <d v="2022-09-23T00:00:00"/>
    <s v="487 CORNWAL"/>
    <x v="9"/>
    <m/>
    <m/>
    <m/>
    <s v="11001 · Accounts Receivable"/>
    <x v="253"/>
    <n v="641983.72"/>
  </r>
  <r>
    <x v="1"/>
    <d v="2022-09-23T00:00:00"/>
    <s v="491 APPLEBY"/>
    <x v="9"/>
    <m/>
    <m/>
    <m/>
    <s v="11001 · Accounts Receivable"/>
    <x v="254"/>
    <n v="642203.72"/>
  </r>
  <r>
    <x v="1"/>
    <d v="2022-09-27T00:00:00"/>
    <s v="80 CARLAUR"/>
    <x v="9"/>
    <m/>
    <m/>
    <m/>
    <s v="11001 · Accounts Receivable"/>
    <x v="99"/>
    <n v="642738.72"/>
  </r>
  <r>
    <x v="1"/>
    <d v="2022-09-29T00:00:00"/>
    <s v="0962"/>
    <x v="8"/>
    <m/>
    <m/>
    <m/>
    <s v="11001 · Accounts Receivable"/>
    <x v="255"/>
    <n v="643539.37"/>
  </r>
  <r>
    <x v="1"/>
    <d v="2022-09-30T00:00:00"/>
    <s v="300 GUELPH"/>
    <x v="9"/>
    <m/>
    <m/>
    <m/>
    <s v="11001 · Accounts Receivable"/>
    <x v="256"/>
    <n v="644364.56000000006"/>
  </r>
  <r>
    <x v="1"/>
    <d v="2022-09-30T00:00:00"/>
    <s v="4580 EASTGA"/>
    <x v="9"/>
    <m/>
    <m/>
    <m/>
    <s v="11001 · Accounts Receivable"/>
    <x v="257"/>
    <n v="644903.48"/>
  </r>
  <r>
    <x v="1"/>
    <d v="2022-09-30T00:00:00"/>
    <s v="1063 MCNICO"/>
    <x v="9"/>
    <m/>
    <m/>
    <m/>
    <s v="11001 · Accounts Receivable"/>
    <x v="258"/>
    <n v="645673.04"/>
  </r>
  <r>
    <x v="1"/>
    <d v="2022-09-30T00:00:00"/>
    <s v="94 DUNDAS"/>
    <x v="9"/>
    <m/>
    <m/>
    <m/>
    <s v="11001 · Accounts Receivable"/>
    <x v="259"/>
    <n v="645892.59"/>
  </r>
  <r>
    <x v="1"/>
    <d v="2022-09-30T00:00:00"/>
    <s v="280 DERRY"/>
    <x v="9"/>
    <m/>
    <m/>
    <m/>
    <s v="11001 · Accounts Receivable"/>
    <x v="155"/>
    <n v="645962.59"/>
  </r>
  <r>
    <x v="1"/>
    <d v="2022-09-30T00:00:00"/>
    <s v="23546 WOOD"/>
    <x v="9"/>
    <m/>
    <m/>
    <m/>
    <s v="11001 · Accounts Receivable"/>
    <x v="260"/>
    <n v="646883.14"/>
  </r>
  <r>
    <x v="1"/>
    <d v="2022-10-05T00:00:00"/>
    <s v="270 KINGSWA"/>
    <x v="9"/>
    <m/>
    <m/>
    <m/>
    <s v="11001 · Accounts Receivable"/>
    <x v="261"/>
    <n v="647235.24"/>
  </r>
  <r>
    <x v="1"/>
    <d v="2022-10-11T00:00:00"/>
    <s v="UNIT 201B"/>
    <x v="9"/>
    <m/>
    <m/>
    <m/>
    <s v="11001 · Accounts Receivable"/>
    <x v="262"/>
    <n v="648206.76"/>
  </r>
  <r>
    <x v="1"/>
    <d v="2022-10-11T00:00:00"/>
    <s v="UNIT 201B F"/>
    <x v="9"/>
    <m/>
    <m/>
    <m/>
    <s v="11001 · Accounts Receivable"/>
    <x v="262"/>
    <n v="649178.28"/>
  </r>
  <r>
    <x v="1"/>
    <d v="2022-10-13T00:00:00"/>
    <s v="0961"/>
    <x v="23"/>
    <s v="20% ADVANCED PAYMENT FOR THE JOB # 0510-2225 DATED(10/06-2022)"/>
    <m/>
    <m/>
    <s v="11001 · Accounts Receivable"/>
    <x v="263"/>
    <n v="651148.28"/>
  </r>
  <r>
    <x v="1"/>
    <d v="2022-10-13T00:00:00"/>
    <s v="0962"/>
    <x v="6"/>
    <s v="SCOPE OF WORK :  OPTION 1:    SUPPLY AND INSTALL(2'X4') LED FLAT PANELS 5000K COLOR TEMP.  INCLU..."/>
    <m/>
    <m/>
    <s v="11001 · Accounts Receivable"/>
    <x v="264"/>
    <n v="655498.28"/>
  </r>
  <r>
    <x v="1"/>
    <d v="2022-10-13T00:00:00"/>
    <s v="0962"/>
    <x v="6"/>
    <s v="PAYMENT TERMS:  * FIRST PAYMENT: 20% UPON APPROVAL.  * SECOND PAYMENT : 40% UPON RECEIVING  MATE..."/>
    <m/>
    <m/>
    <s v="11001 · Accounts Receivable"/>
    <x v="39"/>
    <n v="655498.28"/>
  </r>
  <r>
    <x v="1"/>
    <d v="2022-10-13T00:00:00"/>
    <s v="51 LEBOVIC"/>
    <x v="9"/>
    <m/>
    <m/>
    <m/>
    <s v="11001 · Accounts Receivable"/>
    <x v="254"/>
    <n v="655718.28"/>
  </r>
  <r>
    <x v="1"/>
    <d v="2022-10-13T00:00:00"/>
    <s v="2105 MIDLAN"/>
    <x v="9"/>
    <m/>
    <m/>
    <m/>
    <s v="11001 · Accounts Receivable"/>
    <x v="265"/>
    <n v="657404.79"/>
  </r>
  <r>
    <x v="1"/>
    <d v="2022-10-17T00:00:00"/>
    <s v="0963"/>
    <x v="22"/>
    <s v="BASED ON THE ESTIMATE #0510-2223 THERE IS A 20% AMOUNT DUE THAT NEEDS TO BE PAID"/>
    <m/>
    <m/>
    <s v="11001 · Accounts Receivable"/>
    <x v="266"/>
    <n v="666404.79"/>
  </r>
  <r>
    <x v="1"/>
    <d v="2022-10-17T00:00:00"/>
    <s v="0964"/>
    <x v="4"/>
    <s v="BASED ON ESTIMATE #0510-2212 THERE IS A 40% AMOUNT DUE ( MATERIAL RECEIVED ) FOR THE SECOND PAYM..."/>
    <m/>
    <m/>
    <s v="11001 · Accounts Receivable"/>
    <x v="267"/>
    <n v="672804.79"/>
  </r>
  <r>
    <x v="1"/>
    <d v="2022-10-17T00:00:00"/>
    <s v="0700"/>
    <x v="8"/>
    <m/>
    <m/>
    <m/>
    <s v="11001 · Accounts Receivable"/>
    <x v="268"/>
    <n v="672989.89"/>
  </r>
  <r>
    <x v="1"/>
    <d v="2022-10-17T00:00:00"/>
    <s v="0510-2222"/>
    <x v="24"/>
    <m/>
    <m/>
    <m/>
    <s v="11001 · Accounts Receivable"/>
    <x v="269"/>
    <n v="673174.98"/>
  </r>
  <r>
    <x v="1"/>
    <d v="2022-10-24T00:00:00"/>
    <s v="AC80004-22"/>
    <x v="1"/>
    <s v="Electrical installation as per drawings"/>
    <m/>
    <m/>
    <s v="11001 · Accounts Receivable"/>
    <x v="270"/>
    <n v="689174.98"/>
  </r>
  <r>
    <x v="1"/>
    <d v="2022-10-24T00:00:00"/>
    <s v="AC80004-22"/>
    <x v="1"/>
    <s v="Automatic door w/c"/>
    <m/>
    <m/>
    <s v="11001 · Accounts Receivable"/>
    <x v="271"/>
    <n v="691924.98"/>
  </r>
  <r>
    <x v="1"/>
    <d v="2022-10-24T00:00:00"/>
    <s v="AC80004-22"/>
    <x v="1"/>
    <s v="Automatic front door"/>
    <m/>
    <m/>
    <s v="11001 · Accounts Receivable"/>
    <x v="93"/>
    <n v="693524.98"/>
  </r>
  <r>
    <x v="1"/>
    <d v="2022-10-24T00:00:00"/>
    <s v="AC80004-22"/>
    <x v="1"/>
    <s v="1 Hand dryer"/>
    <m/>
    <m/>
    <s v="11001 · Accounts Receivable"/>
    <x v="272"/>
    <n v="694024.98"/>
  </r>
  <r>
    <x v="1"/>
    <d v="2022-10-24T00:00:00"/>
    <s v="AC80004-22"/>
    <x v="1"/>
    <s v="E.S.A. Permit included"/>
    <m/>
    <m/>
    <s v="11001 · Accounts Receivable"/>
    <x v="39"/>
    <n v="694024.98"/>
  </r>
  <r>
    <x v="1"/>
    <d v="2022-11-01T00:00:00"/>
    <s v="9-27-22AC1"/>
    <x v="21"/>
    <s v="FIRST PAYMENT: 20% UPON APPROVAL."/>
    <m/>
    <m/>
    <s v="11001 · Accounts Receivable"/>
    <x v="273"/>
    <n v="695144.98"/>
  </r>
  <r>
    <x v="1"/>
    <d v="2022-11-01T00:00:00"/>
    <s v="0963"/>
    <x v="1"/>
    <s v="FINAL PAYMENT DUE FOR BICTON LOCATION"/>
    <m/>
    <m/>
    <s v="11001 · Accounts Receivable"/>
    <x v="274"/>
    <n v="706244.98"/>
  </r>
  <r>
    <x v="1"/>
    <d v="2022-11-01T00:00:00"/>
    <s v="0974"/>
    <x v="19"/>
    <s v="SUPPLYING MATERIALS / EQUIPMENT 20%"/>
    <m/>
    <m/>
    <s v="11001 · Accounts Receivable"/>
    <x v="275"/>
    <n v="746244.98"/>
  </r>
  <r>
    <x v="1"/>
    <d v="2022-11-01T00:00:00"/>
    <s v="0974"/>
    <x v="19"/>
    <s v="LABOUR 20%"/>
    <m/>
    <m/>
    <s v="11001 · Accounts Receivable"/>
    <x v="276"/>
    <n v="770244.98"/>
  </r>
  <r>
    <x v="1"/>
    <d v="2022-11-01T00:00:00"/>
    <s v="0974"/>
    <x v="19"/>
    <s v="WARRANTY / ACCESS 100%"/>
    <m/>
    <m/>
    <s v="11001 · Accounts Receivable"/>
    <x v="277"/>
    <n v="785244.98"/>
  </r>
  <r>
    <x v="1"/>
    <d v="2022-11-01T00:00:00"/>
    <s v="0974"/>
    <x v="19"/>
    <s v="DEMOLITION 43%"/>
    <m/>
    <m/>
    <s v="11001 · Accounts Receivable"/>
    <x v="277"/>
    <n v="800244.98"/>
  </r>
  <r>
    <x v="1"/>
    <d v="2022-11-01T00:00:00"/>
    <s v="0974"/>
    <x v="19"/>
    <s v="RECYCLING 33%"/>
    <m/>
    <m/>
    <s v="11001 · Accounts Receivable"/>
    <x v="278"/>
    <n v="803244.98"/>
  </r>
  <r>
    <x v="1"/>
    <d v="2022-11-01T00:00:00"/>
    <s v="0974"/>
    <x v="19"/>
    <s v="CEILING MATERIALS 100%"/>
    <m/>
    <m/>
    <s v="11001 · Accounts Receivable"/>
    <x v="270"/>
    <n v="819244.98"/>
  </r>
  <r>
    <x v="1"/>
    <d v="2022-11-01T00:00:00"/>
    <s v="0974"/>
    <x v="19"/>
    <s v="10%"/>
    <m/>
    <m/>
    <s v="11001 · Accounts Receivable"/>
    <x v="279"/>
    <n v="807944.98"/>
  </r>
  <r>
    <x v="1"/>
    <d v="2022-11-02T00:00:00"/>
    <s v="0973"/>
    <x v="23"/>
    <s v="FINAL PAYMENT  80% UPON FINISHING"/>
    <m/>
    <m/>
    <s v="11001 · Accounts Receivable"/>
    <x v="280"/>
    <n v="815824.98"/>
  </r>
  <r>
    <x v="1"/>
    <d v="2022-11-04T00:00:00"/>
    <s v="0510-2228"/>
    <x v="16"/>
    <s v="SCOPE OF WORK   OPTION 2  * REMOVE THE SKYLIGHT (4) EXISTING FIXTURES  * SUPPLY AND INSTALL 8 ( ..."/>
    <m/>
    <m/>
    <s v="11001 · Accounts Receivable"/>
    <x v="39"/>
    <n v="815824.98"/>
  </r>
  <r>
    <x v="1"/>
    <d v="2022-11-04T00:00:00"/>
    <s v="0510-2228"/>
    <x v="16"/>
    <s v="OFFER INCLUDED:  * ALL MATERIAL INCLUDING ADAPTERS AND FITTING PLUS LABOUR.  * SCISSOR LIFT FEES..."/>
    <m/>
    <m/>
    <s v="11001 · Accounts Receivable"/>
    <x v="118"/>
    <n v="819234.98"/>
  </r>
  <r>
    <x v="1"/>
    <d v="2022-11-04T00:00:00"/>
    <s v="0510-2229"/>
    <x v="18"/>
    <s v="SCOPE OF WORK :"/>
    <m/>
    <m/>
    <s v="11001 · Accounts Receivable"/>
    <x v="39"/>
    <n v="819234.98"/>
  </r>
  <r>
    <x v="1"/>
    <d v="2022-11-04T00:00:00"/>
    <s v="0510-2229"/>
    <x v="18"/>
    <s v="1- SUPPLY AND INSTALL 14*2 CABLE IN THE PLAZA (45M)"/>
    <m/>
    <m/>
    <s v="11001 · Accounts Receivable"/>
    <x v="281"/>
    <n v="820359.98"/>
  </r>
  <r>
    <x v="2"/>
    <d v="2022-11-07T00:00:00"/>
    <s v="0975c"/>
    <x v="25"/>
    <s v="credit memo against Invoice dated August 3, 2022"/>
    <m/>
    <m/>
    <s v="11001 · Accounts Receivable"/>
    <x v="282"/>
    <n v="794359.98"/>
  </r>
  <r>
    <x v="2"/>
    <d v="2022-11-07T00:00:00"/>
    <s v="0977c"/>
    <x v="26"/>
    <s v="credit memo to adjust Bar Burrito revenue vs. Manar revenue to actual"/>
    <m/>
    <m/>
    <s v="11001 · Accounts Receivable"/>
    <x v="283"/>
    <n v="789359.98"/>
  </r>
  <r>
    <x v="2"/>
    <d v="2022-11-07T00:00:00"/>
    <s v="0978c"/>
    <x v="4"/>
    <m/>
    <m/>
    <m/>
    <s v="11001 · Accounts Receivable"/>
    <x v="284"/>
    <n v="781209.54"/>
  </r>
  <r>
    <x v="2"/>
    <d v="2022-11-07T00:00:00"/>
    <s v="0979c"/>
    <x v="16"/>
    <s v="SCOPE OF WORK   OPTION 2  * REMOVE THE SKYLIGHT (4) EXISTING FIXTURES  * SUPPLY AND INSTALL 8 ( ..."/>
    <m/>
    <m/>
    <s v="11001 · Accounts Receivable"/>
    <x v="39"/>
    <n v="781209.54"/>
  </r>
  <r>
    <x v="2"/>
    <d v="2022-11-07T00:00:00"/>
    <s v="0979c"/>
    <x v="16"/>
    <s v="OFFER INCLUDED:  * ALL MATERIAL INCLUDING ADAPTERS AND FITTING PLUS LABOUR.  * SCISSOR LIFT FEES..."/>
    <m/>
    <m/>
    <s v="11001 · Accounts Receivable"/>
    <x v="285"/>
    <n v="777799.54"/>
  </r>
  <r>
    <x v="2"/>
    <d v="2022-11-07T00:00:00"/>
    <s v="0980c"/>
    <x v="16"/>
    <m/>
    <m/>
    <m/>
    <s v="11001 · Accounts Receivable"/>
    <x v="286"/>
    <n v="760599.54"/>
  </r>
  <r>
    <x v="2"/>
    <d v="2022-11-07T00:00:00"/>
    <s v="0981c"/>
    <x v="4"/>
    <s v="SCOPE OF WORK:   ELECTRICAL INSTALLATION AS PER THE DRAWINGS   THE OFFER EXCLUDES:   "/>
    <m/>
    <m/>
    <s v="11001 · Accounts Receivable"/>
    <x v="39"/>
    <n v="760599.54"/>
  </r>
  <r>
    <x v="2"/>
    <d v="2022-11-07T00:00:00"/>
    <s v="0981c"/>
    <x v="4"/>
    <s v="1- AUTOMATIC DOORS INSTALLATION   2- COMPUTER CABLES INSTALLATION  3- MAIN TRANSFORMER"/>
    <m/>
    <m/>
    <s v="11001 · Accounts Receivable"/>
    <x v="39"/>
    <n v="760599.54"/>
  </r>
  <r>
    <x v="2"/>
    <d v="2022-11-07T00:00:00"/>
    <s v="0981c"/>
    <x v="4"/>
    <m/>
    <m/>
    <m/>
    <s v="11001 · Accounts Receivable"/>
    <x v="287"/>
    <n v="740599.54"/>
  </r>
  <r>
    <x v="2"/>
    <d v="2022-11-07T00:00:00"/>
    <s v="0982c"/>
    <x v="1"/>
    <m/>
    <m/>
    <m/>
    <s v="11001 · Accounts Receivable"/>
    <x v="288"/>
    <n v="718849.54"/>
  </r>
  <r>
    <x v="2"/>
    <d v="2022-11-07T00:00:00"/>
    <s v="0983c"/>
    <x v="22"/>
    <s v="SCOPE OF WORK :"/>
    <m/>
    <m/>
    <s v="11001 · Accounts Receivable"/>
    <x v="289"/>
    <n v="673849.54"/>
  </r>
  <r>
    <x v="2"/>
    <d v="2022-11-07T00:00:00"/>
    <s v="0983c"/>
    <x v="22"/>
    <s v="PRICE INCLUDED :"/>
    <m/>
    <m/>
    <s v="11001 · Accounts Receivable"/>
    <x v="39"/>
    <n v="673849.54"/>
  </r>
  <r>
    <x v="2"/>
    <d v="2022-11-07T00:00:00"/>
    <s v="0983c"/>
    <x v="22"/>
    <s v="PAYMENT TERMS:  * FIRST PAYMENT: 20% UPON APPROVAL.  * SECOND PAYMENT : 40% UPON RECEIVING  MATE..."/>
    <m/>
    <m/>
    <s v="11001 · Accounts Receivable"/>
    <x v="39"/>
    <n v="673849.54"/>
  </r>
  <r>
    <x v="2"/>
    <d v="2022-11-07T00:00:00"/>
    <s v="0984c"/>
    <x v="13"/>
    <s v="-ARRANGING ALL CABLES AND PANELS  -REMOVING AND RECYCLING ALL UNWANTED WIRES AND RECEPTACLES.  -..."/>
    <m/>
    <m/>
    <s v="11001 · Accounts Receivable"/>
    <x v="39"/>
    <n v="673849.54"/>
  </r>
  <r>
    <x v="2"/>
    <d v="2022-11-07T00:00:00"/>
    <s v="0984c"/>
    <x v="13"/>
    <s v="-2 DAYS WORKING LABOUR AND MATERIAL   -OPTIONS ( NOT INCLUDED IN THE ORIGINAL OFFER ).  -REMOVE ..."/>
    <m/>
    <m/>
    <s v="11001 · Accounts Receivable"/>
    <x v="290"/>
    <n v="672249.54"/>
  </r>
  <r>
    <x v="2"/>
    <d v="2022-11-07T00:00:00"/>
    <s v="0984c"/>
    <x v="13"/>
    <s v="-REMOVING FLUORESCENT 8' FIXTURES IN THE BACK AREA ( NO JUNK ). LABOUR AND MATERIAL ."/>
    <m/>
    <m/>
    <s v="11001 · Accounts Receivable"/>
    <x v="291"/>
    <n v="671849.54"/>
  </r>
  <r>
    <x v="2"/>
    <d v="2022-11-07T00:00:00"/>
    <s v="0984c"/>
    <x v="13"/>
    <s v="-REPLACING ALL SWITCHES AND RECEPTACLES IN THE OFFICES AREA. LABOUR AND MATERIAL."/>
    <m/>
    <m/>
    <s v="11001 · Accounts Receivable"/>
    <x v="292"/>
    <n v="671249.54"/>
  </r>
  <r>
    <x v="2"/>
    <d v="2022-11-07T00:00:00"/>
    <s v="0984c"/>
    <x v="13"/>
    <s v="-EXIT SIGNS AND EMERGENCY LIGHTS IN THE WHOLE AREA ACCORDING TO THE ELECTRICAL BUILDING CODE IN ..."/>
    <m/>
    <m/>
    <s v="11001 · Accounts Receivable"/>
    <x v="293"/>
    <n v="668749.54"/>
  </r>
  <r>
    <x v="1"/>
    <d v="2022-11-07T00:00:00"/>
    <s v="0985c"/>
    <x v="1"/>
    <s v="PRICE DIFFERENCE IN AUTOMATIC DOOR W/C AND AUTOMATIC FRONT DOOR"/>
    <m/>
    <m/>
    <s v="11001 · Accounts Receivable"/>
    <x v="294"/>
    <n v="669399.54"/>
  </r>
  <r>
    <x v="1"/>
    <d v="2022-11-08T00:00:00"/>
    <s v="0510-2214"/>
    <x v="18"/>
    <s v="SCOPE OF WORK :"/>
    <m/>
    <m/>
    <s v="11001 · Accounts Receivable"/>
    <x v="39"/>
    <n v="669399.54"/>
  </r>
  <r>
    <x v="1"/>
    <d v="2022-11-08T00:00:00"/>
    <s v="0510-2214"/>
    <x v="18"/>
    <s v="1- SUPPLY AND INSTALL 14*2 CABLE IN THE PLAZA (45M)"/>
    <m/>
    <m/>
    <s v="11001 · Accounts Receivable"/>
    <x v="281"/>
    <n v="670524.54"/>
  </r>
  <r>
    <x v="1"/>
    <d v="2022-11-11T00:00:00"/>
    <s v="0510-2215"/>
    <x v="27"/>
    <s v="SCOPE OF WORK:  EXTRA RECEPTACLES AND ELECTRICAL WORK"/>
    <m/>
    <m/>
    <s v="11001 · Accounts Receivable"/>
    <x v="295"/>
    <n v="674024.54"/>
  </r>
  <r>
    <x v="1"/>
    <d v="2022-11-14T00:00:00"/>
    <s v="0510-2220"/>
    <x v="18"/>
    <s v="ALL ELECTRIC WORK ACCORDING TO THE DRAWING"/>
    <m/>
    <m/>
    <s v="11001 · Accounts Receivable"/>
    <x v="296"/>
    <n v="693524.54"/>
  </r>
  <r>
    <x v="1"/>
    <d v="2022-11-17T00:00:00"/>
    <s v="0510-2216"/>
    <x v="28"/>
    <s v="1- SUPPLY AND INSTALL 9-8' LED- 90W - 5000K LIGHT FIXTURES IN DIFFERENT AREAS INSIDE THE WAREHOU..."/>
    <m/>
    <m/>
    <s v="11001 · Accounts Receivable"/>
    <x v="297"/>
    <n v="698924.54"/>
  </r>
  <r>
    <x v="1"/>
    <d v="2022-11-17T00:00:00"/>
    <s v="0510-2216"/>
    <x v="28"/>
    <s v="OFFER INCLUDES :    * SCISSOR LIFT    * ESA INSPECTION     * LABOUR AND MATERIAL PLUS ACCESSORIE..."/>
    <m/>
    <m/>
    <s v="11001 · Accounts Receivable"/>
    <x v="39"/>
    <n v="698924.54"/>
  </r>
  <r>
    <x v="1"/>
    <d v="2022-11-21T00:00:00"/>
    <s v="0510-2218"/>
    <x v="18"/>
    <s v="SUPPLY &amp; INSTALL AUTOMATIC DOOR"/>
    <m/>
    <m/>
    <s v="11001 · Accounts Receivable"/>
    <x v="298"/>
    <n v="702024.54"/>
  </r>
  <r>
    <x v="1"/>
    <d v="2022-12-02T00:00:00"/>
    <s v="0510-2221"/>
    <x v="29"/>
    <s v="REMOVAL"/>
    <m/>
    <m/>
    <s v="11001 · Accounts Receivable"/>
    <x v="299"/>
    <n v="703224.54"/>
  </r>
  <r>
    <x v="1"/>
    <d v="2022-12-06T00:00:00"/>
    <s v="0510-2224"/>
    <x v="30"/>
    <s v="FIRST PAYMENT"/>
    <m/>
    <m/>
    <s v="11001 · Accounts Receivable"/>
    <x v="300"/>
    <n v="708976.75"/>
  </r>
  <r>
    <x v="1"/>
    <d v="2022-12-07T00:00:00"/>
    <s v="0510-2226"/>
    <x v="31"/>
    <m/>
    <m/>
    <m/>
    <s v="11001 · Accounts Receivable"/>
    <x v="301"/>
    <n v="709276.75"/>
  </r>
  <r>
    <x v="1"/>
    <d v="2022-12-07T00:00:00"/>
    <s v="0510-2227"/>
    <x v="32"/>
    <s v="SUPPLY AND INSTALL (2*4) LED FLAT PANELS 4000K"/>
    <m/>
    <m/>
    <s v="11001 · Accounts Receivable"/>
    <x v="302"/>
    <n v="711496.75"/>
  </r>
  <r>
    <x v="1"/>
    <d v="2022-12-09T00:00:00"/>
    <s v="0510-2223"/>
    <x v="33"/>
    <s v="FIRST PAYMENT"/>
    <m/>
    <m/>
    <s v="11001 · Accounts Receivable"/>
    <x v="303"/>
    <n v="713266.66"/>
  </r>
  <r>
    <x v="1"/>
    <d v="2022-12-09T00:00:00"/>
    <s v="0510-2225"/>
    <x v="30"/>
    <s v="FINAL PAYMENT"/>
    <m/>
    <m/>
    <s v="11001 · Accounts Receivable"/>
    <x v="304"/>
    <n v="718514.35"/>
  </r>
  <r>
    <x v="1"/>
    <d v="2022-12-15T00:00:00"/>
    <s v="0510-2230"/>
    <x v="4"/>
    <s v="SECOND PAYMENT FOR THIS JOB"/>
    <m/>
    <m/>
    <s v="11001 · Accounts Receivable"/>
    <x v="305"/>
    <n v="725014.35"/>
  </r>
  <r>
    <x v="1"/>
    <d v="2022-12-16T00:00:00"/>
    <s v="0510-2231"/>
    <x v="4"/>
    <s v="AUTOMATION PANEL AS PER THE QUOTATION"/>
    <m/>
    <m/>
    <s v="11001 · Accounts Receivable"/>
    <x v="299"/>
    <n v="726214.35"/>
  </r>
  <r>
    <x v="1"/>
    <d v="2022-12-16T00:00:00"/>
    <s v="0510-2232"/>
    <x v="1"/>
    <s v="FINAL PAYMENT"/>
    <m/>
    <m/>
    <s v="11001 · Accounts Receivable"/>
    <x v="306"/>
    <n v="735590.46"/>
  </r>
  <r>
    <x v="1"/>
    <d v="2022-12-17T00:00:00"/>
    <s v="0510-2233"/>
    <x v="30"/>
    <s v="SCOPE OF WORK :  ALL ELECTRICAL WORK ACCORDING TO THE DRAWING .  "/>
    <m/>
    <m/>
    <s v="11001 · Accounts Receivable"/>
    <x v="96"/>
    <n v="755590.46"/>
  </r>
  <r>
    <x v="1"/>
    <d v="2022-12-17T00:00:00"/>
    <s v="0510-2233"/>
    <x v="30"/>
    <s v="PAYMENT TERMS:  * FIRST PAYMENT: 20% UPON APPROVAL.  * SECOND PAYMENT : 40% UPON RECEIVING  MATE..."/>
    <m/>
    <m/>
    <s v="11001 · Accounts Receivable"/>
    <x v="39"/>
    <n v="755590.46"/>
  </r>
  <r>
    <x v="1"/>
    <d v="2022-12-30T00:00:00"/>
    <s v="0510-2234"/>
    <x v="4"/>
    <s v="FINAL PAYMENT FOR LONDON JOB LOCATED AT ( 170 ADELAIDE ST ) LONDON ONTARIO"/>
    <m/>
    <m/>
    <s v="11001 · Accounts Receivable"/>
    <x v="307"/>
    <n v="762690.46"/>
  </r>
  <r>
    <x v="0"/>
    <m/>
    <m/>
    <x v="0"/>
    <m/>
    <m/>
    <m/>
    <m/>
    <x v="308"/>
    <n v="762690.46"/>
  </r>
  <r>
    <x v="0"/>
    <m/>
    <m/>
    <x v="0"/>
    <m/>
    <m/>
    <m/>
    <m/>
    <x v="0"/>
    <m/>
  </r>
  <r>
    <x v="3"/>
    <d v="2022-07-26T00:00:00"/>
    <s v="40"/>
    <x v="0"/>
    <s v="deposit for ev charge marketing"/>
    <m/>
    <m/>
    <s v="11800 · CIBC"/>
    <x v="309"/>
    <n v="1364.63"/>
  </r>
  <r>
    <x v="3"/>
    <d v="2022-08-12T00:00:00"/>
    <s v="44"/>
    <x v="0"/>
    <s v="MISC. DEPOSIT FROM URBAND ENVIROMENT CENTRE"/>
    <m/>
    <m/>
    <s v="11800 · CIBC"/>
    <x v="310"/>
    <n v="4022.21"/>
  </r>
  <r>
    <x v="3"/>
    <d v="2022-08-24T00:00:00"/>
    <s v="46"/>
    <x v="0"/>
    <s v="TRANSFER FROM VALENTIN HAROON"/>
    <m/>
    <m/>
    <s v="11800 · CIBC"/>
    <x v="311"/>
    <n v="4372.21"/>
  </r>
  <r>
    <x v="3"/>
    <d v="2022-10-19T00:00:00"/>
    <s v="61"/>
    <x v="0"/>
    <m/>
    <m/>
    <m/>
    <s v="11800 · CIBC"/>
    <x v="312"/>
    <n v="6914.71"/>
  </r>
  <r>
    <x v="0"/>
    <m/>
    <m/>
    <x v="0"/>
    <m/>
    <m/>
    <m/>
    <m/>
    <x v="313"/>
    <n v="6914.71"/>
  </r>
  <r>
    <x v="0"/>
    <m/>
    <m/>
    <x v="0"/>
    <m/>
    <m/>
    <m/>
    <m/>
    <x v="0"/>
    <m/>
  </r>
  <r>
    <x v="4"/>
    <d v="2022-06-25T00:00:00"/>
    <m/>
    <x v="0"/>
    <m/>
    <m/>
    <m/>
    <s v="CIBC VISA"/>
    <x v="314"/>
    <n v="-166.94"/>
  </r>
  <r>
    <x v="0"/>
    <m/>
    <m/>
    <x v="0"/>
    <m/>
    <m/>
    <m/>
    <m/>
    <x v="314"/>
    <n v="-166.94"/>
  </r>
  <r>
    <x v="0"/>
    <m/>
    <m/>
    <x v="0"/>
    <m/>
    <m/>
    <m/>
    <m/>
    <x v="315"/>
    <n v="769438.23"/>
  </r>
  <r>
    <x v="0"/>
    <m/>
    <m/>
    <x v="0"/>
    <m/>
    <m/>
    <m/>
    <m/>
    <x v="0"/>
    <m/>
  </r>
  <r>
    <x v="5"/>
    <s v="Date"/>
    <s v="Num"/>
    <x v="34"/>
    <s v="Memo"/>
    <s v="Class"/>
    <s v="Clr"/>
    <s v="Split"/>
    <x v="316"/>
    <m/>
  </r>
  <r>
    <x v="6"/>
    <d v="2022-04-22T00:00:00"/>
    <s v="4792779"/>
    <x v="35"/>
    <m/>
    <m/>
    <m/>
    <s v="20000 · Accounts Payable"/>
    <x v="317"/>
    <n v="2900.1"/>
  </r>
  <r>
    <x v="6"/>
    <d v="2022-05-12T00:00:00"/>
    <s v="105482"/>
    <x v="36"/>
    <m/>
    <m/>
    <m/>
    <s v="20000 · Accounts Payable"/>
    <x v="318"/>
    <n v="6755.1"/>
  </r>
  <r>
    <x v="4"/>
    <d v="2022-05-12T00:00:00"/>
    <m/>
    <x v="37"/>
    <m/>
    <m/>
    <m/>
    <s v="CIBC VISA"/>
    <x v="319"/>
    <n v="8314.6"/>
  </r>
  <r>
    <x v="4"/>
    <d v="2022-05-17T00:00:00"/>
    <m/>
    <x v="37"/>
    <m/>
    <m/>
    <m/>
    <s v="21000 · RBC Visa Avion"/>
    <x v="0"/>
    <n v="8314.6"/>
  </r>
  <r>
    <x v="4"/>
    <d v="2022-05-18T00:00:00"/>
    <m/>
    <x v="37"/>
    <m/>
    <m/>
    <m/>
    <s v="21000 · RBC Visa Avion"/>
    <x v="0"/>
    <n v="8314.6"/>
  </r>
  <r>
    <x v="7"/>
    <d v="2022-05-26T00:00:00"/>
    <m/>
    <x v="38"/>
    <s v="PAID FROM DIAA PERSONAL ACCOUNT"/>
    <m/>
    <m/>
    <s v="11800 · CIBC"/>
    <x v="320"/>
    <n v="8740.07"/>
  </r>
  <r>
    <x v="6"/>
    <d v="2022-05-27T00:00:00"/>
    <m/>
    <x v="39"/>
    <m/>
    <m/>
    <m/>
    <s v="20000 · Accounts Payable"/>
    <x v="233"/>
    <n v="8898.07"/>
  </r>
  <r>
    <x v="6"/>
    <d v="2022-05-27T00:00:00"/>
    <m/>
    <x v="39"/>
    <m/>
    <m/>
    <m/>
    <s v="20000 · Accounts Payable"/>
    <x v="321"/>
    <n v="9658.7800000000007"/>
  </r>
  <r>
    <x v="7"/>
    <d v="2022-07-05T00:00:00"/>
    <s v="1684"/>
    <x v="40"/>
    <m/>
    <m/>
    <m/>
    <s v="11800 · CIBC"/>
    <x v="322"/>
    <n v="9919.48"/>
  </r>
  <r>
    <x v="6"/>
    <d v="2022-07-12T00:00:00"/>
    <m/>
    <x v="41"/>
    <m/>
    <m/>
    <m/>
    <s v="20000 · Accounts Payable"/>
    <x v="323"/>
    <n v="15734.48"/>
  </r>
  <r>
    <x v="7"/>
    <d v="2022-07-14T00:00:00"/>
    <m/>
    <x v="38"/>
    <m/>
    <m/>
    <m/>
    <s v="11800 · CIBC"/>
    <x v="324"/>
    <n v="16046.41"/>
  </r>
  <r>
    <x v="6"/>
    <d v="2022-08-04T00:00:00"/>
    <s v="492153-00"/>
    <x v="42"/>
    <m/>
    <m/>
    <m/>
    <s v="20000 · Accounts Payable"/>
    <x v="325"/>
    <n v="18118.07"/>
  </r>
  <r>
    <x v="6"/>
    <d v="2022-09-16T00:00:00"/>
    <m/>
    <x v="43"/>
    <m/>
    <m/>
    <m/>
    <s v="20000 · Accounts Payable"/>
    <x v="326"/>
    <n v="18846.900000000001"/>
  </r>
  <r>
    <x v="7"/>
    <d v="2022-09-26T00:00:00"/>
    <m/>
    <x v="43"/>
    <m/>
    <m/>
    <m/>
    <s v="11800 · CIBC"/>
    <x v="327"/>
    <n v="19419.28"/>
  </r>
  <r>
    <x v="7"/>
    <d v="2022-09-26T00:00:00"/>
    <m/>
    <x v="43"/>
    <m/>
    <m/>
    <m/>
    <s v="11800 · CIBC"/>
    <x v="328"/>
    <n v="20242.86"/>
  </r>
  <r>
    <x v="6"/>
    <d v="2022-09-29T00:00:00"/>
    <m/>
    <x v="44"/>
    <m/>
    <m/>
    <m/>
    <s v="20000 · Accounts Payable"/>
    <x v="329"/>
    <n v="37620.129999999997"/>
  </r>
  <r>
    <x v="6"/>
    <d v="2022-10-04T00:00:00"/>
    <m/>
    <x v="43"/>
    <m/>
    <m/>
    <m/>
    <s v="20000 · Accounts Payable"/>
    <x v="330"/>
    <n v="39832.519999999997"/>
  </r>
  <r>
    <x v="3"/>
    <d v="2022-11-04T00:00:00"/>
    <s v="66"/>
    <x v="0"/>
    <s v="NU-TECH FREIGHT"/>
    <m/>
    <m/>
    <s v="11800 · CIBC"/>
    <x v="331"/>
    <n v="40157.39"/>
  </r>
  <r>
    <x v="6"/>
    <d v="2022-11-09T00:00:00"/>
    <m/>
    <x v="45"/>
    <m/>
    <m/>
    <m/>
    <s v="20000 · Accounts Payable"/>
    <x v="332"/>
    <n v="40428.47"/>
  </r>
  <r>
    <x v="6"/>
    <d v="2022-11-09T00:00:00"/>
    <m/>
    <x v="39"/>
    <m/>
    <m/>
    <m/>
    <s v="20000 · Accounts Payable"/>
    <x v="330"/>
    <n v="42640.86"/>
  </r>
  <r>
    <x v="6"/>
    <d v="2022-11-10T00:00:00"/>
    <m/>
    <x v="46"/>
    <m/>
    <m/>
    <m/>
    <s v="20000 · Accounts Payable"/>
    <x v="333"/>
    <n v="42990.93"/>
  </r>
  <r>
    <x v="6"/>
    <d v="2022-11-10T00:00:00"/>
    <m/>
    <x v="47"/>
    <m/>
    <m/>
    <m/>
    <s v="20000 · Accounts Payable"/>
    <x v="334"/>
    <n v="43188.49"/>
  </r>
  <r>
    <x v="6"/>
    <d v="2022-11-11T00:00:00"/>
    <m/>
    <x v="48"/>
    <m/>
    <m/>
    <m/>
    <s v="20000 · Accounts Payable"/>
    <x v="335"/>
    <n v="43559.79"/>
  </r>
  <r>
    <x v="6"/>
    <d v="2022-11-18T00:00:00"/>
    <m/>
    <x v="49"/>
    <m/>
    <m/>
    <m/>
    <s v="20000 · Accounts Payable"/>
    <x v="336"/>
    <n v="47499.39"/>
  </r>
  <r>
    <x v="6"/>
    <d v="2022-11-21T00:00:00"/>
    <m/>
    <x v="50"/>
    <s v="FOR PEEL DISTRICT SCHOOL"/>
    <m/>
    <m/>
    <s v="20000 · Accounts Payable"/>
    <x v="337"/>
    <n v="57561.39"/>
  </r>
  <r>
    <x v="7"/>
    <d v="2022-11-24T00:00:00"/>
    <m/>
    <x v="51"/>
    <m/>
    <m/>
    <m/>
    <s v="11800 · CIBC"/>
    <x v="338"/>
    <n v="121507.12"/>
  </r>
  <r>
    <x v="6"/>
    <d v="2022-11-30T00:00:00"/>
    <m/>
    <x v="47"/>
    <m/>
    <m/>
    <m/>
    <s v="20000 · Accounts Payable"/>
    <x v="339"/>
    <n v="121928.32000000001"/>
  </r>
  <r>
    <x v="6"/>
    <d v="2022-12-05T00:00:00"/>
    <m/>
    <x v="52"/>
    <s v="SUBWAY TOTTENHAM"/>
    <m/>
    <m/>
    <s v="20000 · Accounts Payable"/>
    <x v="340"/>
    <n v="126238.32"/>
  </r>
  <r>
    <x v="7"/>
    <d v="2022-12-05T00:00:00"/>
    <m/>
    <x v="52"/>
    <s v="SUBWAY TOTTENHAM"/>
    <m/>
    <m/>
    <s v="11800 · CIBC"/>
    <x v="341"/>
    <n v="127123.28"/>
  </r>
  <r>
    <x v="7"/>
    <d v="2022-12-06T00:00:00"/>
    <m/>
    <x v="52"/>
    <m/>
    <m/>
    <m/>
    <s v="11800 · CIBC"/>
    <x v="342"/>
    <n v="130548.32"/>
  </r>
  <r>
    <x v="6"/>
    <d v="2022-12-08T00:00:00"/>
    <m/>
    <x v="53"/>
    <s v="VIA CANADA HOLDING GROUP WAREHOUSE ARES ( PAID TO DIAA BY CHQ )"/>
    <m/>
    <m/>
    <s v="20000 · Accounts Payable"/>
    <x v="343"/>
    <n v="130706.28"/>
  </r>
  <r>
    <x v="6"/>
    <d v="2022-12-08T00:00:00"/>
    <m/>
    <x v="53"/>
    <s v="VIA CANADA HOLDING GROUP WAREHOUSE ARES ( PAID TO DIAA BY CHQ )"/>
    <m/>
    <m/>
    <s v="20000 · Accounts Payable"/>
    <x v="344"/>
    <n v="130895.23"/>
  </r>
  <r>
    <x v="6"/>
    <d v="2022-12-08T00:00:00"/>
    <m/>
    <x v="53"/>
    <s v="VIA CANADA HOLDING GROUP WAREHOUSE ARES ( PAID TO DIAA BY CHQ )"/>
    <m/>
    <m/>
    <s v="20000 · Accounts Payable"/>
    <x v="345"/>
    <n v="130931.21"/>
  </r>
  <r>
    <x v="6"/>
    <d v="2022-12-08T00:00:00"/>
    <m/>
    <x v="53"/>
    <s v="VIA CANADA HOLDING GROUP WAREHOUSE ARES ( PAID TO DIAA BY CHQ )"/>
    <m/>
    <m/>
    <s v="20000 · Accounts Payable"/>
    <x v="346"/>
    <n v="131102.75"/>
  </r>
  <r>
    <x v="7"/>
    <d v="2022-12-08T00:00:00"/>
    <m/>
    <x v="38"/>
    <m/>
    <m/>
    <m/>
    <s v="11800 · CIBC"/>
    <x v="347"/>
    <n v="131729.25"/>
  </r>
  <r>
    <x v="7"/>
    <d v="2022-12-08T00:00:00"/>
    <s v="1854"/>
    <x v="43"/>
    <m/>
    <m/>
    <m/>
    <s v="11800 · CIBC"/>
    <x v="348"/>
    <n v="134084.51999999999"/>
  </r>
  <r>
    <x v="7"/>
    <d v="2022-12-13T00:00:00"/>
    <m/>
    <x v="54"/>
    <s v="(42.67) GRAINGER , (309.35) RONA , (821.26) RONA , (1061.05) HOME DEPOT , (121.41) FUEL"/>
    <m/>
    <m/>
    <s v="11800 · CIBC"/>
    <x v="349"/>
    <n v="136169.20000000001"/>
  </r>
  <r>
    <x v="7"/>
    <d v="2022-12-13T00:00:00"/>
    <m/>
    <x v="55"/>
    <s v="(368.73) ONEIL , (38.14) GERRIE , (61.28) GERRIE , (192.93) GAS , (68.48) GAS , (160.46) GAS , (..."/>
    <m/>
    <m/>
    <s v="11800 · CIBC"/>
    <x v="350"/>
    <n v="137234.28"/>
  </r>
  <r>
    <x v="6"/>
    <d v="2022-12-21T00:00:00"/>
    <m/>
    <x v="56"/>
    <s v="ROLLER SKATING ORILLIA"/>
    <m/>
    <m/>
    <s v="20000 · Accounts Payable"/>
    <x v="351"/>
    <n v="139554.28"/>
  </r>
  <r>
    <x v="6"/>
    <d v="2022-12-21T00:00:00"/>
    <m/>
    <x v="39"/>
    <m/>
    <m/>
    <m/>
    <s v="20000 · Accounts Payable"/>
    <x v="352"/>
    <n v="144823.20000000001"/>
  </r>
  <r>
    <x v="7"/>
    <d v="2022-12-29T00:00:00"/>
    <m/>
    <x v="48"/>
    <s v="paid for Diaa"/>
    <m/>
    <m/>
    <s v="11800 · CIBC"/>
    <x v="353"/>
    <n v="144856.57999999999"/>
  </r>
  <r>
    <x v="7"/>
    <d v="2022-12-29T00:00:00"/>
    <m/>
    <x v="46"/>
    <s v="paid for Diaa"/>
    <m/>
    <m/>
    <s v="11800 · CIBC"/>
    <x v="354"/>
    <n v="144880.63"/>
  </r>
  <r>
    <x v="7"/>
    <d v="2022-12-29T00:00:00"/>
    <m/>
    <x v="57"/>
    <s v="paid for Diaa"/>
    <m/>
    <m/>
    <s v="11800 · CIBC"/>
    <x v="355"/>
    <n v="144912.1"/>
  </r>
  <r>
    <x v="0"/>
    <m/>
    <m/>
    <x v="0"/>
    <m/>
    <m/>
    <m/>
    <m/>
    <x v="356"/>
    <n v="144912.1"/>
  </r>
  <r>
    <x v="0"/>
    <m/>
    <m/>
    <x v="0"/>
    <m/>
    <m/>
    <m/>
    <m/>
    <x v="0"/>
    <m/>
  </r>
  <r>
    <x v="6"/>
    <d v="2022-04-14T00:00:00"/>
    <s v="March30-April8"/>
    <x v="58"/>
    <m/>
    <m/>
    <m/>
    <s v="20000 · Accounts Payable"/>
    <x v="357"/>
    <n v="1376"/>
  </r>
  <r>
    <x v="6"/>
    <d v="2022-04-28T00:00:00"/>
    <m/>
    <x v="58"/>
    <m/>
    <m/>
    <m/>
    <s v="20000 · Accounts Payable"/>
    <x v="358"/>
    <n v="2144"/>
  </r>
  <r>
    <x v="6"/>
    <d v="2022-04-30T00:00:00"/>
    <s v="MARCH 30 TO APRIL 30"/>
    <x v="55"/>
    <m/>
    <m/>
    <m/>
    <s v="20000 · Accounts Payable"/>
    <x v="359"/>
    <n v="12144"/>
  </r>
  <r>
    <x v="6"/>
    <d v="2022-05-12T00:00:00"/>
    <s v="april 28 -may6"/>
    <x v="58"/>
    <m/>
    <m/>
    <m/>
    <s v="20000 · Accounts Payable"/>
    <x v="360"/>
    <n v="13936"/>
  </r>
  <r>
    <x v="6"/>
    <d v="2022-05-26T00:00:00"/>
    <s v="MAY 10 -MAY 19"/>
    <x v="58"/>
    <m/>
    <m/>
    <m/>
    <s v="20000 · Accounts Payable"/>
    <x v="361"/>
    <n v="15984"/>
  </r>
  <r>
    <x v="6"/>
    <d v="2022-06-01T00:00:00"/>
    <s v="may1st -june1st"/>
    <x v="55"/>
    <m/>
    <m/>
    <m/>
    <s v="20000 · Accounts Payable"/>
    <x v="359"/>
    <n v="25984"/>
  </r>
  <r>
    <x v="6"/>
    <d v="2022-06-09T00:00:00"/>
    <s v="MAY 24 TO JUNE 3"/>
    <x v="58"/>
    <m/>
    <m/>
    <m/>
    <s v="20000 · Accounts Payable"/>
    <x v="361"/>
    <n v="28032"/>
  </r>
  <r>
    <x v="6"/>
    <d v="2022-06-09T00:00:00"/>
    <s v="MAY 31-JUNE 9"/>
    <x v="59"/>
    <m/>
    <m/>
    <m/>
    <s v="20000 · Accounts Payable"/>
    <x v="362"/>
    <n v="29422"/>
  </r>
  <r>
    <x v="6"/>
    <d v="2022-06-22T00:00:00"/>
    <m/>
    <x v="55"/>
    <m/>
    <m/>
    <m/>
    <s v="20000 · Accounts Payable"/>
    <x v="363"/>
    <n v="36247.449999999997"/>
  </r>
  <r>
    <x v="6"/>
    <d v="2022-06-30T00:00:00"/>
    <s v="24 JUNE -30 JUNE"/>
    <x v="59"/>
    <m/>
    <m/>
    <m/>
    <s v="20000 · Accounts Payable"/>
    <x v="364"/>
    <n v="37127.449999999997"/>
  </r>
  <r>
    <x v="6"/>
    <d v="2022-06-30T00:00:00"/>
    <s v="JUNE PAYSLIP"/>
    <x v="54"/>
    <m/>
    <m/>
    <m/>
    <s v="20000 · Accounts Payable"/>
    <x v="365"/>
    <n v="45127.45"/>
  </r>
  <r>
    <x v="6"/>
    <d v="2022-07-07T00:00:00"/>
    <s v="june 9- june 23"/>
    <x v="59"/>
    <m/>
    <m/>
    <m/>
    <s v="20000 · Accounts Payable"/>
    <x v="366"/>
    <n v="46973.45"/>
  </r>
  <r>
    <x v="6"/>
    <d v="2022-07-07T00:00:00"/>
    <s v="june3-june17"/>
    <x v="58"/>
    <m/>
    <m/>
    <m/>
    <s v="20000 · Accounts Payable"/>
    <x v="367"/>
    <n v="48997.49"/>
  </r>
  <r>
    <x v="6"/>
    <d v="2022-07-07T00:00:00"/>
    <s v="JUNE20-JUNE30"/>
    <x v="58"/>
    <m/>
    <m/>
    <m/>
    <s v="20000 · Accounts Payable"/>
    <x v="368"/>
    <n v="51301.49"/>
  </r>
  <r>
    <x v="6"/>
    <d v="2022-07-11T00:00:00"/>
    <s v="july 4-july 8"/>
    <x v="60"/>
    <m/>
    <m/>
    <m/>
    <s v="20000 · Accounts Payable"/>
    <x v="369"/>
    <n v="52776.49"/>
  </r>
  <r>
    <x v="6"/>
    <d v="2022-07-21T00:00:00"/>
    <m/>
    <x v="58"/>
    <m/>
    <m/>
    <m/>
    <s v="20000 · Accounts Payable"/>
    <x v="368"/>
    <n v="55080.49"/>
  </r>
  <r>
    <x v="6"/>
    <d v="2022-07-21T00:00:00"/>
    <m/>
    <x v="60"/>
    <m/>
    <m/>
    <m/>
    <s v="20000 · Accounts Payable"/>
    <x v="370"/>
    <n v="56721.75"/>
  </r>
  <r>
    <x v="6"/>
    <d v="2022-07-30T00:00:00"/>
    <s v="JULY PAYSLIP"/>
    <x v="54"/>
    <m/>
    <m/>
    <m/>
    <s v="20000 · Accounts Payable"/>
    <x v="365"/>
    <n v="64721.75"/>
  </r>
  <r>
    <x v="6"/>
    <d v="2022-08-04T00:00:00"/>
    <s v="JULY 18-JULY 29"/>
    <x v="58"/>
    <m/>
    <m/>
    <m/>
    <s v="20000 · Accounts Payable"/>
    <x v="371"/>
    <n v="67281.75"/>
  </r>
  <r>
    <x v="6"/>
    <d v="2022-08-04T00:00:00"/>
    <m/>
    <x v="55"/>
    <m/>
    <m/>
    <m/>
    <s v="20000 · Accounts Payable"/>
    <x v="372"/>
    <n v="74108.97"/>
  </r>
  <r>
    <x v="6"/>
    <d v="2022-08-04T00:00:00"/>
    <s v="july 21-august 04"/>
    <x v="60"/>
    <m/>
    <m/>
    <m/>
    <s v="20000 · Accounts Payable"/>
    <x v="373"/>
    <n v="75833.97"/>
  </r>
  <r>
    <x v="6"/>
    <d v="2022-08-04T00:00:00"/>
    <s v="july 21- august 04"/>
    <x v="60"/>
    <m/>
    <m/>
    <m/>
    <s v="20000 · Accounts Payable"/>
    <x v="373"/>
    <n v="77558.97"/>
  </r>
  <r>
    <x v="6"/>
    <d v="2022-08-18T00:00:00"/>
    <s v="AUG2-AUG12"/>
    <x v="58"/>
    <m/>
    <m/>
    <m/>
    <s v="20000 · Accounts Payable"/>
    <x v="368"/>
    <n v="79862.97"/>
  </r>
  <r>
    <x v="6"/>
    <d v="2022-08-18T00:00:00"/>
    <s v="AUG5TH-AUG18TH"/>
    <x v="60"/>
    <m/>
    <m/>
    <m/>
    <s v="20000 · Accounts Payable"/>
    <x v="374"/>
    <n v="81031.72"/>
  </r>
  <r>
    <x v="6"/>
    <d v="2022-09-01T00:00:00"/>
    <s v="AUG15-AUG26"/>
    <x v="58"/>
    <m/>
    <m/>
    <m/>
    <s v="20000 · Accounts Payable"/>
    <x v="371"/>
    <n v="83591.72"/>
  </r>
  <r>
    <x v="6"/>
    <d v="2022-09-01T00:00:00"/>
    <s v="AUG19-SEP1"/>
    <x v="59"/>
    <m/>
    <m/>
    <m/>
    <s v="20000 · Accounts Payable"/>
    <x v="375"/>
    <n v="85077.72"/>
  </r>
  <r>
    <x v="6"/>
    <d v="2022-09-04T00:00:00"/>
    <m/>
    <x v="55"/>
    <m/>
    <m/>
    <m/>
    <s v="20000 · Accounts Payable"/>
    <x v="376"/>
    <n v="91904.27"/>
  </r>
  <r>
    <x v="6"/>
    <d v="2022-09-15T00:00:00"/>
    <s v="AUG29TH-SEPT9TH"/>
    <x v="58"/>
    <m/>
    <m/>
    <m/>
    <s v="20000 · Accounts Payable"/>
    <x v="361"/>
    <n v="93952.27"/>
  </r>
  <r>
    <x v="6"/>
    <d v="2022-09-15T00:00:00"/>
    <s v="SEP2 -SEP15"/>
    <x v="59"/>
    <m/>
    <m/>
    <m/>
    <s v="20000 · Accounts Payable"/>
    <x v="377"/>
    <n v="95485.9"/>
  </r>
  <r>
    <x v="6"/>
    <d v="2022-09-29T00:00:00"/>
    <m/>
    <x v="58"/>
    <m/>
    <m/>
    <m/>
    <s v="20000 · Accounts Payable"/>
    <x v="371"/>
    <n v="98045.9"/>
  </r>
  <r>
    <x v="6"/>
    <d v="2022-10-04T00:00:00"/>
    <m/>
    <x v="61"/>
    <m/>
    <m/>
    <m/>
    <s v="20000 · Accounts Payable"/>
    <x v="378"/>
    <n v="102545.9"/>
  </r>
  <r>
    <x v="6"/>
    <d v="2022-10-06T00:00:00"/>
    <m/>
    <x v="61"/>
    <m/>
    <m/>
    <m/>
    <s v="20000 · Accounts Payable"/>
    <x v="378"/>
    <n v="107045.9"/>
  </r>
  <r>
    <x v="6"/>
    <d v="2022-10-13T00:00:00"/>
    <s v="SEP 24-OCT8"/>
    <x v="58"/>
    <m/>
    <m/>
    <m/>
    <s v="20000 · Accounts Payable"/>
    <x v="379"/>
    <n v="109716.3"/>
  </r>
  <r>
    <x v="6"/>
    <d v="2022-10-13T00:00:00"/>
    <s v="SEP30-OCT13"/>
    <x v="60"/>
    <m/>
    <m/>
    <m/>
    <s v="20000 · Accounts Payable"/>
    <x v="380"/>
    <n v="111552.04"/>
  </r>
  <r>
    <x v="6"/>
    <d v="2022-10-17T00:00:00"/>
    <s v="TILL 5TH OF OCT 2022"/>
    <x v="61"/>
    <m/>
    <m/>
    <m/>
    <s v="20000 · Accounts Payable"/>
    <x v="381"/>
    <n v="116372.04"/>
  </r>
  <r>
    <x v="6"/>
    <d v="2022-10-27T00:00:00"/>
    <s v="OCT9-OCT23"/>
    <x v="58"/>
    <m/>
    <m/>
    <m/>
    <s v="20000 · Accounts Payable"/>
    <x v="382"/>
    <n v="118825.37"/>
  </r>
  <r>
    <x v="6"/>
    <d v="2022-10-27T00:00:00"/>
    <s v="OCT14-OCT26"/>
    <x v="60"/>
    <m/>
    <m/>
    <m/>
    <s v="20000 · Accounts Payable"/>
    <x v="383"/>
    <n v="120143.37"/>
  </r>
  <r>
    <x v="6"/>
    <d v="2022-10-27T00:00:00"/>
    <m/>
    <x v="60"/>
    <m/>
    <m/>
    <m/>
    <s v="20000 · Accounts Payable"/>
    <x v="384"/>
    <n v="120633.11"/>
  </r>
  <r>
    <x v="6"/>
    <d v="2022-10-27T00:00:00"/>
    <s v="OCT 11 -OCT21"/>
    <x v="58"/>
    <m/>
    <m/>
    <m/>
    <s v="20000 · Accounts Payable"/>
    <x v="379"/>
    <n v="123303.51"/>
  </r>
  <r>
    <x v="7"/>
    <d v="2022-11-04T00:00:00"/>
    <m/>
    <x v="61"/>
    <m/>
    <m/>
    <m/>
    <s v="11800 · CIBC"/>
    <x v="385"/>
    <n v="129598.51"/>
  </r>
  <r>
    <x v="7"/>
    <d v="2022-11-04T00:00:00"/>
    <m/>
    <x v="62"/>
    <m/>
    <m/>
    <m/>
    <s v="11800 · CIBC"/>
    <x v="386"/>
    <n v="134483.51"/>
  </r>
  <r>
    <x v="7"/>
    <d v="2022-11-07T00:00:00"/>
    <m/>
    <x v="63"/>
    <m/>
    <m/>
    <m/>
    <s v="11800 · CIBC"/>
    <x v="387"/>
    <n v="139483.51"/>
  </r>
  <r>
    <x v="6"/>
    <d v="2022-11-09T00:00:00"/>
    <s v="oct 24-nov 04"/>
    <x v="58"/>
    <m/>
    <m/>
    <m/>
    <s v="20000 · Accounts Payable"/>
    <x v="388"/>
    <n v="141752.31"/>
  </r>
  <r>
    <x v="6"/>
    <d v="2022-11-09T00:00:00"/>
    <s v="oct 27- nov 09"/>
    <x v="60"/>
    <m/>
    <m/>
    <m/>
    <s v="20000 · Accounts Payable"/>
    <x v="389"/>
    <n v="142916.81"/>
  </r>
  <r>
    <x v="7"/>
    <d v="2022-11-11T00:00:00"/>
    <m/>
    <x v="55"/>
    <m/>
    <m/>
    <m/>
    <s v="11800 · CIBC"/>
    <x v="390"/>
    <n v="149743.59"/>
  </r>
  <r>
    <x v="7"/>
    <d v="2022-11-24T00:00:00"/>
    <m/>
    <x v="58"/>
    <m/>
    <m/>
    <m/>
    <s v="11800 · CIBC"/>
    <x v="391"/>
    <n v="151537.5"/>
  </r>
  <r>
    <x v="7"/>
    <d v="2022-12-02T00:00:00"/>
    <m/>
    <x v="58"/>
    <m/>
    <m/>
    <m/>
    <s v="11800 · CIBC"/>
    <x v="392"/>
    <n v="153777.5"/>
  </r>
  <r>
    <x v="7"/>
    <d v="2022-12-08T00:00:00"/>
    <s v="1847"/>
    <x v="58"/>
    <m/>
    <m/>
    <m/>
    <s v="11800 · CIBC"/>
    <x v="371"/>
    <n v="156337.5"/>
  </r>
  <r>
    <x v="7"/>
    <d v="2022-12-08T00:00:00"/>
    <m/>
    <x v="55"/>
    <m/>
    <m/>
    <m/>
    <s v="11800 · CIBC"/>
    <x v="363"/>
    <n v="163162.95000000001"/>
  </r>
  <r>
    <x v="7"/>
    <d v="2022-12-22T00:00:00"/>
    <m/>
    <x v="58"/>
    <s v="DEC 5 - DEC 17"/>
    <m/>
    <m/>
    <s v="11800 · CIBC"/>
    <x v="393"/>
    <n v="165693.82999999999"/>
  </r>
  <r>
    <x v="7"/>
    <d v="2022-12-22T00:00:00"/>
    <m/>
    <x v="60"/>
    <m/>
    <m/>
    <m/>
    <s v="11800 · CIBC"/>
    <x v="394"/>
    <n v="166081.07999999999"/>
  </r>
  <r>
    <x v="0"/>
    <m/>
    <m/>
    <x v="0"/>
    <m/>
    <m/>
    <m/>
    <m/>
    <x v="395"/>
    <n v="166081.07999999999"/>
  </r>
  <r>
    <x v="0"/>
    <m/>
    <m/>
    <x v="0"/>
    <m/>
    <m/>
    <m/>
    <m/>
    <x v="396"/>
    <n v="310993.18"/>
  </r>
  <r>
    <x v="0"/>
    <m/>
    <m/>
    <x v="0"/>
    <m/>
    <m/>
    <m/>
    <m/>
    <x v="397"/>
    <n v="458445.05"/>
  </r>
  <r>
    <x v="0"/>
    <m/>
    <m/>
    <x v="0"/>
    <m/>
    <m/>
    <m/>
    <m/>
    <x v="0"/>
    <m/>
  </r>
  <r>
    <x v="0"/>
    <m/>
    <m/>
    <x v="0"/>
    <m/>
    <m/>
    <m/>
    <m/>
    <x v="0"/>
    <m/>
  </r>
  <r>
    <x v="3"/>
    <d v="2022-06-21T00:00:00"/>
    <s v="27"/>
    <x v="64"/>
    <s v="accounting fee for corporate setup and purchase"/>
    <m/>
    <m/>
    <s v="20000 · Accounts Payable"/>
    <x v="277"/>
    <n v="15000"/>
  </r>
  <r>
    <x v="6"/>
    <d v="2022-09-29T00:00:00"/>
    <m/>
    <x v="44"/>
    <m/>
    <m/>
    <m/>
    <s v="20000 · Accounts Payable"/>
    <x v="398"/>
    <n v="24275"/>
  </r>
  <r>
    <x v="0"/>
    <m/>
    <m/>
    <x v="0"/>
    <m/>
    <m/>
    <m/>
    <m/>
    <x v="399"/>
    <n v="24275"/>
  </r>
  <r>
    <x v="0"/>
    <m/>
    <m/>
    <x v="0"/>
    <m/>
    <m/>
    <m/>
    <m/>
    <x v="0"/>
    <m/>
  </r>
  <r>
    <x v="6"/>
    <d v="2022-05-18T00:00:00"/>
    <m/>
    <x v="65"/>
    <m/>
    <m/>
    <m/>
    <s v="20000 · Accounts Payable"/>
    <x v="400"/>
    <n v="144.86000000000001"/>
  </r>
  <r>
    <x v="4"/>
    <d v="2022-06-07T00:00:00"/>
    <m/>
    <x v="66"/>
    <s v="EXTENDED WARRANTY ON THE NEW VAN"/>
    <m/>
    <m/>
    <s v="CIBC VISA"/>
    <x v="401"/>
    <n v="1841.09"/>
  </r>
  <r>
    <x v="6"/>
    <d v="2022-07-06T00:00:00"/>
    <m/>
    <x v="65"/>
    <m/>
    <m/>
    <m/>
    <s v="20000 · Accounts Payable"/>
    <x v="402"/>
    <n v="2119.39"/>
  </r>
  <r>
    <x v="7"/>
    <d v="2022-07-14T00:00:00"/>
    <m/>
    <x v="38"/>
    <m/>
    <m/>
    <m/>
    <s v="11800 · CIBC"/>
    <x v="403"/>
    <n v="3005.9"/>
  </r>
  <r>
    <x v="7"/>
    <d v="2022-07-29T00:00:00"/>
    <m/>
    <x v="65"/>
    <m/>
    <m/>
    <m/>
    <s v="11800 · CIBC"/>
    <x v="404"/>
    <n v="3278.31"/>
  </r>
  <r>
    <x v="7"/>
    <d v="2022-08-03T00:00:00"/>
    <s v="1787"/>
    <x v="38"/>
    <m/>
    <m/>
    <m/>
    <s v="11800 · CIBC"/>
    <x v="405"/>
    <n v="5610.97"/>
  </r>
  <r>
    <x v="6"/>
    <d v="2022-09-08T00:00:00"/>
    <m/>
    <x v="65"/>
    <m/>
    <m/>
    <m/>
    <s v="20000 · Accounts Payable"/>
    <x v="406"/>
    <n v="5722.47"/>
  </r>
  <r>
    <x v="6"/>
    <d v="2022-09-29T00:00:00"/>
    <m/>
    <x v="44"/>
    <m/>
    <m/>
    <m/>
    <s v="20000 · Accounts Payable"/>
    <x v="407"/>
    <n v="11300.84"/>
  </r>
  <r>
    <x v="6"/>
    <d v="2022-10-10T00:00:00"/>
    <m/>
    <x v="65"/>
    <m/>
    <m/>
    <m/>
    <s v="20000 · Accounts Payable"/>
    <x v="408"/>
    <n v="11610.51"/>
  </r>
  <r>
    <x v="6"/>
    <d v="2022-11-10T00:00:00"/>
    <m/>
    <x v="65"/>
    <m/>
    <m/>
    <m/>
    <s v="20000 · Accounts Payable"/>
    <x v="409"/>
    <n v="11966.63"/>
  </r>
  <r>
    <x v="7"/>
    <d v="2022-12-10T00:00:00"/>
    <m/>
    <x v="65"/>
    <m/>
    <m/>
    <m/>
    <s v="11800 · CIBC"/>
    <x v="410"/>
    <n v="12436.9"/>
  </r>
  <r>
    <x v="0"/>
    <m/>
    <m/>
    <x v="0"/>
    <m/>
    <m/>
    <m/>
    <m/>
    <x v="411"/>
    <n v="12436.9"/>
  </r>
  <r>
    <x v="0"/>
    <m/>
    <m/>
    <x v="0"/>
    <m/>
    <m/>
    <m/>
    <m/>
    <x v="0"/>
    <m/>
  </r>
  <r>
    <x v="3"/>
    <d v="2022-08-03T00:00:00"/>
    <s v="43"/>
    <x v="0"/>
    <s v="E-TRANSFER FOR MARKETING PER ASSAMA"/>
    <m/>
    <m/>
    <s v="11800 · CIBC"/>
    <x v="412"/>
    <n v="800"/>
  </r>
  <r>
    <x v="6"/>
    <d v="2022-09-29T00:00:00"/>
    <m/>
    <x v="44"/>
    <m/>
    <m/>
    <m/>
    <s v="20000 · Accounts Payable"/>
    <x v="413"/>
    <n v="5514"/>
  </r>
  <r>
    <x v="0"/>
    <m/>
    <m/>
    <x v="0"/>
    <m/>
    <m/>
    <m/>
    <m/>
    <x v="414"/>
    <n v="5514"/>
  </r>
  <r>
    <x v="0"/>
    <m/>
    <m/>
    <x v="0"/>
    <m/>
    <m/>
    <m/>
    <m/>
    <x v="0"/>
    <m/>
  </r>
  <r>
    <x v="6"/>
    <d v="2022-05-10T00:00:00"/>
    <m/>
    <x v="67"/>
    <m/>
    <m/>
    <m/>
    <s v="20000 · Accounts Payable"/>
    <x v="415"/>
    <n v="360"/>
  </r>
  <r>
    <x v="6"/>
    <d v="2022-05-27T00:00:00"/>
    <m/>
    <x v="67"/>
    <m/>
    <m/>
    <m/>
    <s v="20000 · Accounts Payable"/>
    <x v="94"/>
    <n v="760"/>
  </r>
  <r>
    <x v="6"/>
    <d v="2022-11-02T00:00:00"/>
    <m/>
    <x v="68"/>
    <s v="WINSH REPAIR"/>
    <m/>
    <m/>
    <s v="20000 · Accounts Payable"/>
    <x v="416"/>
    <n v="892.74"/>
  </r>
  <r>
    <x v="0"/>
    <m/>
    <m/>
    <x v="0"/>
    <m/>
    <m/>
    <m/>
    <m/>
    <x v="417"/>
    <n v="892.74"/>
  </r>
  <r>
    <x v="0"/>
    <m/>
    <m/>
    <x v="0"/>
    <m/>
    <m/>
    <m/>
    <m/>
    <x v="0"/>
    <m/>
  </r>
  <r>
    <x v="7"/>
    <d v="2022-04-12T00:00:00"/>
    <m/>
    <x v="69"/>
    <m/>
    <m/>
    <m/>
    <s v="11800 · CIBC"/>
    <x v="418"/>
    <n v="135.5"/>
  </r>
  <r>
    <x v="7"/>
    <d v="2022-04-21T00:00:00"/>
    <s v="1665"/>
    <x v="70"/>
    <m/>
    <m/>
    <m/>
    <s v="11800 · CIBC"/>
    <x v="419"/>
    <n v="224"/>
  </r>
  <r>
    <x v="7"/>
    <d v="2022-04-21T00:00:00"/>
    <s v="1667"/>
    <x v="38"/>
    <m/>
    <m/>
    <m/>
    <s v="11800 · CIBC"/>
    <x v="420"/>
    <n v="333.73"/>
  </r>
  <r>
    <x v="7"/>
    <d v="2022-05-03T00:00:00"/>
    <m/>
    <x v="69"/>
    <m/>
    <m/>
    <m/>
    <s v="11800 · CIBC"/>
    <x v="421"/>
    <n v="613.51"/>
  </r>
  <r>
    <x v="7"/>
    <d v="2022-07-05T00:00:00"/>
    <m/>
    <x v="69"/>
    <m/>
    <m/>
    <m/>
    <s v="11800 · CIBC"/>
    <x v="422"/>
    <n v="2191.92"/>
  </r>
  <r>
    <x v="7"/>
    <d v="2022-07-14T00:00:00"/>
    <m/>
    <x v="38"/>
    <m/>
    <m/>
    <m/>
    <s v="11800 · CIBC"/>
    <x v="423"/>
    <n v="2612.41"/>
  </r>
  <r>
    <x v="7"/>
    <d v="2022-08-04T00:00:00"/>
    <m/>
    <x v="69"/>
    <m/>
    <m/>
    <m/>
    <s v="11800 · CIBC"/>
    <x v="424"/>
    <n v="3472.76"/>
  </r>
  <r>
    <x v="6"/>
    <d v="2022-10-06T00:00:00"/>
    <m/>
    <x v="69"/>
    <m/>
    <m/>
    <m/>
    <s v="20000 · Accounts Payable"/>
    <x v="425"/>
    <n v="6059.21"/>
  </r>
  <r>
    <x v="6"/>
    <d v="2022-10-28T00:00:00"/>
    <m/>
    <x v="69"/>
    <m/>
    <m/>
    <m/>
    <s v="20000 · Accounts Payable"/>
    <x v="426"/>
    <n v="6213.04"/>
  </r>
  <r>
    <x v="6"/>
    <d v="2022-11-01T00:00:00"/>
    <m/>
    <x v="69"/>
    <m/>
    <m/>
    <m/>
    <s v="20000 · Accounts Payable"/>
    <x v="427"/>
    <n v="6328.43"/>
  </r>
  <r>
    <x v="6"/>
    <d v="2022-11-02T00:00:00"/>
    <m/>
    <x v="69"/>
    <m/>
    <m/>
    <m/>
    <s v="20000 · Accounts Payable"/>
    <x v="428"/>
    <n v="6505.42"/>
  </r>
  <r>
    <x v="6"/>
    <d v="2022-11-03T00:00:00"/>
    <m/>
    <x v="69"/>
    <m/>
    <m/>
    <m/>
    <s v="20000 · Accounts Payable"/>
    <x v="429"/>
    <n v="6613.38"/>
  </r>
  <r>
    <x v="6"/>
    <d v="2022-11-04T00:00:00"/>
    <m/>
    <x v="69"/>
    <m/>
    <m/>
    <m/>
    <s v="20000 · Accounts Payable"/>
    <x v="430"/>
    <n v="6757.08"/>
  </r>
  <r>
    <x v="6"/>
    <d v="2022-11-08T00:00:00"/>
    <m/>
    <x v="69"/>
    <m/>
    <m/>
    <m/>
    <s v="20000 · Accounts Payable"/>
    <x v="431"/>
    <n v="6923.67"/>
  </r>
  <r>
    <x v="6"/>
    <d v="2022-11-14T00:00:00"/>
    <m/>
    <x v="69"/>
    <m/>
    <m/>
    <m/>
    <s v="20000 · Accounts Payable"/>
    <x v="432"/>
    <n v="7052.17"/>
  </r>
  <r>
    <x v="6"/>
    <d v="2022-11-16T00:00:00"/>
    <m/>
    <x v="69"/>
    <m/>
    <m/>
    <m/>
    <s v="20000 · Accounts Payable"/>
    <x v="433"/>
    <n v="7215.45"/>
  </r>
  <r>
    <x v="7"/>
    <d v="2022-11-29T00:00:00"/>
    <s v="1849"/>
    <x v="69"/>
    <m/>
    <m/>
    <m/>
    <s v="11800 · CIBC"/>
    <x v="434"/>
    <n v="9477.4"/>
  </r>
  <r>
    <x v="6"/>
    <d v="2022-12-07T00:00:00"/>
    <m/>
    <x v="69"/>
    <m/>
    <m/>
    <m/>
    <s v="20000 · Accounts Payable"/>
    <x v="435"/>
    <n v="9582.4"/>
  </r>
  <r>
    <x v="6"/>
    <d v="2022-12-20T00:00:00"/>
    <m/>
    <x v="69"/>
    <m/>
    <m/>
    <m/>
    <s v="20000 · Accounts Payable"/>
    <x v="436"/>
    <n v="9679.3700000000008"/>
  </r>
  <r>
    <x v="6"/>
    <d v="2022-12-21T00:00:00"/>
    <m/>
    <x v="69"/>
    <m/>
    <m/>
    <m/>
    <s v="20000 · Accounts Payable"/>
    <x v="437"/>
    <n v="9775.7199999999993"/>
  </r>
  <r>
    <x v="6"/>
    <d v="2022-12-21T00:00:00"/>
    <m/>
    <x v="69"/>
    <m/>
    <m/>
    <m/>
    <s v="20000 · Accounts Payable"/>
    <x v="438"/>
    <n v="9876.07"/>
  </r>
  <r>
    <x v="6"/>
    <d v="2022-12-22T00:00:00"/>
    <m/>
    <x v="69"/>
    <m/>
    <m/>
    <m/>
    <s v="20000 · Accounts Payable"/>
    <x v="439"/>
    <n v="10007.719999999999"/>
  </r>
  <r>
    <x v="0"/>
    <m/>
    <m/>
    <x v="0"/>
    <m/>
    <m/>
    <m/>
    <m/>
    <x v="440"/>
    <n v="10007.719999999999"/>
  </r>
  <r>
    <x v="0"/>
    <m/>
    <m/>
    <x v="0"/>
    <m/>
    <m/>
    <m/>
    <m/>
    <x v="0"/>
    <m/>
  </r>
  <r>
    <x v="7"/>
    <d v="2022-04-30T00:00:00"/>
    <m/>
    <x v="0"/>
    <m/>
    <m/>
    <m/>
    <s v="11800 · CIBC"/>
    <x v="441"/>
    <n v="204.62"/>
  </r>
  <r>
    <x v="3"/>
    <d v="2022-05-25T00:00:00"/>
    <s v="41"/>
    <x v="0"/>
    <s v="new 2020 RAM 3500 financed 84 months. total financing charges over term 19,094.42"/>
    <m/>
    <m/>
    <s v="15400 · Vehicles"/>
    <x v="442"/>
    <n v="328.73"/>
  </r>
  <r>
    <x v="7"/>
    <d v="2022-05-31T00:00:00"/>
    <m/>
    <x v="0"/>
    <m/>
    <m/>
    <m/>
    <s v="11800 · CIBC"/>
    <x v="443"/>
    <n v="474.04"/>
  </r>
  <r>
    <x v="7"/>
    <d v="2022-06-27T00:00:00"/>
    <m/>
    <x v="0"/>
    <m/>
    <m/>
    <m/>
    <s v="11800 · CIBC"/>
    <x v="444"/>
    <n v="805.59"/>
  </r>
  <r>
    <x v="7"/>
    <d v="2022-07-01T00:00:00"/>
    <m/>
    <x v="0"/>
    <s v="Service Charge"/>
    <m/>
    <m/>
    <s v="11800 · CIBC"/>
    <x v="445"/>
    <n v="1378.82"/>
  </r>
  <r>
    <x v="3"/>
    <d v="2022-07-04T00:00:00"/>
    <s v="34"/>
    <x v="0"/>
    <m/>
    <m/>
    <m/>
    <s v="11800 · CIBC"/>
    <x v="446"/>
    <n v="1380.82"/>
  </r>
  <r>
    <x v="7"/>
    <d v="2022-08-01T00:00:00"/>
    <m/>
    <x v="0"/>
    <s v="Service Charge"/>
    <m/>
    <m/>
    <s v="11800 · CIBC"/>
    <x v="447"/>
    <n v="2445.0700000000002"/>
  </r>
  <r>
    <x v="7"/>
    <d v="2022-09-01T00:00:00"/>
    <m/>
    <x v="0"/>
    <s v="Service Charge"/>
    <m/>
    <m/>
    <s v="11800 · CIBC"/>
    <x v="448"/>
    <n v="3287.1"/>
  </r>
  <r>
    <x v="6"/>
    <d v="2022-09-29T00:00:00"/>
    <m/>
    <x v="44"/>
    <m/>
    <m/>
    <m/>
    <s v="20000 · Accounts Payable"/>
    <x v="449"/>
    <n v="4257.83"/>
  </r>
  <r>
    <x v="7"/>
    <d v="2022-10-01T00:00:00"/>
    <m/>
    <x v="0"/>
    <s v="Service Charge"/>
    <m/>
    <m/>
    <s v="11800 · CIBC"/>
    <x v="450"/>
    <n v="5984.33"/>
  </r>
  <r>
    <x v="7"/>
    <d v="2022-11-01T00:00:00"/>
    <m/>
    <x v="0"/>
    <s v="Service Charge"/>
    <m/>
    <m/>
    <s v="11800 · CIBC"/>
    <x v="451"/>
    <n v="6282.88"/>
  </r>
  <r>
    <x v="3"/>
    <d v="2022-11-14T00:00:00"/>
    <s v="67"/>
    <x v="0"/>
    <s v="INTENDED PAYEE NOT PAID"/>
    <m/>
    <m/>
    <s v="11800 · CIBC"/>
    <x v="452"/>
    <n v="6841.12"/>
  </r>
  <r>
    <x v="3"/>
    <d v="2022-11-14T00:00:00"/>
    <s v="68"/>
    <x v="0"/>
    <s v="RETUR"/>
    <m/>
    <m/>
    <s v="11800 · CIBC"/>
    <x v="453"/>
    <n v="6848.12"/>
  </r>
  <r>
    <x v="7"/>
    <d v="2022-12-01T00:00:00"/>
    <m/>
    <x v="0"/>
    <s v="Service Charge"/>
    <m/>
    <m/>
    <s v="11800 · CIBC"/>
    <x v="454"/>
    <n v="8043.28"/>
  </r>
  <r>
    <x v="0"/>
    <m/>
    <m/>
    <x v="0"/>
    <m/>
    <m/>
    <m/>
    <m/>
    <x v="455"/>
    <n v="8043.28"/>
  </r>
  <r>
    <x v="0"/>
    <m/>
    <m/>
    <x v="0"/>
    <m/>
    <m/>
    <m/>
    <m/>
    <x v="0"/>
    <m/>
  </r>
  <r>
    <x v="3"/>
    <d v="2022-09-13T00:00:00"/>
    <s v="53"/>
    <x v="0"/>
    <s v="PERMIT PAYMENTS"/>
    <m/>
    <m/>
    <s v="-SPLIT-"/>
    <x v="456"/>
    <n v="678"/>
  </r>
  <r>
    <x v="3"/>
    <d v="2022-09-13T00:00:00"/>
    <s v="53"/>
    <x v="0"/>
    <s v="PERMIT PAYMENTS"/>
    <m/>
    <m/>
    <s v="61000 · Business Licenses and Permits"/>
    <x v="456"/>
    <n v="1356"/>
  </r>
  <r>
    <x v="0"/>
    <m/>
    <m/>
    <x v="0"/>
    <m/>
    <m/>
    <m/>
    <m/>
    <x v="457"/>
    <n v="1356"/>
  </r>
  <r>
    <x v="0"/>
    <m/>
    <m/>
    <x v="0"/>
    <m/>
    <m/>
    <m/>
    <m/>
    <x v="0"/>
    <m/>
  </r>
  <r>
    <x v="7"/>
    <d v="2022-06-13T00:00:00"/>
    <m/>
    <x v="0"/>
    <s v="new white truck"/>
    <m/>
    <m/>
    <s v="11800 · CIBC"/>
    <x v="458"/>
    <n v="402.22"/>
  </r>
  <r>
    <x v="7"/>
    <d v="2022-06-27T00:00:00"/>
    <m/>
    <x v="0"/>
    <m/>
    <m/>
    <m/>
    <s v="11800 · CIBC"/>
    <x v="458"/>
    <n v="804.44"/>
  </r>
  <r>
    <x v="3"/>
    <d v="2022-11-25T00:00:00"/>
    <s v="65"/>
    <x v="0"/>
    <m/>
    <m/>
    <m/>
    <s v="11800 · CIBC"/>
    <x v="459"/>
    <n v="1896.03"/>
  </r>
  <r>
    <x v="0"/>
    <m/>
    <m/>
    <x v="0"/>
    <m/>
    <m/>
    <m/>
    <m/>
    <x v="460"/>
    <n v="1896.03"/>
  </r>
  <r>
    <x v="0"/>
    <m/>
    <m/>
    <x v="0"/>
    <m/>
    <m/>
    <m/>
    <m/>
    <x v="0"/>
    <m/>
  </r>
  <r>
    <x v="3"/>
    <d v="2022-04-04T00:00:00"/>
    <s v="26"/>
    <x v="0"/>
    <s v="PAYING THE QBS ON BEHAIF OF THE COMOANY"/>
    <m/>
    <m/>
    <s v="-SPLIT-"/>
    <x v="461"/>
    <n v="593.27"/>
  </r>
  <r>
    <x v="0"/>
    <m/>
    <m/>
    <x v="0"/>
    <m/>
    <m/>
    <m/>
    <m/>
    <x v="461"/>
    <n v="593.27"/>
  </r>
  <r>
    <x v="0"/>
    <m/>
    <m/>
    <x v="0"/>
    <m/>
    <m/>
    <m/>
    <m/>
    <x v="0"/>
    <m/>
  </r>
  <r>
    <x v="7"/>
    <d v="2022-05-20T00:00:00"/>
    <m/>
    <x v="71"/>
    <m/>
    <m/>
    <m/>
    <s v="11800 · CIBC"/>
    <x v="462"/>
    <n v="6257.66"/>
  </r>
  <r>
    <x v="7"/>
    <d v="2022-06-20T00:00:00"/>
    <m/>
    <x v="71"/>
    <m/>
    <m/>
    <m/>
    <s v="11800 · CIBC"/>
    <x v="463"/>
    <n v="9745.34"/>
  </r>
  <r>
    <x v="6"/>
    <d v="2022-07-20T00:00:00"/>
    <m/>
    <x v="71"/>
    <m/>
    <m/>
    <m/>
    <s v="20000 · Accounts Payable"/>
    <x v="464"/>
    <n v="13686.29"/>
  </r>
  <r>
    <x v="6"/>
    <d v="2022-08-22T00:00:00"/>
    <m/>
    <x v="71"/>
    <m/>
    <m/>
    <m/>
    <s v="20000 · Accounts Payable"/>
    <x v="465"/>
    <n v="17173.86"/>
  </r>
  <r>
    <x v="7"/>
    <d v="2022-09-20T00:00:00"/>
    <m/>
    <x v="71"/>
    <m/>
    <m/>
    <m/>
    <s v="11800 · CIBC"/>
    <x v="466"/>
    <n v="21386.32"/>
  </r>
  <r>
    <x v="7"/>
    <d v="2022-10-20T00:00:00"/>
    <s v="1842"/>
    <x v="71"/>
    <m/>
    <m/>
    <m/>
    <s v="11800 · CIBC"/>
    <x v="467"/>
    <n v="24864.61"/>
  </r>
  <r>
    <x v="6"/>
    <d v="2022-11-21T00:00:00"/>
    <m/>
    <x v="71"/>
    <m/>
    <m/>
    <m/>
    <s v="20000 · Accounts Payable"/>
    <x v="468"/>
    <n v="28597.51"/>
  </r>
  <r>
    <x v="6"/>
    <d v="2022-12-20T00:00:00"/>
    <m/>
    <x v="71"/>
    <m/>
    <m/>
    <m/>
    <s v="20000 · Accounts Payable"/>
    <x v="469"/>
    <n v="32330.400000000001"/>
  </r>
  <r>
    <x v="0"/>
    <m/>
    <m/>
    <x v="0"/>
    <m/>
    <m/>
    <m/>
    <m/>
    <x v="470"/>
    <n v="32330.400000000001"/>
  </r>
  <r>
    <x v="0"/>
    <m/>
    <m/>
    <x v="0"/>
    <m/>
    <m/>
    <m/>
    <m/>
    <x v="0"/>
    <m/>
  </r>
  <r>
    <x v="6"/>
    <d v="2022-04-30T00:00:00"/>
    <m/>
    <x v="72"/>
    <m/>
    <m/>
    <m/>
    <s v="20000 · Accounts Payable"/>
    <x v="471"/>
    <n v="198.43"/>
  </r>
  <r>
    <x v="6"/>
    <d v="2022-06-10T00:00:00"/>
    <m/>
    <x v="72"/>
    <m/>
    <m/>
    <m/>
    <s v="20000 · Accounts Payable"/>
    <x v="472"/>
    <n v="404.66"/>
  </r>
  <r>
    <x v="7"/>
    <d v="2022-07-29T00:00:00"/>
    <m/>
    <x v="72"/>
    <m/>
    <m/>
    <m/>
    <s v="11800 · CIBC"/>
    <x v="473"/>
    <n v="819.56"/>
  </r>
  <r>
    <x v="6"/>
    <d v="2022-09-30T00:00:00"/>
    <m/>
    <x v="72"/>
    <m/>
    <m/>
    <m/>
    <s v="20000 · Accounts Payable"/>
    <x v="474"/>
    <n v="1042.98"/>
  </r>
  <r>
    <x v="6"/>
    <d v="2022-10-31T00:00:00"/>
    <m/>
    <x v="72"/>
    <m/>
    <m/>
    <m/>
    <s v="20000 · Accounts Payable"/>
    <x v="475"/>
    <n v="1278.0899999999999"/>
  </r>
  <r>
    <x v="6"/>
    <d v="2022-11-30T00:00:00"/>
    <m/>
    <x v="72"/>
    <m/>
    <m/>
    <m/>
    <s v="20000 · Accounts Payable"/>
    <x v="476"/>
    <n v="1555.27"/>
  </r>
  <r>
    <x v="6"/>
    <d v="2022-12-31T00:00:00"/>
    <m/>
    <x v="72"/>
    <m/>
    <m/>
    <m/>
    <s v="20000 · Accounts Payable"/>
    <x v="477"/>
    <n v="1781.17"/>
  </r>
  <r>
    <x v="0"/>
    <m/>
    <m/>
    <x v="0"/>
    <m/>
    <m/>
    <m/>
    <m/>
    <x v="478"/>
    <n v="1781.17"/>
  </r>
  <r>
    <x v="0"/>
    <m/>
    <m/>
    <x v="0"/>
    <m/>
    <m/>
    <m/>
    <m/>
    <x v="0"/>
    <m/>
  </r>
  <r>
    <x v="7"/>
    <d v="2022-05-09T00:00:00"/>
    <m/>
    <x v="73"/>
    <m/>
    <m/>
    <m/>
    <s v="11800 · CIBC"/>
    <x v="479"/>
    <n v="377.68"/>
  </r>
  <r>
    <x v="7"/>
    <d v="2022-06-01T00:00:00"/>
    <m/>
    <x v="0"/>
    <m/>
    <m/>
    <m/>
    <s v="11800 · CIBC"/>
    <x v="480"/>
    <n v="465.68"/>
  </r>
  <r>
    <x v="6"/>
    <d v="2022-07-04T00:00:00"/>
    <m/>
    <x v="74"/>
    <m/>
    <m/>
    <m/>
    <s v="20000 · Accounts Payable"/>
    <x v="480"/>
    <n v="553.67999999999995"/>
  </r>
  <r>
    <x v="6"/>
    <d v="2022-07-04T00:00:00"/>
    <m/>
    <x v="74"/>
    <m/>
    <m/>
    <m/>
    <s v="20000 · Accounts Payable"/>
    <x v="480"/>
    <n v="641.67999999999995"/>
  </r>
  <r>
    <x v="3"/>
    <d v="2022-07-05T00:00:00"/>
    <s v="38"/>
    <x v="0"/>
    <m/>
    <m/>
    <m/>
    <s v="11800 · CIBC"/>
    <x v="481"/>
    <n v="542.24"/>
  </r>
  <r>
    <x v="6"/>
    <d v="2022-08-02T00:00:00"/>
    <m/>
    <x v="74"/>
    <m/>
    <m/>
    <m/>
    <s v="20000 · Accounts Payable"/>
    <x v="480"/>
    <n v="630.24"/>
  </r>
  <r>
    <x v="7"/>
    <d v="2022-09-01T00:00:00"/>
    <m/>
    <x v="73"/>
    <m/>
    <m/>
    <m/>
    <s v="11800 · CIBC"/>
    <x v="480"/>
    <n v="718.24"/>
  </r>
  <r>
    <x v="6"/>
    <d v="2022-10-03T00:00:00"/>
    <m/>
    <x v="74"/>
    <m/>
    <m/>
    <m/>
    <s v="20000 · Accounts Payable"/>
    <x v="480"/>
    <n v="806.24"/>
  </r>
  <r>
    <x v="6"/>
    <d v="2022-11-02T00:00:00"/>
    <m/>
    <x v="73"/>
    <m/>
    <m/>
    <m/>
    <s v="20000 · Accounts Payable"/>
    <x v="480"/>
    <n v="894.24"/>
  </r>
  <r>
    <x v="6"/>
    <d v="2022-12-01T00:00:00"/>
    <m/>
    <x v="74"/>
    <m/>
    <m/>
    <m/>
    <s v="20000 · Accounts Payable"/>
    <x v="480"/>
    <n v="982.24"/>
  </r>
  <r>
    <x v="0"/>
    <m/>
    <m/>
    <x v="0"/>
    <m/>
    <m/>
    <m/>
    <m/>
    <x v="482"/>
    <n v="982.24"/>
  </r>
  <r>
    <x v="0"/>
    <m/>
    <m/>
    <x v="0"/>
    <m/>
    <m/>
    <m/>
    <m/>
    <x v="0"/>
    <m/>
  </r>
  <r>
    <x v="6"/>
    <d v="2022-09-29T00:00:00"/>
    <m/>
    <x v="44"/>
    <m/>
    <m/>
    <m/>
    <s v="20000 · Accounts Payable"/>
    <x v="483"/>
    <n v="1145.07"/>
  </r>
  <r>
    <x v="0"/>
    <m/>
    <m/>
    <x v="0"/>
    <m/>
    <m/>
    <m/>
    <m/>
    <x v="483"/>
    <n v="1145.07"/>
  </r>
  <r>
    <x v="0"/>
    <m/>
    <m/>
    <x v="0"/>
    <m/>
    <m/>
    <m/>
    <m/>
    <x v="0"/>
    <m/>
  </r>
  <r>
    <x v="7"/>
    <d v="2022-04-21T00:00:00"/>
    <m/>
    <x v="75"/>
    <m/>
    <m/>
    <m/>
    <s v="11800 · CIBC"/>
    <x v="484"/>
    <n v="40"/>
  </r>
  <r>
    <x v="7"/>
    <d v="2022-05-02T00:00:00"/>
    <m/>
    <x v="75"/>
    <m/>
    <m/>
    <m/>
    <s v="11800 · CIBC"/>
    <x v="484"/>
    <n v="80"/>
  </r>
  <r>
    <x v="7"/>
    <d v="2022-06-02T00:00:00"/>
    <m/>
    <x v="75"/>
    <m/>
    <m/>
    <m/>
    <s v="11800 · CIBC"/>
    <x v="484"/>
    <n v="120"/>
  </r>
  <r>
    <x v="6"/>
    <d v="2022-07-04T00:00:00"/>
    <m/>
    <x v="75"/>
    <m/>
    <m/>
    <m/>
    <s v="20000 · Accounts Payable"/>
    <x v="484"/>
    <n v="160"/>
  </r>
  <r>
    <x v="6"/>
    <d v="2022-08-03T00:00:00"/>
    <m/>
    <x v="75"/>
    <m/>
    <m/>
    <m/>
    <s v="20000 · Accounts Payable"/>
    <x v="484"/>
    <n v="200"/>
  </r>
  <r>
    <x v="7"/>
    <d v="2022-09-02T00:00:00"/>
    <m/>
    <x v="75"/>
    <m/>
    <m/>
    <m/>
    <s v="11800 · CIBC"/>
    <x v="484"/>
    <n v="240"/>
  </r>
  <r>
    <x v="6"/>
    <d v="2022-10-03T00:00:00"/>
    <m/>
    <x v="75"/>
    <m/>
    <m/>
    <m/>
    <s v="20000 · Accounts Payable"/>
    <x v="484"/>
    <n v="280"/>
  </r>
  <r>
    <x v="6"/>
    <d v="2022-11-02T00:00:00"/>
    <m/>
    <x v="75"/>
    <m/>
    <m/>
    <m/>
    <s v="20000 · Accounts Payable"/>
    <x v="484"/>
    <n v="320"/>
  </r>
  <r>
    <x v="6"/>
    <d v="2022-12-02T00:00:00"/>
    <m/>
    <x v="75"/>
    <m/>
    <m/>
    <m/>
    <s v="20000 · Accounts Payable"/>
    <x v="484"/>
    <n v="360"/>
  </r>
  <r>
    <x v="0"/>
    <m/>
    <m/>
    <x v="0"/>
    <m/>
    <m/>
    <m/>
    <m/>
    <x v="415"/>
    <n v="360"/>
  </r>
  <r>
    <x v="0"/>
    <m/>
    <m/>
    <x v="0"/>
    <m/>
    <m/>
    <m/>
    <m/>
    <x v="0"/>
    <m/>
  </r>
  <r>
    <x v="6"/>
    <d v="2022-04-20T00:00:00"/>
    <s v="5268"/>
    <x v="76"/>
    <m/>
    <m/>
    <m/>
    <s v="20000 · Accounts Payable"/>
    <x v="485"/>
    <n v="210"/>
  </r>
  <r>
    <x v="6"/>
    <d v="2022-05-09T00:00:00"/>
    <m/>
    <x v="76"/>
    <m/>
    <m/>
    <m/>
    <s v="20000 · Accounts Payable"/>
    <x v="485"/>
    <n v="420"/>
  </r>
  <r>
    <x v="6"/>
    <d v="2022-05-17T00:00:00"/>
    <m/>
    <x v="76"/>
    <m/>
    <m/>
    <m/>
    <s v="20000 · Accounts Payable"/>
    <x v="485"/>
    <n v="630"/>
  </r>
  <r>
    <x v="7"/>
    <d v="2022-06-20T00:00:00"/>
    <m/>
    <x v="76"/>
    <m/>
    <m/>
    <m/>
    <s v="11800 · CIBC"/>
    <x v="486"/>
    <n v="1050"/>
  </r>
  <r>
    <x v="6"/>
    <d v="2022-07-06T00:00:00"/>
    <m/>
    <x v="76"/>
    <m/>
    <m/>
    <m/>
    <s v="20000 · Accounts Payable"/>
    <x v="435"/>
    <n v="1155"/>
  </r>
  <r>
    <x v="6"/>
    <d v="2022-07-11T00:00:00"/>
    <m/>
    <x v="76"/>
    <m/>
    <m/>
    <m/>
    <s v="20000 · Accounts Payable"/>
    <x v="435"/>
    <n v="1260"/>
  </r>
  <r>
    <x v="6"/>
    <d v="2022-08-08T00:00:00"/>
    <m/>
    <x v="76"/>
    <m/>
    <m/>
    <m/>
    <s v="20000 · Accounts Payable"/>
    <x v="486"/>
    <n v="1680"/>
  </r>
  <r>
    <x v="6"/>
    <d v="2022-08-09T00:00:00"/>
    <m/>
    <x v="76"/>
    <m/>
    <m/>
    <m/>
    <s v="20000 · Accounts Payable"/>
    <x v="486"/>
    <n v="2100"/>
  </r>
  <r>
    <x v="6"/>
    <d v="2022-08-19T00:00:00"/>
    <m/>
    <x v="76"/>
    <m/>
    <m/>
    <m/>
    <s v="20000 · Accounts Payable"/>
    <x v="485"/>
    <n v="2310"/>
  </r>
  <r>
    <x v="3"/>
    <d v="2022-09-07T00:00:00"/>
    <s v="55"/>
    <x v="0"/>
    <m/>
    <m/>
    <m/>
    <s v="11800 · CIBC"/>
    <x v="487"/>
    <n v="1835.4"/>
  </r>
  <r>
    <x v="7"/>
    <d v="2022-09-14T00:00:00"/>
    <m/>
    <x v="76"/>
    <m/>
    <m/>
    <m/>
    <s v="11800 · CIBC"/>
    <x v="488"/>
    <n v="2191.35"/>
  </r>
  <r>
    <x v="6"/>
    <d v="2022-10-25T00:00:00"/>
    <m/>
    <x v="76"/>
    <m/>
    <m/>
    <m/>
    <s v="20000 · Accounts Payable"/>
    <x v="489"/>
    <n v="2821.35"/>
  </r>
  <r>
    <x v="0"/>
    <m/>
    <m/>
    <x v="0"/>
    <m/>
    <m/>
    <m/>
    <m/>
    <x v="490"/>
    <n v="2821.35"/>
  </r>
  <r>
    <x v="0"/>
    <m/>
    <m/>
    <x v="0"/>
    <m/>
    <m/>
    <m/>
    <m/>
    <x v="0"/>
    <m/>
  </r>
  <r>
    <x v="7"/>
    <d v="2022-04-19T00:00:00"/>
    <s v="1662"/>
    <x v="77"/>
    <s v="paid from personal credit card fpr supplies"/>
    <m/>
    <m/>
    <s v="11800 · CIBC"/>
    <x v="491"/>
    <n v="815.07"/>
  </r>
  <r>
    <x v="7"/>
    <d v="2022-05-03T00:00:00"/>
    <m/>
    <x v="77"/>
    <s v="PRINT OUT FROM STAPLES PAID PERSONLLY"/>
    <m/>
    <m/>
    <s v="11800 · CIBC"/>
    <x v="492"/>
    <n v="929.6"/>
  </r>
  <r>
    <x v="6"/>
    <d v="2022-05-05T00:00:00"/>
    <m/>
    <x v="78"/>
    <m/>
    <m/>
    <m/>
    <s v="20000 · Accounts Payable"/>
    <x v="272"/>
    <n v="1429.6"/>
  </r>
  <r>
    <x v="4"/>
    <d v="2022-05-17T00:00:00"/>
    <m/>
    <x v="79"/>
    <m/>
    <m/>
    <m/>
    <s v="CIBC VISA"/>
    <x v="493"/>
    <n v="2063.84"/>
  </r>
  <r>
    <x v="6"/>
    <d v="2022-05-18T00:00:00"/>
    <m/>
    <x v="78"/>
    <m/>
    <m/>
    <m/>
    <s v="20000 · Accounts Payable"/>
    <x v="494"/>
    <n v="5054.66"/>
  </r>
  <r>
    <x v="4"/>
    <d v="2022-05-18T00:00:00"/>
    <m/>
    <x v="80"/>
    <m/>
    <m/>
    <m/>
    <s v="CIBC VISA"/>
    <x v="495"/>
    <n v="5095.84"/>
  </r>
  <r>
    <x v="7"/>
    <d v="2022-05-20T00:00:00"/>
    <s v="1678"/>
    <x v="81"/>
    <m/>
    <m/>
    <m/>
    <s v="11800 · CIBC"/>
    <x v="496"/>
    <n v="8901.15"/>
  </r>
  <r>
    <x v="8"/>
    <d v="2022-05-24T00:00:00"/>
    <m/>
    <x v="79"/>
    <m/>
    <m/>
    <m/>
    <s v="CIBC VISA"/>
    <x v="497"/>
    <n v="8601.16"/>
  </r>
  <r>
    <x v="7"/>
    <d v="2022-06-13T00:00:00"/>
    <s v="1723"/>
    <x v="82"/>
    <s v="assama paid from his personal account"/>
    <m/>
    <m/>
    <s v="11800 · CIBC"/>
    <x v="498"/>
    <n v="11859.5"/>
  </r>
  <r>
    <x v="7"/>
    <d v="2022-06-13T00:00:00"/>
    <s v="1724"/>
    <x v="38"/>
    <m/>
    <m/>
    <m/>
    <s v="11800 · CIBC"/>
    <x v="499"/>
    <n v="12432.71"/>
  </r>
  <r>
    <x v="7"/>
    <d v="2022-06-13T00:00:00"/>
    <s v="1725"/>
    <x v="82"/>
    <s v="assama paid from his personal account for lawyer and office needs"/>
    <m/>
    <m/>
    <s v="11800 · CIBC"/>
    <x v="500"/>
    <n v="16529.53"/>
  </r>
  <r>
    <x v="7"/>
    <d v="2022-06-13T00:00:00"/>
    <s v="1726"/>
    <x v="77"/>
    <s v="haneen paid from personal account"/>
    <m/>
    <m/>
    <s v="11800 · CIBC"/>
    <x v="501"/>
    <n v="17078.990000000002"/>
  </r>
  <r>
    <x v="3"/>
    <d v="2022-06-21T00:00:00"/>
    <s v="27"/>
    <x v="64"/>
    <m/>
    <m/>
    <m/>
    <s v="20000 · Accounts Payable"/>
    <x v="502"/>
    <n v="18895.5"/>
  </r>
  <r>
    <x v="6"/>
    <d v="2022-06-22T00:00:00"/>
    <s v="011-16849"/>
    <x v="78"/>
    <m/>
    <m/>
    <m/>
    <s v="20000 · Accounts Payable"/>
    <x v="503"/>
    <n v="21295.5"/>
  </r>
  <r>
    <x v="7"/>
    <d v="2022-06-27T00:00:00"/>
    <m/>
    <x v="77"/>
    <m/>
    <m/>
    <m/>
    <s v="11800 · CIBC"/>
    <x v="504"/>
    <n v="22238.98"/>
  </r>
  <r>
    <x v="6"/>
    <d v="2022-07-06T00:00:00"/>
    <m/>
    <x v="72"/>
    <m/>
    <m/>
    <m/>
    <s v="20000 · Accounts Payable"/>
    <x v="472"/>
    <n v="22445.21"/>
  </r>
  <r>
    <x v="7"/>
    <d v="2022-07-14T00:00:00"/>
    <m/>
    <x v="38"/>
    <m/>
    <m/>
    <m/>
    <s v="11800 · CIBC"/>
    <x v="505"/>
    <n v="22824.53"/>
  </r>
  <r>
    <x v="6"/>
    <d v="2022-07-31T00:00:00"/>
    <m/>
    <x v="72"/>
    <m/>
    <m/>
    <m/>
    <s v="20000 · Accounts Payable"/>
    <x v="506"/>
    <n v="23054.78"/>
  </r>
  <r>
    <x v="6"/>
    <d v="2022-08-11T00:00:00"/>
    <m/>
    <x v="83"/>
    <m/>
    <m/>
    <m/>
    <s v="20000 · Accounts Payable"/>
    <x v="99"/>
    <n v="23589.78"/>
  </r>
  <r>
    <x v="7"/>
    <d v="2022-08-26T00:00:00"/>
    <m/>
    <x v="72"/>
    <m/>
    <m/>
    <m/>
    <s v="11800 · CIBC"/>
    <x v="507"/>
    <n v="24028.7"/>
  </r>
  <r>
    <x v="3"/>
    <d v="2022-08-26T00:00:00"/>
    <s v="48"/>
    <x v="0"/>
    <s v="MISCELLANEOUS E-TRANSFER PER ASSAMA"/>
    <m/>
    <m/>
    <s v="11800 · CIBC"/>
    <x v="508"/>
    <n v="24048.7"/>
  </r>
  <r>
    <x v="6"/>
    <d v="2022-09-09T00:00:00"/>
    <m/>
    <x v="84"/>
    <s v="office supplies paid from haneen credit card"/>
    <m/>
    <m/>
    <s v="20000 · Accounts Payable"/>
    <x v="509"/>
    <n v="24501.29"/>
  </r>
  <r>
    <x v="6"/>
    <d v="2022-09-29T00:00:00"/>
    <m/>
    <x v="44"/>
    <m/>
    <m/>
    <m/>
    <s v="20000 · Accounts Payable"/>
    <x v="510"/>
    <n v="24983.040000000001"/>
  </r>
  <r>
    <x v="6"/>
    <d v="2022-10-13T00:00:00"/>
    <m/>
    <x v="84"/>
    <m/>
    <m/>
    <m/>
    <s v="20000 · Accounts Payable"/>
    <x v="511"/>
    <n v="26180.76"/>
  </r>
  <r>
    <x v="6"/>
    <d v="2022-10-21T00:00:00"/>
    <m/>
    <x v="84"/>
    <m/>
    <m/>
    <m/>
    <s v="20000 · Accounts Payable"/>
    <x v="512"/>
    <n v="28343.01"/>
  </r>
  <r>
    <x v="6"/>
    <d v="2022-10-24T00:00:00"/>
    <m/>
    <x v="85"/>
    <m/>
    <m/>
    <m/>
    <s v="20000 · Accounts Payable"/>
    <x v="513"/>
    <n v="28684.82"/>
  </r>
  <r>
    <x v="7"/>
    <d v="2022-11-21T00:00:00"/>
    <s v="1831"/>
    <x v="38"/>
    <s v="auto repair paid from diaa"/>
    <m/>
    <m/>
    <s v="11800 · CIBC"/>
    <x v="514"/>
    <n v="36467.120000000003"/>
  </r>
  <r>
    <x v="0"/>
    <m/>
    <m/>
    <x v="0"/>
    <m/>
    <m/>
    <m/>
    <m/>
    <x v="515"/>
    <n v="36467.120000000003"/>
  </r>
  <r>
    <x v="0"/>
    <m/>
    <m/>
    <x v="0"/>
    <m/>
    <m/>
    <m/>
    <m/>
    <x v="0"/>
    <m/>
  </r>
  <r>
    <x v="9"/>
    <d v="2022-04-13T00:00:00"/>
    <s v="1658"/>
    <x v="38"/>
    <m/>
    <m/>
    <m/>
    <s v="11800 · CIBC"/>
    <x v="516"/>
    <n v="1920"/>
  </r>
  <r>
    <x v="9"/>
    <d v="2022-04-13T00:00:00"/>
    <s v="1658"/>
    <x v="38"/>
    <m/>
    <m/>
    <m/>
    <s v="11800 · CIBC"/>
    <x v="517"/>
    <n v="2021.77"/>
  </r>
  <r>
    <x v="9"/>
    <d v="2022-04-13T00:00:00"/>
    <s v="1658"/>
    <x v="38"/>
    <m/>
    <m/>
    <m/>
    <s v="11800 · CIBC"/>
    <x v="518"/>
    <n v="2064.25"/>
  </r>
  <r>
    <x v="9"/>
    <d v="2022-04-13T00:00:00"/>
    <s v="1658"/>
    <x v="38"/>
    <m/>
    <m/>
    <m/>
    <s v="11800 · CIBC"/>
    <x v="519"/>
    <n v="2141.0500000000002"/>
  </r>
  <r>
    <x v="9"/>
    <d v="2022-04-13T00:00:00"/>
    <s v="1659"/>
    <x v="77"/>
    <m/>
    <m/>
    <m/>
    <s v="11800 · CIBC"/>
    <x v="503"/>
    <n v="4541.05"/>
  </r>
  <r>
    <x v="9"/>
    <d v="2022-04-13T00:00:00"/>
    <s v="1659"/>
    <x v="77"/>
    <m/>
    <m/>
    <m/>
    <s v="11800 · CIBC"/>
    <x v="520"/>
    <n v="4670.18"/>
  </r>
  <r>
    <x v="9"/>
    <d v="2022-04-13T00:00:00"/>
    <s v="1659"/>
    <x v="77"/>
    <m/>
    <m/>
    <m/>
    <s v="11800 · CIBC"/>
    <x v="521"/>
    <n v="4723.2700000000004"/>
  </r>
  <r>
    <x v="9"/>
    <d v="2022-04-13T00:00:00"/>
    <s v="1659"/>
    <x v="77"/>
    <m/>
    <m/>
    <m/>
    <s v="11800 · CIBC"/>
    <x v="522"/>
    <n v="4819.2700000000004"/>
  </r>
  <r>
    <x v="9"/>
    <d v="2022-04-13T00:00:00"/>
    <s v="1660"/>
    <x v="86"/>
    <m/>
    <m/>
    <m/>
    <s v="11800 · CIBC"/>
    <x v="523"/>
    <n v="5386.27"/>
  </r>
  <r>
    <x v="9"/>
    <d v="2022-04-13T00:00:00"/>
    <s v="1660"/>
    <x v="86"/>
    <m/>
    <m/>
    <m/>
    <s v="11800 · CIBC"/>
    <x v="524"/>
    <n v="5410.92"/>
  </r>
  <r>
    <x v="9"/>
    <d v="2022-04-13T00:00:00"/>
    <s v="1660"/>
    <x v="86"/>
    <m/>
    <m/>
    <m/>
    <s v="11800 · CIBC"/>
    <x v="525"/>
    <n v="5423.46"/>
  </r>
  <r>
    <x v="9"/>
    <d v="2022-04-13T00:00:00"/>
    <s v="1660"/>
    <x v="86"/>
    <m/>
    <m/>
    <m/>
    <s v="11800 · CIBC"/>
    <x v="526"/>
    <n v="5446.14"/>
  </r>
  <r>
    <x v="9"/>
    <d v="2022-04-28T00:00:00"/>
    <s v="1669"/>
    <x v="38"/>
    <m/>
    <m/>
    <m/>
    <s v="11800 · CIBC"/>
    <x v="93"/>
    <n v="7046.14"/>
  </r>
  <r>
    <x v="9"/>
    <d v="2022-04-28T00:00:00"/>
    <s v="1669"/>
    <x v="38"/>
    <m/>
    <m/>
    <m/>
    <s v="11800 · CIBC"/>
    <x v="527"/>
    <n v="7129.67"/>
  </r>
  <r>
    <x v="9"/>
    <d v="2022-04-28T00:00:00"/>
    <s v="1669"/>
    <x v="38"/>
    <m/>
    <m/>
    <m/>
    <s v="11800 · CIBC"/>
    <x v="528"/>
    <n v="7165.06"/>
  </r>
  <r>
    <x v="9"/>
    <d v="2022-04-28T00:00:00"/>
    <s v="1669"/>
    <x v="38"/>
    <m/>
    <m/>
    <m/>
    <s v="11800 · CIBC"/>
    <x v="529"/>
    <n v="7229.06"/>
  </r>
  <r>
    <x v="9"/>
    <d v="2022-04-28T00:00:00"/>
    <s v="1670"/>
    <x v="77"/>
    <m/>
    <m/>
    <m/>
    <s v="11800 · CIBC"/>
    <x v="40"/>
    <n v="9229.06"/>
  </r>
  <r>
    <x v="9"/>
    <d v="2022-04-28T00:00:00"/>
    <s v="1670"/>
    <x v="77"/>
    <m/>
    <m/>
    <m/>
    <s v="11800 · CIBC"/>
    <x v="530"/>
    <n v="9335.39"/>
  </r>
  <r>
    <x v="9"/>
    <d v="2022-04-28T00:00:00"/>
    <s v="1670"/>
    <x v="77"/>
    <m/>
    <m/>
    <m/>
    <s v="11800 · CIBC"/>
    <x v="531"/>
    <n v="9379.6299999999992"/>
  </r>
  <r>
    <x v="9"/>
    <d v="2022-04-28T00:00:00"/>
    <s v="1670"/>
    <x v="77"/>
    <m/>
    <m/>
    <m/>
    <s v="11800 · CIBC"/>
    <x v="532"/>
    <n v="9459.6299999999992"/>
  </r>
  <r>
    <x v="9"/>
    <d v="2022-05-12T00:00:00"/>
    <s v="1673"/>
    <x v="38"/>
    <m/>
    <m/>
    <m/>
    <s v="11800 · CIBC"/>
    <x v="93"/>
    <n v="11059.63"/>
  </r>
  <r>
    <x v="9"/>
    <d v="2022-05-12T00:00:00"/>
    <s v="1673"/>
    <x v="38"/>
    <m/>
    <m/>
    <m/>
    <s v="11800 · CIBC"/>
    <x v="527"/>
    <n v="11143.16"/>
  </r>
  <r>
    <x v="9"/>
    <d v="2022-05-12T00:00:00"/>
    <s v="1673"/>
    <x v="38"/>
    <m/>
    <m/>
    <m/>
    <s v="11800 · CIBC"/>
    <x v="528"/>
    <n v="11178.55"/>
  </r>
  <r>
    <x v="9"/>
    <d v="2022-05-12T00:00:00"/>
    <s v="1673"/>
    <x v="38"/>
    <m/>
    <m/>
    <m/>
    <s v="11800 · CIBC"/>
    <x v="529"/>
    <n v="11242.55"/>
  </r>
  <r>
    <x v="9"/>
    <d v="2022-05-12T00:00:00"/>
    <s v="1674"/>
    <x v="77"/>
    <m/>
    <m/>
    <m/>
    <s v="11800 · CIBC"/>
    <x v="40"/>
    <n v="13242.55"/>
  </r>
  <r>
    <x v="9"/>
    <d v="2022-05-12T00:00:00"/>
    <s v="1674"/>
    <x v="77"/>
    <m/>
    <m/>
    <m/>
    <s v="11800 · CIBC"/>
    <x v="530"/>
    <n v="13348.88"/>
  </r>
  <r>
    <x v="9"/>
    <d v="2022-05-12T00:00:00"/>
    <s v="1674"/>
    <x v="77"/>
    <m/>
    <m/>
    <m/>
    <s v="11800 · CIBC"/>
    <x v="531"/>
    <n v="13393.12"/>
  </r>
  <r>
    <x v="9"/>
    <d v="2022-05-12T00:00:00"/>
    <s v="1674"/>
    <x v="77"/>
    <m/>
    <m/>
    <m/>
    <s v="11800 · CIBC"/>
    <x v="532"/>
    <n v="13473.12"/>
  </r>
  <r>
    <x v="9"/>
    <d v="2022-05-12T00:00:00"/>
    <s v="1675"/>
    <x v="87"/>
    <m/>
    <m/>
    <m/>
    <s v="11800 · CIBC"/>
    <x v="533"/>
    <n v="14159.37"/>
  </r>
  <r>
    <x v="9"/>
    <d v="2022-05-12T00:00:00"/>
    <s v="1675"/>
    <x v="87"/>
    <m/>
    <m/>
    <m/>
    <s v="11800 · CIBC"/>
    <x v="534"/>
    <n v="14190.81"/>
  </r>
  <r>
    <x v="9"/>
    <d v="2022-05-12T00:00:00"/>
    <s v="1675"/>
    <x v="87"/>
    <m/>
    <m/>
    <m/>
    <s v="11800 · CIBC"/>
    <x v="535"/>
    <n v="14205.99"/>
  </r>
  <r>
    <x v="9"/>
    <d v="2022-05-12T00:00:00"/>
    <s v="1675"/>
    <x v="87"/>
    <m/>
    <m/>
    <m/>
    <s v="11800 · CIBC"/>
    <x v="536"/>
    <n v="14233.44"/>
  </r>
  <r>
    <x v="9"/>
    <d v="2022-05-26T00:00:00"/>
    <s v="1712"/>
    <x v="38"/>
    <m/>
    <m/>
    <m/>
    <s v="11800 · CIBC"/>
    <x v="93"/>
    <n v="15833.44"/>
  </r>
  <r>
    <x v="9"/>
    <d v="2022-05-26T00:00:00"/>
    <s v="1712"/>
    <x v="38"/>
    <m/>
    <m/>
    <m/>
    <s v="11800 · CIBC"/>
    <x v="527"/>
    <n v="15916.97"/>
  </r>
  <r>
    <x v="9"/>
    <d v="2022-05-26T00:00:00"/>
    <s v="1712"/>
    <x v="38"/>
    <m/>
    <m/>
    <m/>
    <s v="11800 · CIBC"/>
    <x v="528"/>
    <n v="15952.36"/>
  </r>
  <r>
    <x v="9"/>
    <d v="2022-05-26T00:00:00"/>
    <s v="1712"/>
    <x v="38"/>
    <m/>
    <m/>
    <m/>
    <s v="11800 · CIBC"/>
    <x v="529"/>
    <n v="16016.36"/>
  </r>
  <r>
    <x v="9"/>
    <d v="2022-05-26T00:00:00"/>
    <s v="1713"/>
    <x v="77"/>
    <m/>
    <m/>
    <m/>
    <s v="11800 · CIBC"/>
    <x v="40"/>
    <n v="18016.36"/>
  </r>
  <r>
    <x v="9"/>
    <d v="2022-05-26T00:00:00"/>
    <s v="1713"/>
    <x v="77"/>
    <m/>
    <m/>
    <m/>
    <s v="11800 · CIBC"/>
    <x v="530"/>
    <n v="18122.689999999999"/>
  </r>
  <r>
    <x v="9"/>
    <d v="2022-05-26T00:00:00"/>
    <s v="1713"/>
    <x v="77"/>
    <m/>
    <m/>
    <m/>
    <s v="11800 · CIBC"/>
    <x v="531"/>
    <n v="18166.93"/>
  </r>
  <r>
    <x v="9"/>
    <d v="2022-05-26T00:00:00"/>
    <s v="1713"/>
    <x v="77"/>
    <m/>
    <m/>
    <m/>
    <s v="11800 · CIBC"/>
    <x v="532"/>
    <n v="18246.93"/>
  </r>
  <r>
    <x v="9"/>
    <d v="2022-05-26T00:00:00"/>
    <s v="1714"/>
    <x v="87"/>
    <m/>
    <m/>
    <m/>
    <s v="11800 · CIBC"/>
    <x v="537"/>
    <n v="18643.43"/>
  </r>
  <r>
    <x v="9"/>
    <d v="2022-05-26T00:00:00"/>
    <s v="1714"/>
    <x v="87"/>
    <m/>
    <m/>
    <m/>
    <s v="11800 · CIBC"/>
    <x v="538"/>
    <n v="18658.36"/>
  </r>
  <r>
    <x v="9"/>
    <d v="2022-05-26T00:00:00"/>
    <s v="1714"/>
    <x v="87"/>
    <m/>
    <m/>
    <m/>
    <s v="11800 · CIBC"/>
    <x v="539"/>
    <n v="18667.12"/>
  </r>
  <r>
    <x v="9"/>
    <d v="2022-05-26T00:00:00"/>
    <s v="1714"/>
    <x v="87"/>
    <m/>
    <m/>
    <m/>
    <s v="11800 · CIBC"/>
    <x v="540"/>
    <n v="18682.98"/>
  </r>
  <r>
    <x v="9"/>
    <d v="2022-06-09T00:00:00"/>
    <s v="1717"/>
    <x v="38"/>
    <m/>
    <m/>
    <m/>
    <s v="11800 · CIBC"/>
    <x v="93"/>
    <n v="20282.98"/>
  </r>
  <r>
    <x v="9"/>
    <d v="2022-06-09T00:00:00"/>
    <s v="1717"/>
    <x v="38"/>
    <m/>
    <m/>
    <m/>
    <s v="11800 · CIBC"/>
    <x v="527"/>
    <n v="20366.509999999998"/>
  </r>
  <r>
    <x v="9"/>
    <d v="2022-06-09T00:00:00"/>
    <s v="1717"/>
    <x v="38"/>
    <m/>
    <m/>
    <m/>
    <s v="11800 · CIBC"/>
    <x v="528"/>
    <n v="20401.900000000001"/>
  </r>
  <r>
    <x v="9"/>
    <d v="2022-06-09T00:00:00"/>
    <s v="1717"/>
    <x v="38"/>
    <m/>
    <m/>
    <m/>
    <s v="11800 · CIBC"/>
    <x v="529"/>
    <n v="20465.900000000001"/>
  </r>
  <r>
    <x v="9"/>
    <d v="2022-06-09T00:00:00"/>
    <s v="1718"/>
    <x v="77"/>
    <m/>
    <m/>
    <m/>
    <s v="11800 · CIBC"/>
    <x v="40"/>
    <n v="22465.9"/>
  </r>
  <r>
    <x v="9"/>
    <d v="2022-06-09T00:00:00"/>
    <s v="1718"/>
    <x v="77"/>
    <m/>
    <m/>
    <m/>
    <s v="11800 · CIBC"/>
    <x v="530"/>
    <n v="22572.23"/>
  </r>
  <r>
    <x v="9"/>
    <d v="2022-06-09T00:00:00"/>
    <s v="1718"/>
    <x v="77"/>
    <m/>
    <m/>
    <m/>
    <s v="11800 · CIBC"/>
    <x v="531"/>
    <n v="22616.47"/>
  </r>
  <r>
    <x v="9"/>
    <d v="2022-06-09T00:00:00"/>
    <s v="1718"/>
    <x v="77"/>
    <m/>
    <m/>
    <m/>
    <s v="11800 · CIBC"/>
    <x v="532"/>
    <n v="22696.47"/>
  </r>
  <r>
    <x v="9"/>
    <d v="2022-06-09T00:00:00"/>
    <s v="1719"/>
    <x v="87"/>
    <m/>
    <m/>
    <m/>
    <s v="11800 · CIBC"/>
    <x v="541"/>
    <n v="23108.22"/>
  </r>
  <r>
    <x v="9"/>
    <d v="2022-06-09T00:00:00"/>
    <s v="1719"/>
    <x v="87"/>
    <m/>
    <m/>
    <m/>
    <s v="11800 · CIBC"/>
    <x v="542"/>
    <n v="23124.02"/>
  </r>
  <r>
    <x v="9"/>
    <d v="2022-06-09T00:00:00"/>
    <s v="1719"/>
    <x v="87"/>
    <m/>
    <m/>
    <m/>
    <s v="11800 · CIBC"/>
    <x v="543"/>
    <n v="23133.13"/>
  </r>
  <r>
    <x v="9"/>
    <d v="2022-06-09T00:00:00"/>
    <s v="1719"/>
    <x v="87"/>
    <m/>
    <m/>
    <m/>
    <s v="11800 · CIBC"/>
    <x v="544"/>
    <n v="23149.599999999999"/>
  </r>
  <r>
    <x v="9"/>
    <d v="2022-06-09T00:00:00"/>
    <s v="1720"/>
    <x v="88"/>
    <m/>
    <m/>
    <m/>
    <s v="11800 · CIBC"/>
    <x v="545"/>
    <n v="23809.599999999999"/>
  </r>
  <r>
    <x v="9"/>
    <d v="2022-06-09T00:00:00"/>
    <s v="1720"/>
    <x v="88"/>
    <m/>
    <m/>
    <m/>
    <s v="11800 · CIBC"/>
    <x v="546"/>
    <n v="23839.55"/>
  </r>
  <r>
    <x v="9"/>
    <d v="2022-06-09T00:00:00"/>
    <s v="1720"/>
    <x v="88"/>
    <m/>
    <m/>
    <m/>
    <s v="11800 · CIBC"/>
    <x v="547"/>
    <n v="23854.15"/>
  </r>
  <r>
    <x v="9"/>
    <d v="2022-06-09T00:00:00"/>
    <s v="1720"/>
    <x v="88"/>
    <m/>
    <m/>
    <m/>
    <s v="11800 · CIBC"/>
    <x v="548"/>
    <n v="23880.55"/>
  </r>
  <r>
    <x v="9"/>
    <d v="2022-06-23T00:00:00"/>
    <s v="1727"/>
    <x v="38"/>
    <m/>
    <m/>
    <m/>
    <s v="11800 · CIBC"/>
    <x v="93"/>
    <n v="25480.55"/>
  </r>
  <r>
    <x v="9"/>
    <d v="2022-06-23T00:00:00"/>
    <s v="1727"/>
    <x v="38"/>
    <m/>
    <m/>
    <m/>
    <s v="11800 · CIBC"/>
    <x v="527"/>
    <n v="25564.080000000002"/>
  </r>
  <r>
    <x v="9"/>
    <d v="2022-06-23T00:00:00"/>
    <s v="1727"/>
    <x v="38"/>
    <m/>
    <m/>
    <m/>
    <s v="11800 · CIBC"/>
    <x v="528"/>
    <n v="25599.47"/>
  </r>
  <r>
    <x v="9"/>
    <d v="2022-06-23T00:00:00"/>
    <s v="1727"/>
    <x v="38"/>
    <m/>
    <m/>
    <m/>
    <s v="11800 · CIBC"/>
    <x v="529"/>
    <n v="25663.47"/>
  </r>
  <r>
    <x v="9"/>
    <d v="2022-06-23T00:00:00"/>
    <s v="1728"/>
    <x v="77"/>
    <m/>
    <m/>
    <m/>
    <s v="11800 · CIBC"/>
    <x v="40"/>
    <n v="27663.47"/>
  </r>
  <r>
    <x v="9"/>
    <d v="2022-06-23T00:00:00"/>
    <s v="1728"/>
    <x v="77"/>
    <m/>
    <m/>
    <m/>
    <s v="11800 · CIBC"/>
    <x v="530"/>
    <n v="27769.8"/>
  </r>
  <r>
    <x v="9"/>
    <d v="2022-06-23T00:00:00"/>
    <s v="1728"/>
    <x v="77"/>
    <m/>
    <m/>
    <m/>
    <s v="11800 · CIBC"/>
    <x v="531"/>
    <n v="27814.04"/>
  </r>
  <r>
    <x v="9"/>
    <d v="2022-06-23T00:00:00"/>
    <s v="1728"/>
    <x v="77"/>
    <m/>
    <m/>
    <m/>
    <s v="11800 · CIBC"/>
    <x v="532"/>
    <n v="27894.04"/>
  </r>
  <r>
    <x v="9"/>
    <d v="2022-06-23T00:00:00"/>
    <s v="1729"/>
    <x v="86"/>
    <m/>
    <m/>
    <m/>
    <s v="11800 · CIBC"/>
    <x v="549"/>
    <n v="28740.04"/>
  </r>
  <r>
    <x v="9"/>
    <d v="2022-06-23T00:00:00"/>
    <s v="1729"/>
    <x v="86"/>
    <m/>
    <m/>
    <m/>
    <s v="11800 · CIBC"/>
    <x v="550"/>
    <n v="28780.59"/>
  </r>
  <r>
    <x v="9"/>
    <d v="2022-06-23T00:00:00"/>
    <s v="1729"/>
    <x v="86"/>
    <m/>
    <m/>
    <m/>
    <s v="11800 · CIBC"/>
    <x v="551"/>
    <n v="28799.31"/>
  </r>
  <r>
    <x v="9"/>
    <d v="2022-06-23T00:00:00"/>
    <s v="1729"/>
    <x v="86"/>
    <m/>
    <m/>
    <m/>
    <s v="11800 · CIBC"/>
    <x v="552"/>
    <n v="28833.15"/>
  </r>
  <r>
    <x v="9"/>
    <d v="2022-06-23T00:00:00"/>
    <s v="1734"/>
    <x v="87"/>
    <m/>
    <m/>
    <m/>
    <s v="11800 · CIBC"/>
    <x v="553"/>
    <n v="29107.65"/>
  </r>
  <r>
    <x v="9"/>
    <d v="2022-06-23T00:00:00"/>
    <s v="1734"/>
    <x v="87"/>
    <m/>
    <m/>
    <m/>
    <s v="11800 · CIBC"/>
    <x v="554"/>
    <n v="29115.62"/>
  </r>
  <r>
    <x v="9"/>
    <d v="2022-06-23T00:00:00"/>
    <s v="1734"/>
    <x v="87"/>
    <m/>
    <m/>
    <m/>
    <s v="11800 · CIBC"/>
    <x v="555"/>
    <n v="29121.7"/>
  </r>
  <r>
    <x v="9"/>
    <d v="2022-06-23T00:00:00"/>
    <s v="1734"/>
    <x v="87"/>
    <m/>
    <m/>
    <m/>
    <s v="11800 · CIBC"/>
    <x v="556"/>
    <n v="29132.68"/>
  </r>
  <r>
    <x v="9"/>
    <d v="2022-06-24T00:00:00"/>
    <s v="1707"/>
    <x v="89"/>
    <m/>
    <m/>
    <m/>
    <s v="11800 · CIBC"/>
    <x v="557"/>
    <n v="29516.68"/>
  </r>
  <r>
    <x v="9"/>
    <d v="2022-06-24T00:00:00"/>
    <s v="1707"/>
    <x v="89"/>
    <m/>
    <m/>
    <m/>
    <s v="11800 · CIBC"/>
    <x v="39"/>
    <n v="29516.68"/>
  </r>
  <r>
    <x v="9"/>
    <d v="2022-06-24T00:00:00"/>
    <s v="1707"/>
    <x v="89"/>
    <m/>
    <m/>
    <m/>
    <s v="11800 · CIBC"/>
    <x v="558"/>
    <n v="29525.18"/>
  </r>
  <r>
    <x v="9"/>
    <d v="2022-06-24T00:00:00"/>
    <s v="1707"/>
    <x v="89"/>
    <m/>
    <m/>
    <m/>
    <s v="11800 · CIBC"/>
    <x v="39"/>
    <n v="29525.18"/>
  </r>
  <r>
    <x v="9"/>
    <d v="2022-07-07T00:00:00"/>
    <s v="1687"/>
    <x v="38"/>
    <m/>
    <m/>
    <m/>
    <s v="11800 · CIBC"/>
    <x v="93"/>
    <n v="31125.18"/>
  </r>
  <r>
    <x v="9"/>
    <d v="2022-07-07T00:00:00"/>
    <s v="1687"/>
    <x v="38"/>
    <m/>
    <m/>
    <m/>
    <s v="11800 · CIBC"/>
    <x v="527"/>
    <n v="31208.71"/>
  </r>
  <r>
    <x v="9"/>
    <d v="2022-07-07T00:00:00"/>
    <s v="1687"/>
    <x v="38"/>
    <m/>
    <m/>
    <m/>
    <s v="11800 · CIBC"/>
    <x v="528"/>
    <n v="31244.1"/>
  </r>
  <r>
    <x v="9"/>
    <d v="2022-07-07T00:00:00"/>
    <s v="1687"/>
    <x v="38"/>
    <m/>
    <m/>
    <m/>
    <s v="11800 · CIBC"/>
    <x v="529"/>
    <n v="31308.1"/>
  </r>
  <r>
    <x v="9"/>
    <d v="2022-07-07T00:00:00"/>
    <s v="1688"/>
    <x v="77"/>
    <m/>
    <m/>
    <m/>
    <s v="11800 · CIBC"/>
    <x v="40"/>
    <n v="33308.1"/>
  </r>
  <r>
    <x v="9"/>
    <d v="2022-07-07T00:00:00"/>
    <s v="1688"/>
    <x v="77"/>
    <m/>
    <m/>
    <m/>
    <s v="11800 · CIBC"/>
    <x v="530"/>
    <n v="33414.43"/>
  </r>
  <r>
    <x v="9"/>
    <d v="2022-07-07T00:00:00"/>
    <s v="1688"/>
    <x v="77"/>
    <m/>
    <m/>
    <m/>
    <s v="11800 · CIBC"/>
    <x v="531"/>
    <n v="33458.67"/>
  </r>
  <r>
    <x v="9"/>
    <d v="2022-07-07T00:00:00"/>
    <s v="1688"/>
    <x v="77"/>
    <m/>
    <m/>
    <m/>
    <s v="11800 · CIBC"/>
    <x v="532"/>
    <n v="33538.67"/>
  </r>
  <r>
    <x v="9"/>
    <d v="2022-07-07T00:00:00"/>
    <s v="1689"/>
    <x v="40"/>
    <m/>
    <m/>
    <m/>
    <s v="11800 · CIBC"/>
    <x v="559"/>
    <n v="34938.67"/>
  </r>
  <r>
    <x v="9"/>
    <d v="2022-07-07T00:00:00"/>
    <s v="1689"/>
    <x v="40"/>
    <m/>
    <m/>
    <m/>
    <s v="11800 · CIBC"/>
    <x v="560"/>
    <n v="35010.800000000003"/>
  </r>
  <r>
    <x v="9"/>
    <d v="2022-07-07T00:00:00"/>
    <s v="1689"/>
    <x v="40"/>
    <m/>
    <m/>
    <m/>
    <s v="11800 · CIBC"/>
    <x v="561"/>
    <n v="35041.769999999997"/>
  </r>
  <r>
    <x v="9"/>
    <d v="2022-07-07T00:00:00"/>
    <s v="1689"/>
    <x v="40"/>
    <m/>
    <m/>
    <m/>
    <s v="11800 · CIBC"/>
    <x v="39"/>
    <n v="35041.769999999997"/>
  </r>
  <r>
    <x v="9"/>
    <d v="2022-07-07T00:00:00"/>
    <s v="1690"/>
    <x v="89"/>
    <m/>
    <m/>
    <m/>
    <s v="11800 · CIBC"/>
    <x v="557"/>
    <n v="35425.769999999997"/>
  </r>
  <r>
    <x v="9"/>
    <d v="2022-07-07T00:00:00"/>
    <s v="1690"/>
    <x v="89"/>
    <m/>
    <m/>
    <m/>
    <s v="11800 · CIBC"/>
    <x v="39"/>
    <n v="35425.769999999997"/>
  </r>
  <r>
    <x v="9"/>
    <d v="2022-07-07T00:00:00"/>
    <s v="1690"/>
    <x v="89"/>
    <m/>
    <m/>
    <m/>
    <s v="11800 · CIBC"/>
    <x v="558"/>
    <n v="35434.269999999997"/>
  </r>
  <r>
    <x v="9"/>
    <d v="2022-07-07T00:00:00"/>
    <s v="1690"/>
    <x v="89"/>
    <m/>
    <m/>
    <m/>
    <s v="11800 · CIBC"/>
    <x v="39"/>
    <n v="35434.269999999997"/>
  </r>
  <r>
    <x v="9"/>
    <d v="2022-07-21T00:00:00"/>
    <s v="1780"/>
    <x v="38"/>
    <m/>
    <m/>
    <m/>
    <s v="11800 · CIBC"/>
    <x v="93"/>
    <n v="37034.269999999997"/>
  </r>
  <r>
    <x v="9"/>
    <d v="2022-07-21T00:00:00"/>
    <s v="1780"/>
    <x v="38"/>
    <m/>
    <m/>
    <m/>
    <s v="11800 · CIBC"/>
    <x v="527"/>
    <n v="37117.800000000003"/>
  </r>
  <r>
    <x v="9"/>
    <d v="2022-07-21T00:00:00"/>
    <s v="1780"/>
    <x v="38"/>
    <m/>
    <m/>
    <m/>
    <s v="11800 · CIBC"/>
    <x v="528"/>
    <n v="37153.19"/>
  </r>
  <r>
    <x v="9"/>
    <d v="2022-07-21T00:00:00"/>
    <s v="1780"/>
    <x v="38"/>
    <m/>
    <m/>
    <m/>
    <s v="11800 · CIBC"/>
    <x v="529"/>
    <n v="37217.19"/>
  </r>
  <r>
    <x v="9"/>
    <d v="2022-07-21T00:00:00"/>
    <s v="1781"/>
    <x v="77"/>
    <m/>
    <m/>
    <m/>
    <s v="11800 · CIBC"/>
    <x v="40"/>
    <n v="39217.19"/>
  </r>
  <r>
    <x v="9"/>
    <d v="2022-07-21T00:00:00"/>
    <s v="1781"/>
    <x v="77"/>
    <m/>
    <m/>
    <m/>
    <s v="11800 · CIBC"/>
    <x v="530"/>
    <n v="39323.519999999997"/>
  </r>
  <r>
    <x v="9"/>
    <d v="2022-07-21T00:00:00"/>
    <s v="1781"/>
    <x v="77"/>
    <m/>
    <m/>
    <m/>
    <s v="11800 · CIBC"/>
    <x v="531"/>
    <n v="39367.760000000002"/>
  </r>
  <r>
    <x v="9"/>
    <d v="2022-07-21T00:00:00"/>
    <s v="1781"/>
    <x v="77"/>
    <m/>
    <m/>
    <m/>
    <s v="11800 · CIBC"/>
    <x v="532"/>
    <n v="39447.760000000002"/>
  </r>
  <r>
    <x v="9"/>
    <d v="2022-07-21T00:00:00"/>
    <s v="1782"/>
    <x v="40"/>
    <m/>
    <m/>
    <m/>
    <s v="11800 · CIBC"/>
    <x v="559"/>
    <n v="40847.760000000002"/>
  </r>
  <r>
    <x v="9"/>
    <d v="2022-07-21T00:00:00"/>
    <s v="1782"/>
    <x v="40"/>
    <m/>
    <m/>
    <m/>
    <s v="11800 · CIBC"/>
    <x v="560"/>
    <n v="40919.89"/>
  </r>
  <r>
    <x v="9"/>
    <d v="2022-07-21T00:00:00"/>
    <s v="1782"/>
    <x v="40"/>
    <m/>
    <m/>
    <m/>
    <s v="11800 · CIBC"/>
    <x v="561"/>
    <n v="40950.86"/>
  </r>
  <r>
    <x v="9"/>
    <d v="2022-07-21T00:00:00"/>
    <s v="1782"/>
    <x v="40"/>
    <m/>
    <m/>
    <m/>
    <s v="11800 · CIBC"/>
    <x v="39"/>
    <n v="40950.86"/>
  </r>
  <r>
    <x v="9"/>
    <d v="2022-07-21T00:00:00"/>
    <s v="1783"/>
    <x v="89"/>
    <m/>
    <m/>
    <m/>
    <s v="11800 · CIBC"/>
    <x v="562"/>
    <n v="41938.86"/>
  </r>
  <r>
    <x v="9"/>
    <d v="2022-07-21T00:00:00"/>
    <s v="1783"/>
    <x v="89"/>
    <m/>
    <m/>
    <m/>
    <s v="11800 · CIBC"/>
    <x v="39"/>
    <n v="41938.86"/>
  </r>
  <r>
    <x v="9"/>
    <d v="2022-07-21T00:00:00"/>
    <s v="1783"/>
    <x v="89"/>
    <m/>
    <m/>
    <m/>
    <s v="11800 · CIBC"/>
    <x v="563"/>
    <n v="41960.71"/>
  </r>
  <r>
    <x v="9"/>
    <d v="2022-07-21T00:00:00"/>
    <s v="1783"/>
    <x v="89"/>
    <m/>
    <m/>
    <m/>
    <s v="11800 · CIBC"/>
    <x v="39"/>
    <n v="41960.71"/>
  </r>
  <r>
    <x v="9"/>
    <d v="2022-07-26T00:00:00"/>
    <s v="1786"/>
    <x v="90"/>
    <m/>
    <m/>
    <m/>
    <s v="11800 · CIBC"/>
    <x v="564"/>
    <n v="43012.959999999999"/>
  </r>
  <r>
    <x v="9"/>
    <d v="2022-07-26T00:00:00"/>
    <s v="1786"/>
    <x v="90"/>
    <m/>
    <m/>
    <m/>
    <s v="11800 · CIBC"/>
    <x v="39"/>
    <n v="43012.959999999999"/>
  </r>
  <r>
    <x v="9"/>
    <d v="2022-07-26T00:00:00"/>
    <s v="1786"/>
    <x v="90"/>
    <m/>
    <m/>
    <m/>
    <s v="11800 · CIBC"/>
    <x v="565"/>
    <n v="43036.24"/>
  </r>
  <r>
    <x v="9"/>
    <d v="2022-07-26T00:00:00"/>
    <s v="1786"/>
    <x v="90"/>
    <m/>
    <m/>
    <m/>
    <s v="11800 · CIBC"/>
    <x v="39"/>
    <n v="43036.24"/>
  </r>
  <r>
    <x v="9"/>
    <d v="2022-08-04T00:00:00"/>
    <s v="1788"/>
    <x v="38"/>
    <m/>
    <m/>
    <m/>
    <s v="11800 · CIBC"/>
    <x v="93"/>
    <n v="44636.24"/>
  </r>
  <r>
    <x v="9"/>
    <d v="2022-08-04T00:00:00"/>
    <s v="1788"/>
    <x v="38"/>
    <m/>
    <m/>
    <m/>
    <s v="11800 · CIBC"/>
    <x v="527"/>
    <n v="44719.77"/>
  </r>
  <r>
    <x v="9"/>
    <d v="2022-08-04T00:00:00"/>
    <s v="1788"/>
    <x v="38"/>
    <m/>
    <m/>
    <m/>
    <s v="11800 · CIBC"/>
    <x v="528"/>
    <n v="44755.16"/>
  </r>
  <r>
    <x v="9"/>
    <d v="2022-08-04T00:00:00"/>
    <s v="1788"/>
    <x v="38"/>
    <m/>
    <m/>
    <m/>
    <s v="11800 · CIBC"/>
    <x v="529"/>
    <n v="44819.16"/>
  </r>
  <r>
    <x v="9"/>
    <d v="2022-08-04T00:00:00"/>
    <s v="1789"/>
    <x v="77"/>
    <m/>
    <m/>
    <m/>
    <s v="11800 · CIBC"/>
    <x v="40"/>
    <n v="46819.16"/>
  </r>
  <r>
    <x v="9"/>
    <d v="2022-08-04T00:00:00"/>
    <s v="1789"/>
    <x v="77"/>
    <m/>
    <m/>
    <m/>
    <s v="11800 · CIBC"/>
    <x v="530"/>
    <n v="46925.49"/>
  </r>
  <r>
    <x v="9"/>
    <d v="2022-08-04T00:00:00"/>
    <s v="1789"/>
    <x v="77"/>
    <m/>
    <m/>
    <m/>
    <s v="11800 · CIBC"/>
    <x v="531"/>
    <n v="46969.73"/>
  </r>
  <r>
    <x v="9"/>
    <d v="2022-08-04T00:00:00"/>
    <s v="1789"/>
    <x v="77"/>
    <m/>
    <m/>
    <m/>
    <s v="11800 · CIBC"/>
    <x v="532"/>
    <n v="47049.73"/>
  </r>
  <r>
    <x v="9"/>
    <d v="2022-08-04T00:00:00"/>
    <s v="1790"/>
    <x v="90"/>
    <m/>
    <m/>
    <m/>
    <s v="11800 · CIBC"/>
    <x v="533"/>
    <n v="47735.98"/>
  </r>
  <r>
    <x v="9"/>
    <d v="2022-08-04T00:00:00"/>
    <s v="1790"/>
    <x v="90"/>
    <m/>
    <m/>
    <m/>
    <s v="11800 · CIBC"/>
    <x v="39"/>
    <n v="47735.98"/>
  </r>
  <r>
    <x v="9"/>
    <d v="2022-08-04T00:00:00"/>
    <s v="1790"/>
    <x v="90"/>
    <m/>
    <m/>
    <m/>
    <s v="11800 · CIBC"/>
    <x v="535"/>
    <n v="47751.16"/>
  </r>
  <r>
    <x v="9"/>
    <d v="2022-08-04T00:00:00"/>
    <s v="1790"/>
    <x v="90"/>
    <m/>
    <m/>
    <m/>
    <s v="11800 · CIBC"/>
    <x v="39"/>
    <n v="47751.16"/>
  </r>
  <r>
    <x v="9"/>
    <d v="2022-08-04T00:00:00"/>
    <s v="1791"/>
    <x v="40"/>
    <m/>
    <m/>
    <m/>
    <s v="11800 · CIBC"/>
    <x v="559"/>
    <n v="49151.16"/>
  </r>
  <r>
    <x v="9"/>
    <d v="2022-08-04T00:00:00"/>
    <s v="1791"/>
    <x v="40"/>
    <m/>
    <m/>
    <m/>
    <s v="11800 · CIBC"/>
    <x v="560"/>
    <n v="49223.29"/>
  </r>
  <r>
    <x v="9"/>
    <d v="2022-08-04T00:00:00"/>
    <s v="1791"/>
    <x v="40"/>
    <m/>
    <m/>
    <m/>
    <s v="11800 · CIBC"/>
    <x v="561"/>
    <n v="49254.26"/>
  </r>
  <r>
    <x v="9"/>
    <d v="2022-08-04T00:00:00"/>
    <s v="1791"/>
    <x v="40"/>
    <m/>
    <m/>
    <m/>
    <s v="11800 · CIBC"/>
    <x v="39"/>
    <n v="49254.26"/>
  </r>
  <r>
    <x v="9"/>
    <d v="2022-08-04T00:00:00"/>
    <s v="1792"/>
    <x v="89"/>
    <m/>
    <m/>
    <m/>
    <s v="11800 · CIBC"/>
    <x v="566"/>
    <n v="50214.26"/>
  </r>
  <r>
    <x v="9"/>
    <d v="2022-08-04T00:00:00"/>
    <s v="1792"/>
    <x v="89"/>
    <m/>
    <m/>
    <m/>
    <s v="11800 · CIBC"/>
    <x v="39"/>
    <n v="50214.26"/>
  </r>
  <r>
    <x v="9"/>
    <d v="2022-08-04T00:00:00"/>
    <s v="1792"/>
    <x v="89"/>
    <m/>
    <m/>
    <m/>
    <s v="11800 · CIBC"/>
    <x v="567"/>
    <n v="50235.5"/>
  </r>
  <r>
    <x v="9"/>
    <d v="2022-08-04T00:00:00"/>
    <s v="1792"/>
    <x v="89"/>
    <m/>
    <m/>
    <m/>
    <s v="11800 · CIBC"/>
    <x v="39"/>
    <n v="50235.5"/>
  </r>
  <r>
    <x v="9"/>
    <d v="2022-08-04T00:00:00"/>
    <s v="1795"/>
    <x v="91"/>
    <m/>
    <m/>
    <m/>
    <s v="11800 · CIBC"/>
    <x v="568"/>
    <n v="50747.5"/>
  </r>
  <r>
    <x v="9"/>
    <d v="2022-08-04T00:00:00"/>
    <s v="1795"/>
    <x v="91"/>
    <m/>
    <m/>
    <m/>
    <s v="11800 · CIBC"/>
    <x v="569"/>
    <n v="50769.01"/>
  </r>
  <r>
    <x v="9"/>
    <d v="2022-08-04T00:00:00"/>
    <s v="1795"/>
    <x v="91"/>
    <m/>
    <m/>
    <m/>
    <s v="11800 · CIBC"/>
    <x v="570"/>
    <n v="50780.34"/>
  </r>
  <r>
    <x v="9"/>
    <d v="2022-08-04T00:00:00"/>
    <s v="1795"/>
    <x v="91"/>
    <m/>
    <m/>
    <m/>
    <s v="11800 · CIBC"/>
    <x v="39"/>
    <n v="50780.34"/>
  </r>
  <r>
    <x v="9"/>
    <d v="2022-08-16T00:00:00"/>
    <s v="1700"/>
    <x v="92"/>
    <m/>
    <m/>
    <m/>
    <s v="11800 · CIBC"/>
    <x v="571"/>
    <n v="51068.34"/>
  </r>
  <r>
    <x v="9"/>
    <d v="2022-08-16T00:00:00"/>
    <s v="1700"/>
    <x v="92"/>
    <m/>
    <m/>
    <m/>
    <s v="11800 · CIBC"/>
    <x v="572"/>
    <n v="51077.08"/>
  </r>
  <r>
    <x v="9"/>
    <d v="2022-08-16T00:00:00"/>
    <s v="1700"/>
    <x v="92"/>
    <m/>
    <m/>
    <m/>
    <s v="11800 · CIBC"/>
    <x v="573"/>
    <n v="51083.45"/>
  </r>
  <r>
    <x v="9"/>
    <d v="2022-08-16T00:00:00"/>
    <s v="1700"/>
    <x v="92"/>
    <m/>
    <m/>
    <m/>
    <s v="11800 · CIBC"/>
    <x v="39"/>
    <n v="51083.45"/>
  </r>
  <r>
    <x v="9"/>
    <d v="2022-08-18T00:00:00"/>
    <s v="1703"/>
    <x v="38"/>
    <m/>
    <m/>
    <m/>
    <s v="11800 · CIBC"/>
    <x v="93"/>
    <n v="52683.45"/>
  </r>
  <r>
    <x v="9"/>
    <d v="2022-08-18T00:00:00"/>
    <s v="1703"/>
    <x v="38"/>
    <m/>
    <m/>
    <m/>
    <s v="11800 · CIBC"/>
    <x v="527"/>
    <n v="52766.98"/>
  </r>
  <r>
    <x v="9"/>
    <d v="2022-08-18T00:00:00"/>
    <s v="1703"/>
    <x v="38"/>
    <m/>
    <m/>
    <m/>
    <s v="11800 · CIBC"/>
    <x v="528"/>
    <n v="52802.37"/>
  </r>
  <r>
    <x v="9"/>
    <d v="2022-08-18T00:00:00"/>
    <s v="1703"/>
    <x v="38"/>
    <m/>
    <m/>
    <m/>
    <s v="11800 · CIBC"/>
    <x v="529"/>
    <n v="52866.37"/>
  </r>
  <r>
    <x v="9"/>
    <d v="2022-08-18T00:00:00"/>
    <s v="1704"/>
    <x v="77"/>
    <m/>
    <m/>
    <m/>
    <s v="11800 · CIBC"/>
    <x v="40"/>
    <n v="54866.37"/>
  </r>
  <r>
    <x v="9"/>
    <d v="2022-08-18T00:00:00"/>
    <s v="1704"/>
    <x v="77"/>
    <m/>
    <m/>
    <m/>
    <s v="11800 · CIBC"/>
    <x v="530"/>
    <n v="54972.7"/>
  </r>
  <r>
    <x v="9"/>
    <d v="2022-08-18T00:00:00"/>
    <s v="1704"/>
    <x v="77"/>
    <m/>
    <m/>
    <m/>
    <s v="11800 · CIBC"/>
    <x v="531"/>
    <n v="55016.94"/>
  </r>
  <r>
    <x v="9"/>
    <d v="2022-08-18T00:00:00"/>
    <s v="1704"/>
    <x v="77"/>
    <m/>
    <m/>
    <m/>
    <s v="11800 · CIBC"/>
    <x v="532"/>
    <n v="55096.94"/>
  </r>
  <r>
    <x v="9"/>
    <d v="2022-08-18T00:00:00"/>
    <s v="1705"/>
    <x v="92"/>
    <m/>
    <m/>
    <m/>
    <s v="11800 · CIBC"/>
    <x v="212"/>
    <n v="55708.94"/>
  </r>
  <r>
    <x v="9"/>
    <d v="2022-08-18T00:00:00"/>
    <s v="1705"/>
    <x v="92"/>
    <m/>
    <m/>
    <m/>
    <s v="11800 · CIBC"/>
    <x v="574"/>
    <n v="55736.15"/>
  </r>
  <r>
    <x v="9"/>
    <d v="2022-08-18T00:00:00"/>
    <s v="1705"/>
    <x v="92"/>
    <m/>
    <m/>
    <m/>
    <s v="11800 · CIBC"/>
    <x v="575"/>
    <n v="55749.69"/>
  </r>
  <r>
    <x v="9"/>
    <d v="2022-08-18T00:00:00"/>
    <s v="1705"/>
    <x v="92"/>
    <m/>
    <m/>
    <m/>
    <s v="11800 · CIBC"/>
    <x v="39"/>
    <n v="55749.69"/>
  </r>
  <r>
    <x v="9"/>
    <d v="2022-08-18T00:00:00"/>
    <s v="1706"/>
    <x v="90"/>
    <m/>
    <m/>
    <m/>
    <s v="11800 · CIBC"/>
    <x v="533"/>
    <n v="56435.94"/>
  </r>
  <r>
    <x v="9"/>
    <d v="2022-08-18T00:00:00"/>
    <s v="1706"/>
    <x v="90"/>
    <m/>
    <m/>
    <m/>
    <s v="11800 · CIBC"/>
    <x v="39"/>
    <n v="56435.94"/>
  </r>
  <r>
    <x v="9"/>
    <d v="2022-08-18T00:00:00"/>
    <s v="1706"/>
    <x v="90"/>
    <m/>
    <m/>
    <m/>
    <s v="11800 · CIBC"/>
    <x v="535"/>
    <n v="56451.12"/>
  </r>
  <r>
    <x v="9"/>
    <d v="2022-08-18T00:00:00"/>
    <s v="1706"/>
    <x v="90"/>
    <m/>
    <m/>
    <m/>
    <s v="11800 · CIBC"/>
    <x v="39"/>
    <n v="56451.12"/>
  </r>
  <r>
    <x v="9"/>
    <d v="2022-08-18T00:00:00"/>
    <s v="1710"/>
    <x v="40"/>
    <m/>
    <m/>
    <m/>
    <s v="11800 · CIBC"/>
    <x v="559"/>
    <n v="57851.12"/>
  </r>
  <r>
    <x v="9"/>
    <d v="2022-08-18T00:00:00"/>
    <s v="1710"/>
    <x v="40"/>
    <m/>
    <m/>
    <m/>
    <s v="11800 · CIBC"/>
    <x v="560"/>
    <n v="57923.25"/>
  </r>
  <r>
    <x v="9"/>
    <d v="2022-08-18T00:00:00"/>
    <s v="1710"/>
    <x v="40"/>
    <m/>
    <m/>
    <m/>
    <s v="11800 · CIBC"/>
    <x v="561"/>
    <n v="57954.22"/>
  </r>
  <r>
    <x v="9"/>
    <d v="2022-08-18T00:00:00"/>
    <s v="1710"/>
    <x v="40"/>
    <m/>
    <m/>
    <m/>
    <s v="11800 · CIBC"/>
    <x v="39"/>
    <n v="57954.22"/>
  </r>
  <r>
    <x v="9"/>
    <d v="2022-08-18T00:00:00"/>
    <s v="1711"/>
    <x v="89"/>
    <m/>
    <m/>
    <m/>
    <s v="11800 · CIBC"/>
    <x v="576"/>
    <n v="59234.22"/>
  </r>
  <r>
    <x v="9"/>
    <d v="2022-08-18T00:00:00"/>
    <s v="1711"/>
    <x v="89"/>
    <m/>
    <m/>
    <m/>
    <s v="11800 · CIBC"/>
    <x v="39"/>
    <n v="59234.22"/>
  </r>
  <r>
    <x v="9"/>
    <d v="2022-08-18T00:00:00"/>
    <s v="1711"/>
    <x v="89"/>
    <m/>
    <m/>
    <m/>
    <s v="11800 · CIBC"/>
    <x v="577"/>
    <n v="59262.53"/>
  </r>
  <r>
    <x v="9"/>
    <d v="2022-08-18T00:00:00"/>
    <s v="1711"/>
    <x v="89"/>
    <m/>
    <m/>
    <m/>
    <s v="11800 · CIBC"/>
    <x v="39"/>
    <n v="59262.53"/>
  </r>
  <r>
    <x v="9"/>
    <d v="2022-08-18T00:00:00"/>
    <s v="1712"/>
    <x v="91"/>
    <m/>
    <m/>
    <m/>
    <s v="11800 · CIBC"/>
    <x v="578"/>
    <n v="59742.53"/>
  </r>
  <r>
    <x v="9"/>
    <d v="2022-08-18T00:00:00"/>
    <s v="1712"/>
    <x v="91"/>
    <m/>
    <m/>
    <m/>
    <s v="11800 · CIBC"/>
    <x v="579"/>
    <n v="59762.22"/>
  </r>
  <r>
    <x v="9"/>
    <d v="2022-08-18T00:00:00"/>
    <s v="1712"/>
    <x v="91"/>
    <m/>
    <m/>
    <m/>
    <s v="11800 · CIBC"/>
    <x v="580"/>
    <n v="59772.83"/>
  </r>
  <r>
    <x v="9"/>
    <d v="2022-08-18T00:00:00"/>
    <s v="1712"/>
    <x v="91"/>
    <m/>
    <m/>
    <m/>
    <s v="11800 · CIBC"/>
    <x v="39"/>
    <n v="59772.83"/>
  </r>
  <r>
    <x v="9"/>
    <d v="2022-09-01T00:00:00"/>
    <s v="1738"/>
    <x v="38"/>
    <m/>
    <m/>
    <m/>
    <s v="11800 · CIBC"/>
    <x v="93"/>
    <n v="61372.83"/>
  </r>
  <r>
    <x v="9"/>
    <d v="2022-09-01T00:00:00"/>
    <s v="1738"/>
    <x v="38"/>
    <m/>
    <m/>
    <m/>
    <s v="11800 · CIBC"/>
    <x v="527"/>
    <n v="61456.36"/>
  </r>
  <r>
    <x v="9"/>
    <d v="2022-09-01T00:00:00"/>
    <s v="1738"/>
    <x v="38"/>
    <m/>
    <m/>
    <m/>
    <s v="11800 · CIBC"/>
    <x v="528"/>
    <n v="61491.75"/>
  </r>
  <r>
    <x v="9"/>
    <d v="2022-09-01T00:00:00"/>
    <s v="1738"/>
    <x v="38"/>
    <m/>
    <m/>
    <m/>
    <s v="11800 · CIBC"/>
    <x v="529"/>
    <n v="61555.75"/>
  </r>
  <r>
    <x v="9"/>
    <d v="2022-09-01T00:00:00"/>
    <s v="1739"/>
    <x v="77"/>
    <m/>
    <m/>
    <m/>
    <s v="11800 · CIBC"/>
    <x v="40"/>
    <n v="63555.75"/>
  </r>
  <r>
    <x v="9"/>
    <d v="2022-09-01T00:00:00"/>
    <s v="1739"/>
    <x v="77"/>
    <m/>
    <m/>
    <m/>
    <s v="11800 · CIBC"/>
    <x v="530"/>
    <n v="63662.080000000002"/>
  </r>
  <r>
    <x v="9"/>
    <d v="2022-09-01T00:00:00"/>
    <s v="1739"/>
    <x v="77"/>
    <m/>
    <m/>
    <m/>
    <s v="11800 · CIBC"/>
    <x v="531"/>
    <n v="63706.32"/>
  </r>
  <r>
    <x v="9"/>
    <d v="2022-09-01T00:00:00"/>
    <s v="1739"/>
    <x v="77"/>
    <m/>
    <m/>
    <m/>
    <s v="11800 · CIBC"/>
    <x v="532"/>
    <n v="63786.32"/>
  </r>
  <r>
    <x v="9"/>
    <d v="2022-09-01T00:00:00"/>
    <s v="1740"/>
    <x v="92"/>
    <m/>
    <m/>
    <m/>
    <s v="11800 · CIBC"/>
    <x v="581"/>
    <n v="65226.32"/>
  </r>
  <r>
    <x v="9"/>
    <d v="2022-09-01T00:00:00"/>
    <s v="1740"/>
    <x v="92"/>
    <m/>
    <m/>
    <m/>
    <s v="11800 · CIBC"/>
    <x v="582"/>
    <n v="65300.73"/>
  </r>
  <r>
    <x v="9"/>
    <d v="2022-09-01T00:00:00"/>
    <s v="1740"/>
    <x v="92"/>
    <m/>
    <m/>
    <m/>
    <s v="11800 · CIBC"/>
    <x v="583"/>
    <n v="65332.58"/>
  </r>
  <r>
    <x v="9"/>
    <d v="2022-09-01T00:00:00"/>
    <s v="1740"/>
    <x v="92"/>
    <m/>
    <m/>
    <m/>
    <s v="11800 · CIBC"/>
    <x v="39"/>
    <n v="65332.58"/>
  </r>
  <r>
    <x v="9"/>
    <d v="2022-09-01T00:00:00"/>
    <s v="1741"/>
    <x v="90"/>
    <m/>
    <m/>
    <m/>
    <s v="11800 · CIBC"/>
    <x v="584"/>
    <n v="65784.740000000005"/>
  </r>
  <r>
    <x v="9"/>
    <d v="2022-09-01T00:00:00"/>
    <s v="1741"/>
    <x v="90"/>
    <m/>
    <m/>
    <m/>
    <s v="11800 · CIBC"/>
    <x v="39"/>
    <n v="65784.740000000005"/>
  </r>
  <r>
    <x v="9"/>
    <d v="2022-09-01T00:00:00"/>
    <s v="1741"/>
    <x v="90"/>
    <m/>
    <m/>
    <m/>
    <s v="11800 · CIBC"/>
    <x v="585"/>
    <n v="65794.740000000005"/>
  </r>
  <r>
    <x v="9"/>
    <d v="2022-09-01T00:00:00"/>
    <s v="1741"/>
    <x v="90"/>
    <m/>
    <m/>
    <m/>
    <s v="11800 · CIBC"/>
    <x v="39"/>
    <n v="65794.740000000005"/>
  </r>
  <r>
    <x v="9"/>
    <d v="2022-09-01T00:00:00"/>
    <s v="1742"/>
    <x v="40"/>
    <m/>
    <m/>
    <m/>
    <s v="11800 · CIBC"/>
    <x v="559"/>
    <n v="67194.740000000005"/>
  </r>
  <r>
    <x v="9"/>
    <d v="2022-09-01T00:00:00"/>
    <s v="1742"/>
    <x v="40"/>
    <m/>
    <m/>
    <m/>
    <s v="11800 · CIBC"/>
    <x v="560"/>
    <n v="67266.87"/>
  </r>
  <r>
    <x v="9"/>
    <d v="2022-09-01T00:00:00"/>
    <s v="1742"/>
    <x v="40"/>
    <m/>
    <m/>
    <m/>
    <s v="11800 · CIBC"/>
    <x v="561"/>
    <n v="67297.84"/>
  </r>
  <r>
    <x v="9"/>
    <d v="2022-09-01T00:00:00"/>
    <s v="1742"/>
    <x v="40"/>
    <m/>
    <m/>
    <m/>
    <s v="11800 · CIBC"/>
    <x v="39"/>
    <n v="67297.84"/>
  </r>
  <r>
    <x v="9"/>
    <d v="2022-09-01T00:00:00"/>
    <s v="1743"/>
    <x v="89"/>
    <m/>
    <m/>
    <m/>
    <s v="11800 · CIBC"/>
    <x v="586"/>
    <n v="68056.240000000005"/>
  </r>
  <r>
    <x v="9"/>
    <d v="2022-09-01T00:00:00"/>
    <s v="1743"/>
    <x v="89"/>
    <m/>
    <m/>
    <m/>
    <s v="11800 · CIBC"/>
    <x v="39"/>
    <n v="68056.240000000005"/>
  </r>
  <r>
    <x v="9"/>
    <d v="2022-09-01T00:00:00"/>
    <s v="1743"/>
    <x v="89"/>
    <m/>
    <m/>
    <m/>
    <s v="11800 · CIBC"/>
    <x v="587"/>
    <n v="68073.009999999995"/>
  </r>
  <r>
    <x v="9"/>
    <d v="2022-09-01T00:00:00"/>
    <s v="1743"/>
    <x v="89"/>
    <m/>
    <m/>
    <m/>
    <s v="11800 · CIBC"/>
    <x v="39"/>
    <n v="68073.009999999995"/>
  </r>
  <r>
    <x v="9"/>
    <d v="2022-09-01T00:00:00"/>
    <s v="1744"/>
    <x v="91"/>
    <m/>
    <m/>
    <m/>
    <s v="11800 · CIBC"/>
    <x v="588"/>
    <n v="68297.009999999995"/>
  </r>
  <r>
    <x v="9"/>
    <d v="2022-09-01T00:00:00"/>
    <s v="1744"/>
    <x v="91"/>
    <m/>
    <m/>
    <m/>
    <s v="11800 · CIBC"/>
    <x v="589"/>
    <n v="68302.11"/>
  </r>
  <r>
    <x v="9"/>
    <d v="2022-09-01T00:00:00"/>
    <s v="1744"/>
    <x v="91"/>
    <m/>
    <m/>
    <m/>
    <s v="11800 · CIBC"/>
    <x v="590"/>
    <n v="68307.070000000007"/>
  </r>
  <r>
    <x v="9"/>
    <d v="2022-09-01T00:00:00"/>
    <s v="1744"/>
    <x v="91"/>
    <m/>
    <m/>
    <m/>
    <s v="11800 · CIBC"/>
    <x v="39"/>
    <n v="68307.070000000007"/>
  </r>
  <r>
    <x v="9"/>
    <d v="2022-09-15T00:00:00"/>
    <s v="1748"/>
    <x v="38"/>
    <m/>
    <m/>
    <m/>
    <s v="11800 · CIBC"/>
    <x v="93"/>
    <n v="69907.070000000007"/>
  </r>
  <r>
    <x v="9"/>
    <d v="2022-09-15T00:00:00"/>
    <s v="1748"/>
    <x v="38"/>
    <m/>
    <m/>
    <m/>
    <s v="11800 · CIBC"/>
    <x v="527"/>
    <n v="69990.600000000006"/>
  </r>
  <r>
    <x v="9"/>
    <d v="2022-09-15T00:00:00"/>
    <s v="1748"/>
    <x v="38"/>
    <m/>
    <m/>
    <m/>
    <s v="11800 · CIBC"/>
    <x v="528"/>
    <n v="70025.990000000005"/>
  </r>
  <r>
    <x v="9"/>
    <d v="2022-09-15T00:00:00"/>
    <s v="1748"/>
    <x v="38"/>
    <m/>
    <m/>
    <m/>
    <s v="11800 · CIBC"/>
    <x v="529"/>
    <n v="70089.990000000005"/>
  </r>
  <r>
    <x v="9"/>
    <d v="2022-09-15T00:00:00"/>
    <s v="1749"/>
    <x v="77"/>
    <m/>
    <m/>
    <m/>
    <s v="11800 · CIBC"/>
    <x v="40"/>
    <n v="72089.990000000005"/>
  </r>
  <r>
    <x v="9"/>
    <d v="2022-09-15T00:00:00"/>
    <s v="1749"/>
    <x v="77"/>
    <m/>
    <m/>
    <m/>
    <s v="11800 · CIBC"/>
    <x v="530"/>
    <n v="72196.320000000007"/>
  </r>
  <r>
    <x v="9"/>
    <d v="2022-09-15T00:00:00"/>
    <s v="1749"/>
    <x v="77"/>
    <m/>
    <m/>
    <m/>
    <s v="11800 · CIBC"/>
    <x v="531"/>
    <n v="72240.56"/>
  </r>
  <r>
    <x v="9"/>
    <d v="2022-09-15T00:00:00"/>
    <s v="1749"/>
    <x v="77"/>
    <m/>
    <m/>
    <m/>
    <s v="11800 · CIBC"/>
    <x v="532"/>
    <n v="72320.56"/>
  </r>
  <r>
    <x v="9"/>
    <d v="2022-09-15T00:00:00"/>
    <s v="1750"/>
    <x v="92"/>
    <m/>
    <m/>
    <m/>
    <s v="11800 · CIBC"/>
    <x v="591"/>
    <n v="73436.56"/>
  </r>
  <r>
    <x v="9"/>
    <d v="2022-09-15T00:00:00"/>
    <s v="1750"/>
    <x v="92"/>
    <m/>
    <m/>
    <m/>
    <s v="11800 · CIBC"/>
    <x v="592"/>
    <n v="73492.5"/>
  </r>
  <r>
    <x v="9"/>
    <d v="2022-09-15T00:00:00"/>
    <s v="1750"/>
    <x v="92"/>
    <m/>
    <m/>
    <m/>
    <s v="11800 · CIBC"/>
    <x v="593"/>
    <n v="73517.179999999993"/>
  </r>
  <r>
    <x v="9"/>
    <d v="2022-09-15T00:00:00"/>
    <s v="1750"/>
    <x v="92"/>
    <m/>
    <m/>
    <m/>
    <s v="11800 · CIBC"/>
    <x v="39"/>
    <n v="73517.179999999993"/>
  </r>
  <r>
    <x v="9"/>
    <d v="2022-09-15T00:00:00"/>
    <s v="1751"/>
    <x v="40"/>
    <m/>
    <m/>
    <m/>
    <s v="11800 · CIBC"/>
    <x v="559"/>
    <n v="74917.179999999993"/>
  </r>
  <r>
    <x v="9"/>
    <d v="2022-09-15T00:00:00"/>
    <s v="1751"/>
    <x v="40"/>
    <m/>
    <m/>
    <m/>
    <s v="11800 · CIBC"/>
    <x v="560"/>
    <n v="74989.31"/>
  </r>
  <r>
    <x v="9"/>
    <d v="2022-09-15T00:00:00"/>
    <s v="1751"/>
    <x v="40"/>
    <m/>
    <m/>
    <m/>
    <s v="11800 · CIBC"/>
    <x v="561"/>
    <n v="75020.28"/>
  </r>
  <r>
    <x v="9"/>
    <d v="2022-09-15T00:00:00"/>
    <s v="1751"/>
    <x v="40"/>
    <m/>
    <m/>
    <m/>
    <s v="11800 · CIBC"/>
    <x v="39"/>
    <n v="75020.28"/>
  </r>
  <r>
    <x v="9"/>
    <d v="2022-09-15T00:00:00"/>
    <s v="1752"/>
    <x v="89"/>
    <m/>
    <m/>
    <m/>
    <s v="11800 · CIBC"/>
    <x v="594"/>
    <n v="76001.08"/>
  </r>
  <r>
    <x v="9"/>
    <d v="2022-09-15T00:00:00"/>
    <s v="1752"/>
    <x v="89"/>
    <m/>
    <m/>
    <m/>
    <s v="11800 · CIBC"/>
    <x v="39"/>
    <n v="76001.08"/>
  </r>
  <r>
    <x v="9"/>
    <d v="2022-09-15T00:00:00"/>
    <s v="1752"/>
    <x v="89"/>
    <m/>
    <m/>
    <m/>
    <s v="11800 · CIBC"/>
    <x v="595"/>
    <n v="76022.78"/>
  </r>
  <r>
    <x v="9"/>
    <d v="2022-09-15T00:00:00"/>
    <s v="1752"/>
    <x v="89"/>
    <m/>
    <m/>
    <m/>
    <s v="11800 · CIBC"/>
    <x v="39"/>
    <n v="76022.78"/>
  </r>
  <r>
    <x v="9"/>
    <d v="2022-09-29T00:00:00"/>
    <s v="1754"/>
    <x v="38"/>
    <m/>
    <m/>
    <m/>
    <s v="11800 · CIBC"/>
    <x v="93"/>
    <n v="77622.78"/>
  </r>
  <r>
    <x v="9"/>
    <d v="2022-09-29T00:00:00"/>
    <s v="1754"/>
    <x v="38"/>
    <m/>
    <m/>
    <m/>
    <s v="11800 · CIBC"/>
    <x v="527"/>
    <n v="77706.31"/>
  </r>
  <r>
    <x v="9"/>
    <d v="2022-09-29T00:00:00"/>
    <s v="1754"/>
    <x v="38"/>
    <m/>
    <m/>
    <m/>
    <s v="11800 · CIBC"/>
    <x v="528"/>
    <n v="77741.7"/>
  </r>
  <r>
    <x v="9"/>
    <d v="2022-09-29T00:00:00"/>
    <s v="1754"/>
    <x v="38"/>
    <m/>
    <m/>
    <m/>
    <s v="11800 · CIBC"/>
    <x v="529"/>
    <n v="77805.7"/>
  </r>
  <r>
    <x v="9"/>
    <d v="2022-09-29T00:00:00"/>
    <s v="1755"/>
    <x v="77"/>
    <m/>
    <m/>
    <m/>
    <s v="11800 · CIBC"/>
    <x v="40"/>
    <n v="79805.7"/>
  </r>
  <r>
    <x v="9"/>
    <d v="2022-09-29T00:00:00"/>
    <s v="1755"/>
    <x v="77"/>
    <m/>
    <m/>
    <m/>
    <s v="11800 · CIBC"/>
    <x v="530"/>
    <n v="79912.03"/>
  </r>
  <r>
    <x v="9"/>
    <d v="2022-09-29T00:00:00"/>
    <s v="1755"/>
    <x v="77"/>
    <m/>
    <m/>
    <m/>
    <s v="11800 · CIBC"/>
    <x v="531"/>
    <n v="79956.27"/>
  </r>
  <r>
    <x v="9"/>
    <d v="2022-09-29T00:00:00"/>
    <s v="1755"/>
    <x v="77"/>
    <m/>
    <m/>
    <m/>
    <s v="11800 · CIBC"/>
    <x v="532"/>
    <n v="80036.27"/>
  </r>
  <r>
    <x v="9"/>
    <d v="2022-09-29T00:00:00"/>
    <s v="1758"/>
    <x v="92"/>
    <m/>
    <m/>
    <m/>
    <s v="11800 · CIBC"/>
    <x v="596"/>
    <n v="81567.47"/>
  </r>
  <r>
    <x v="9"/>
    <d v="2022-09-29T00:00:00"/>
    <s v="1758"/>
    <x v="92"/>
    <m/>
    <m/>
    <m/>
    <s v="11800 · CIBC"/>
    <x v="597"/>
    <n v="81647.08"/>
  </r>
  <r>
    <x v="9"/>
    <d v="2022-09-29T00:00:00"/>
    <s v="1758"/>
    <x v="92"/>
    <m/>
    <m/>
    <m/>
    <s v="11800 · CIBC"/>
    <x v="598"/>
    <n v="81680.95"/>
  </r>
  <r>
    <x v="9"/>
    <d v="2022-09-29T00:00:00"/>
    <s v="1758"/>
    <x v="92"/>
    <m/>
    <m/>
    <m/>
    <s v="11800 · CIBC"/>
    <x v="39"/>
    <n v="81680.95"/>
  </r>
  <r>
    <x v="9"/>
    <d v="2022-09-29T00:00:00"/>
    <s v="1760"/>
    <x v="93"/>
    <m/>
    <m/>
    <m/>
    <s v="11800 · CIBC"/>
    <x v="62"/>
    <n v="83180.95"/>
  </r>
  <r>
    <x v="9"/>
    <d v="2022-09-29T00:00:00"/>
    <s v="1760"/>
    <x v="93"/>
    <m/>
    <m/>
    <m/>
    <s v="11800 · CIBC"/>
    <x v="599"/>
    <n v="83258.78"/>
  </r>
  <r>
    <x v="9"/>
    <d v="2022-09-29T00:00:00"/>
    <s v="1760"/>
    <x v="93"/>
    <m/>
    <m/>
    <m/>
    <s v="11800 · CIBC"/>
    <x v="600"/>
    <n v="83291.960000000006"/>
  </r>
  <r>
    <x v="9"/>
    <d v="2022-09-29T00:00:00"/>
    <s v="1760"/>
    <x v="93"/>
    <m/>
    <m/>
    <m/>
    <s v="11800 · CIBC"/>
    <x v="39"/>
    <n v="83291.960000000006"/>
  </r>
  <r>
    <x v="9"/>
    <d v="2022-09-29T00:00:00"/>
    <s v="1761"/>
    <x v="40"/>
    <m/>
    <m/>
    <m/>
    <s v="11800 · CIBC"/>
    <x v="559"/>
    <n v="84691.96"/>
  </r>
  <r>
    <x v="9"/>
    <d v="2022-09-29T00:00:00"/>
    <s v="1761"/>
    <x v="40"/>
    <m/>
    <m/>
    <m/>
    <s v="11800 · CIBC"/>
    <x v="560"/>
    <n v="84764.09"/>
  </r>
  <r>
    <x v="9"/>
    <d v="2022-09-29T00:00:00"/>
    <s v="1761"/>
    <x v="40"/>
    <m/>
    <m/>
    <m/>
    <s v="11800 · CIBC"/>
    <x v="561"/>
    <n v="84795.06"/>
  </r>
  <r>
    <x v="9"/>
    <d v="2022-09-29T00:00:00"/>
    <s v="1761"/>
    <x v="40"/>
    <m/>
    <m/>
    <m/>
    <s v="11800 · CIBC"/>
    <x v="39"/>
    <n v="84795.06"/>
  </r>
  <r>
    <x v="9"/>
    <d v="2022-09-29T00:00:00"/>
    <s v="1762"/>
    <x v="89"/>
    <m/>
    <m/>
    <m/>
    <s v="11800 · CIBC"/>
    <x v="601"/>
    <n v="85613.73"/>
  </r>
  <r>
    <x v="9"/>
    <d v="2022-09-29T00:00:00"/>
    <s v="1762"/>
    <x v="89"/>
    <m/>
    <m/>
    <m/>
    <s v="11800 · CIBC"/>
    <x v="39"/>
    <n v="85613.73"/>
  </r>
  <r>
    <x v="9"/>
    <d v="2022-09-29T00:00:00"/>
    <s v="1762"/>
    <x v="89"/>
    <m/>
    <m/>
    <m/>
    <s v="11800 · CIBC"/>
    <x v="602"/>
    <n v="85631.83"/>
  </r>
  <r>
    <x v="9"/>
    <d v="2022-09-29T00:00:00"/>
    <s v="1762"/>
    <x v="89"/>
    <m/>
    <m/>
    <m/>
    <s v="11800 · CIBC"/>
    <x v="39"/>
    <n v="85631.83"/>
  </r>
  <r>
    <x v="9"/>
    <d v="2022-09-29T00:00:00"/>
    <s v="1764"/>
    <x v="94"/>
    <m/>
    <m/>
    <m/>
    <s v="11800 · CIBC"/>
    <x v="603"/>
    <n v="87154.83"/>
  </r>
  <r>
    <x v="9"/>
    <d v="2022-09-29T00:00:00"/>
    <s v="1764"/>
    <x v="94"/>
    <m/>
    <m/>
    <m/>
    <s v="11800 · CIBC"/>
    <x v="604"/>
    <n v="87233.97"/>
  </r>
  <r>
    <x v="9"/>
    <d v="2022-09-29T00:00:00"/>
    <s v="1764"/>
    <x v="94"/>
    <m/>
    <m/>
    <m/>
    <s v="11800 · CIBC"/>
    <x v="605"/>
    <n v="87267.65"/>
  </r>
  <r>
    <x v="9"/>
    <d v="2022-09-29T00:00:00"/>
    <s v="1764"/>
    <x v="94"/>
    <m/>
    <m/>
    <m/>
    <s v="11800 · CIBC"/>
    <x v="39"/>
    <n v="87267.65"/>
  </r>
  <r>
    <x v="9"/>
    <d v="2022-10-13T00:00:00"/>
    <s v="1692"/>
    <x v="38"/>
    <m/>
    <m/>
    <m/>
    <s v="11800 · CIBC"/>
    <x v="93"/>
    <n v="88867.65"/>
  </r>
  <r>
    <x v="9"/>
    <d v="2022-10-13T00:00:00"/>
    <s v="1692"/>
    <x v="38"/>
    <m/>
    <m/>
    <m/>
    <s v="11800 · CIBC"/>
    <x v="527"/>
    <n v="88951.18"/>
  </r>
  <r>
    <x v="9"/>
    <d v="2022-10-13T00:00:00"/>
    <s v="1692"/>
    <x v="38"/>
    <m/>
    <m/>
    <m/>
    <s v="11800 · CIBC"/>
    <x v="528"/>
    <n v="88986.57"/>
  </r>
  <r>
    <x v="9"/>
    <d v="2022-10-13T00:00:00"/>
    <s v="1692"/>
    <x v="38"/>
    <m/>
    <m/>
    <m/>
    <s v="11800 · CIBC"/>
    <x v="529"/>
    <n v="89050.57"/>
  </r>
  <r>
    <x v="9"/>
    <d v="2022-10-13T00:00:00"/>
    <s v="1693"/>
    <x v="77"/>
    <m/>
    <m/>
    <m/>
    <s v="11800 · CIBC"/>
    <x v="40"/>
    <n v="91050.57"/>
  </r>
  <r>
    <x v="9"/>
    <d v="2022-10-13T00:00:00"/>
    <s v="1693"/>
    <x v="77"/>
    <m/>
    <m/>
    <m/>
    <s v="11800 · CIBC"/>
    <x v="530"/>
    <n v="91156.9"/>
  </r>
  <r>
    <x v="9"/>
    <d v="2022-10-13T00:00:00"/>
    <s v="1693"/>
    <x v="77"/>
    <m/>
    <m/>
    <m/>
    <s v="11800 · CIBC"/>
    <x v="531"/>
    <n v="91201.14"/>
  </r>
  <r>
    <x v="9"/>
    <d v="2022-10-13T00:00:00"/>
    <s v="1693"/>
    <x v="77"/>
    <m/>
    <m/>
    <m/>
    <s v="11800 · CIBC"/>
    <x v="532"/>
    <n v="91281.14"/>
  </r>
  <r>
    <x v="9"/>
    <d v="2022-10-13T00:00:00"/>
    <s v="1772"/>
    <x v="92"/>
    <m/>
    <m/>
    <m/>
    <s v="11800 · CIBC"/>
    <x v="606"/>
    <n v="92195.24"/>
  </r>
  <r>
    <x v="9"/>
    <d v="2022-10-13T00:00:00"/>
    <s v="1772"/>
    <x v="92"/>
    <m/>
    <m/>
    <m/>
    <s v="11800 · CIBC"/>
    <x v="607"/>
    <n v="92239.67"/>
  </r>
  <r>
    <x v="9"/>
    <d v="2022-10-13T00:00:00"/>
    <s v="1772"/>
    <x v="92"/>
    <m/>
    <m/>
    <m/>
    <s v="11800 · CIBC"/>
    <x v="608"/>
    <n v="92259.89"/>
  </r>
  <r>
    <x v="9"/>
    <d v="2022-10-13T00:00:00"/>
    <s v="1772"/>
    <x v="92"/>
    <m/>
    <m/>
    <m/>
    <s v="11800 · CIBC"/>
    <x v="39"/>
    <n v="92259.89"/>
  </r>
  <r>
    <x v="9"/>
    <d v="2022-10-13T00:00:00"/>
    <s v="1773"/>
    <x v="93"/>
    <m/>
    <m/>
    <m/>
    <s v="11800 · CIBC"/>
    <x v="609"/>
    <n v="93644.51"/>
  </r>
  <r>
    <x v="9"/>
    <d v="2022-10-13T00:00:00"/>
    <s v="1773"/>
    <x v="93"/>
    <m/>
    <m/>
    <m/>
    <s v="11800 · CIBC"/>
    <x v="610"/>
    <n v="93715.76"/>
  </r>
  <r>
    <x v="9"/>
    <d v="2022-10-13T00:00:00"/>
    <s v="1773"/>
    <x v="93"/>
    <m/>
    <m/>
    <m/>
    <s v="11800 · CIBC"/>
    <x v="611"/>
    <n v="93746.39"/>
  </r>
  <r>
    <x v="9"/>
    <d v="2022-10-13T00:00:00"/>
    <s v="1773"/>
    <x v="93"/>
    <m/>
    <m/>
    <m/>
    <s v="11800 · CIBC"/>
    <x v="39"/>
    <n v="93746.39"/>
  </r>
  <r>
    <x v="9"/>
    <d v="2022-10-13T00:00:00"/>
    <s v="1774"/>
    <x v="40"/>
    <m/>
    <m/>
    <m/>
    <s v="11800 · CIBC"/>
    <x v="559"/>
    <n v="95146.39"/>
  </r>
  <r>
    <x v="9"/>
    <d v="2022-10-13T00:00:00"/>
    <s v="1774"/>
    <x v="40"/>
    <m/>
    <m/>
    <m/>
    <s v="11800 · CIBC"/>
    <x v="560"/>
    <n v="95218.52"/>
  </r>
  <r>
    <x v="9"/>
    <d v="2022-10-13T00:00:00"/>
    <s v="1774"/>
    <x v="40"/>
    <m/>
    <m/>
    <m/>
    <s v="11800 · CIBC"/>
    <x v="561"/>
    <n v="95249.49"/>
  </r>
  <r>
    <x v="9"/>
    <d v="2022-10-13T00:00:00"/>
    <s v="1774"/>
    <x v="40"/>
    <m/>
    <m/>
    <m/>
    <s v="11800 · CIBC"/>
    <x v="39"/>
    <n v="95249.49"/>
  </r>
  <r>
    <x v="9"/>
    <d v="2022-10-13T00:00:00"/>
    <s v="1775"/>
    <x v="89"/>
    <m/>
    <m/>
    <m/>
    <s v="11800 · CIBC"/>
    <x v="612"/>
    <n v="96273.76"/>
  </r>
  <r>
    <x v="9"/>
    <d v="2022-10-13T00:00:00"/>
    <s v="1775"/>
    <x v="89"/>
    <m/>
    <m/>
    <m/>
    <s v="11800 · CIBC"/>
    <x v="613"/>
    <n v="96324.47"/>
  </r>
  <r>
    <x v="9"/>
    <d v="2022-10-13T00:00:00"/>
    <s v="1775"/>
    <x v="89"/>
    <m/>
    <m/>
    <m/>
    <s v="11800 · CIBC"/>
    <x v="614"/>
    <n v="96347.12"/>
  </r>
  <r>
    <x v="9"/>
    <d v="2022-10-13T00:00:00"/>
    <s v="1775"/>
    <x v="89"/>
    <m/>
    <m/>
    <m/>
    <s v="11800 · CIBC"/>
    <x v="39"/>
    <n v="96347.12"/>
  </r>
  <r>
    <x v="9"/>
    <d v="2022-10-13T00:00:00"/>
    <s v="1776"/>
    <x v="94"/>
    <m/>
    <m/>
    <m/>
    <s v="11800 · CIBC"/>
    <x v="615"/>
    <n v="97917.25"/>
  </r>
  <r>
    <x v="9"/>
    <d v="2022-10-13T00:00:00"/>
    <s v="1776"/>
    <x v="94"/>
    <m/>
    <m/>
    <m/>
    <s v="11800 · CIBC"/>
    <x v="616"/>
    <n v="97999.07"/>
  </r>
  <r>
    <x v="9"/>
    <d v="2022-10-13T00:00:00"/>
    <s v="1776"/>
    <x v="94"/>
    <m/>
    <m/>
    <m/>
    <s v="11800 · CIBC"/>
    <x v="617"/>
    <n v="98033.8"/>
  </r>
  <r>
    <x v="9"/>
    <d v="2022-10-13T00:00:00"/>
    <s v="1776"/>
    <x v="94"/>
    <m/>
    <m/>
    <m/>
    <s v="11800 · CIBC"/>
    <x v="39"/>
    <n v="98033.8"/>
  </r>
  <r>
    <x v="9"/>
    <d v="2022-10-13T00:00:00"/>
    <s v="1777"/>
    <x v="95"/>
    <m/>
    <m/>
    <m/>
    <s v="11800 · CIBC"/>
    <x v="618"/>
    <n v="98310.05"/>
  </r>
  <r>
    <x v="9"/>
    <d v="2022-10-13T00:00:00"/>
    <s v="1777"/>
    <x v="95"/>
    <m/>
    <m/>
    <m/>
    <s v="11800 · CIBC"/>
    <x v="619"/>
    <n v="98318.12"/>
  </r>
  <r>
    <x v="9"/>
    <d v="2022-10-13T00:00:00"/>
    <s v="1777"/>
    <x v="95"/>
    <m/>
    <m/>
    <m/>
    <s v="11800 · CIBC"/>
    <x v="620"/>
    <n v="98324.22"/>
  </r>
  <r>
    <x v="9"/>
    <d v="2022-10-13T00:00:00"/>
    <s v="1777"/>
    <x v="95"/>
    <m/>
    <m/>
    <m/>
    <s v="11800 · CIBC"/>
    <x v="39"/>
    <n v="98324.22"/>
  </r>
  <r>
    <x v="9"/>
    <d v="2022-10-26T00:00:00"/>
    <s v="1802"/>
    <x v="38"/>
    <m/>
    <m/>
    <m/>
    <s v="11800 · CIBC"/>
    <x v="93"/>
    <n v="99924.22"/>
  </r>
  <r>
    <x v="9"/>
    <d v="2022-10-26T00:00:00"/>
    <s v="1802"/>
    <x v="38"/>
    <m/>
    <m/>
    <m/>
    <s v="11800 · CIBC"/>
    <x v="527"/>
    <n v="100007.75"/>
  </r>
  <r>
    <x v="9"/>
    <d v="2022-10-26T00:00:00"/>
    <s v="1802"/>
    <x v="38"/>
    <m/>
    <m/>
    <m/>
    <s v="11800 · CIBC"/>
    <x v="528"/>
    <n v="100043.14"/>
  </r>
  <r>
    <x v="9"/>
    <d v="2022-10-26T00:00:00"/>
    <s v="1802"/>
    <x v="38"/>
    <m/>
    <m/>
    <m/>
    <s v="11800 · CIBC"/>
    <x v="529"/>
    <n v="100107.14"/>
  </r>
  <r>
    <x v="9"/>
    <d v="2022-10-26T00:00:00"/>
    <s v="1803"/>
    <x v="77"/>
    <m/>
    <m/>
    <m/>
    <s v="11800 · CIBC"/>
    <x v="40"/>
    <n v="102107.14"/>
  </r>
  <r>
    <x v="9"/>
    <d v="2022-10-26T00:00:00"/>
    <s v="1803"/>
    <x v="77"/>
    <m/>
    <m/>
    <m/>
    <s v="11800 · CIBC"/>
    <x v="530"/>
    <n v="102213.47"/>
  </r>
  <r>
    <x v="9"/>
    <d v="2022-10-26T00:00:00"/>
    <s v="1803"/>
    <x v="77"/>
    <m/>
    <m/>
    <m/>
    <s v="11800 · CIBC"/>
    <x v="531"/>
    <n v="102257.71"/>
  </r>
  <r>
    <x v="9"/>
    <d v="2022-10-26T00:00:00"/>
    <s v="1803"/>
    <x v="77"/>
    <m/>
    <m/>
    <m/>
    <s v="11800 · CIBC"/>
    <x v="532"/>
    <n v="102337.71"/>
  </r>
  <r>
    <x v="9"/>
    <d v="2022-10-26T00:00:00"/>
    <s v="1804"/>
    <x v="92"/>
    <m/>
    <m/>
    <m/>
    <s v="11800 · CIBC"/>
    <x v="621"/>
    <n v="103253.01"/>
  </r>
  <r>
    <x v="9"/>
    <d v="2022-10-26T00:00:00"/>
    <s v="1804"/>
    <x v="92"/>
    <m/>
    <m/>
    <m/>
    <s v="11800 · CIBC"/>
    <x v="622"/>
    <n v="103297.51"/>
  </r>
  <r>
    <x v="9"/>
    <d v="2022-10-26T00:00:00"/>
    <s v="1804"/>
    <x v="92"/>
    <m/>
    <m/>
    <m/>
    <s v="11800 · CIBC"/>
    <x v="623"/>
    <n v="103317.75"/>
  </r>
  <r>
    <x v="9"/>
    <d v="2022-10-26T00:00:00"/>
    <s v="1804"/>
    <x v="92"/>
    <m/>
    <m/>
    <m/>
    <s v="11800 · CIBC"/>
    <x v="39"/>
    <n v="103317.75"/>
  </r>
  <r>
    <x v="9"/>
    <d v="2022-10-26T00:00:00"/>
    <s v="1805"/>
    <x v="93"/>
    <m/>
    <m/>
    <m/>
    <s v="11800 · CIBC"/>
    <x v="62"/>
    <n v="104817.75"/>
  </r>
  <r>
    <x v="9"/>
    <d v="2022-10-26T00:00:00"/>
    <s v="1805"/>
    <x v="93"/>
    <m/>
    <m/>
    <m/>
    <s v="11800 · CIBC"/>
    <x v="599"/>
    <n v="104895.58"/>
  </r>
  <r>
    <x v="9"/>
    <d v="2022-10-26T00:00:00"/>
    <s v="1805"/>
    <x v="93"/>
    <m/>
    <m/>
    <m/>
    <s v="11800 · CIBC"/>
    <x v="600"/>
    <n v="104928.76"/>
  </r>
  <r>
    <x v="9"/>
    <d v="2022-10-26T00:00:00"/>
    <s v="1805"/>
    <x v="93"/>
    <m/>
    <m/>
    <m/>
    <s v="11800 · CIBC"/>
    <x v="39"/>
    <n v="104928.76"/>
  </r>
  <r>
    <x v="9"/>
    <d v="2022-10-26T00:00:00"/>
    <s v="1806"/>
    <x v="40"/>
    <m/>
    <m/>
    <m/>
    <s v="11800 · CIBC"/>
    <x v="559"/>
    <n v="106328.76"/>
  </r>
  <r>
    <x v="9"/>
    <d v="2022-10-26T00:00:00"/>
    <s v="1806"/>
    <x v="40"/>
    <m/>
    <m/>
    <m/>
    <s v="11800 · CIBC"/>
    <x v="560"/>
    <n v="106400.89"/>
  </r>
  <r>
    <x v="9"/>
    <d v="2022-10-26T00:00:00"/>
    <s v="1806"/>
    <x v="40"/>
    <m/>
    <m/>
    <m/>
    <s v="11800 · CIBC"/>
    <x v="561"/>
    <n v="106431.86"/>
  </r>
  <r>
    <x v="9"/>
    <d v="2022-10-26T00:00:00"/>
    <s v="1806"/>
    <x v="40"/>
    <m/>
    <m/>
    <m/>
    <s v="11800 · CIBC"/>
    <x v="39"/>
    <n v="106431.86"/>
  </r>
  <r>
    <x v="9"/>
    <d v="2022-10-26T00:00:00"/>
    <s v="1807"/>
    <x v="89"/>
    <m/>
    <m/>
    <m/>
    <s v="11800 · CIBC"/>
    <x v="624"/>
    <n v="107277.46"/>
  </r>
  <r>
    <x v="9"/>
    <d v="2022-10-26T00:00:00"/>
    <s v="1807"/>
    <x v="89"/>
    <m/>
    <m/>
    <m/>
    <s v="11800 · CIBC"/>
    <x v="625"/>
    <n v="107317.99"/>
  </r>
  <r>
    <x v="9"/>
    <d v="2022-10-26T00:00:00"/>
    <s v="1807"/>
    <x v="89"/>
    <m/>
    <m/>
    <m/>
    <s v="11800 · CIBC"/>
    <x v="626"/>
    <n v="107336.69"/>
  </r>
  <r>
    <x v="9"/>
    <d v="2022-10-26T00:00:00"/>
    <s v="1807"/>
    <x v="89"/>
    <m/>
    <m/>
    <m/>
    <s v="11800 · CIBC"/>
    <x v="39"/>
    <n v="107336.69"/>
  </r>
  <r>
    <x v="9"/>
    <d v="2022-10-26T00:00:00"/>
    <s v="1808"/>
    <x v="94"/>
    <m/>
    <m/>
    <m/>
    <s v="11800 · CIBC"/>
    <x v="627"/>
    <n v="108378.02"/>
  </r>
  <r>
    <x v="9"/>
    <d v="2022-10-26T00:00:00"/>
    <s v="1808"/>
    <x v="94"/>
    <m/>
    <m/>
    <m/>
    <s v="11800 · CIBC"/>
    <x v="628"/>
    <n v="108429.7"/>
  </r>
  <r>
    <x v="9"/>
    <d v="2022-10-26T00:00:00"/>
    <s v="1808"/>
    <x v="94"/>
    <m/>
    <m/>
    <m/>
    <s v="11800 · CIBC"/>
    <x v="629"/>
    <n v="108452.73"/>
  </r>
  <r>
    <x v="9"/>
    <d v="2022-10-26T00:00:00"/>
    <s v="1808"/>
    <x v="94"/>
    <m/>
    <m/>
    <m/>
    <s v="11800 · CIBC"/>
    <x v="39"/>
    <n v="108452.73"/>
  </r>
  <r>
    <x v="9"/>
    <d v="2022-10-26T00:00:00"/>
    <s v="1809"/>
    <x v="95"/>
    <m/>
    <m/>
    <m/>
    <s v="11800 · CIBC"/>
    <x v="630"/>
    <n v="109196.98"/>
  </r>
  <r>
    <x v="9"/>
    <d v="2022-10-26T00:00:00"/>
    <s v="1809"/>
    <x v="95"/>
    <m/>
    <m/>
    <m/>
    <s v="11800 · CIBC"/>
    <x v="631"/>
    <n v="109231.73"/>
  </r>
  <r>
    <x v="9"/>
    <d v="2022-10-26T00:00:00"/>
    <s v="1809"/>
    <x v="95"/>
    <m/>
    <m/>
    <m/>
    <s v="11800 · CIBC"/>
    <x v="632"/>
    <n v="109248.19"/>
  </r>
  <r>
    <x v="9"/>
    <d v="2022-10-26T00:00:00"/>
    <s v="1809"/>
    <x v="95"/>
    <m/>
    <m/>
    <m/>
    <s v="11800 · CIBC"/>
    <x v="39"/>
    <n v="109248.19"/>
  </r>
  <r>
    <x v="9"/>
    <d v="2022-10-28T00:00:00"/>
    <s v="1814"/>
    <x v="94"/>
    <m/>
    <m/>
    <m/>
    <s v="11800 · CIBC"/>
    <x v="633"/>
    <n v="110445.72"/>
  </r>
  <r>
    <x v="9"/>
    <d v="2022-10-28T00:00:00"/>
    <s v="1814"/>
    <x v="94"/>
    <m/>
    <m/>
    <m/>
    <s v="11800 · CIBC"/>
    <x v="634"/>
    <n v="110506.31"/>
  </r>
  <r>
    <x v="9"/>
    <d v="2022-10-28T00:00:00"/>
    <s v="1814"/>
    <x v="94"/>
    <m/>
    <m/>
    <m/>
    <s v="11800 · CIBC"/>
    <x v="635"/>
    <n v="110532.8"/>
  </r>
  <r>
    <x v="9"/>
    <d v="2022-10-28T00:00:00"/>
    <s v="1814"/>
    <x v="94"/>
    <m/>
    <m/>
    <m/>
    <s v="11800 · CIBC"/>
    <x v="39"/>
    <n v="110532.8"/>
  </r>
  <r>
    <x v="9"/>
    <d v="2022-11-09T00:00:00"/>
    <s v="1820"/>
    <x v="38"/>
    <m/>
    <m/>
    <m/>
    <s v="11800 · CIBC"/>
    <x v="93"/>
    <n v="112132.8"/>
  </r>
  <r>
    <x v="9"/>
    <d v="2022-11-09T00:00:00"/>
    <s v="1820"/>
    <x v="38"/>
    <m/>
    <m/>
    <m/>
    <s v="11800 · CIBC"/>
    <x v="527"/>
    <n v="112216.33"/>
  </r>
  <r>
    <x v="9"/>
    <d v="2022-11-09T00:00:00"/>
    <s v="1820"/>
    <x v="38"/>
    <m/>
    <m/>
    <m/>
    <s v="11800 · CIBC"/>
    <x v="528"/>
    <n v="112251.72"/>
  </r>
  <r>
    <x v="9"/>
    <d v="2022-11-09T00:00:00"/>
    <s v="1820"/>
    <x v="38"/>
    <m/>
    <m/>
    <m/>
    <s v="11800 · CIBC"/>
    <x v="529"/>
    <n v="112315.72"/>
  </r>
  <r>
    <x v="9"/>
    <d v="2022-11-09T00:00:00"/>
    <s v="1821"/>
    <x v="77"/>
    <m/>
    <m/>
    <m/>
    <s v="11800 · CIBC"/>
    <x v="40"/>
    <n v="114315.72"/>
  </r>
  <r>
    <x v="9"/>
    <d v="2022-11-09T00:00:00"/>
    <s v="1821"/>
    <x v="77"/>
    <m/>
    <m/>
    <m/>
    <s v="11800 · CIBC"/>
    <x v="530"/>
    <n v="114422.05"/>
  </r>
  <r>
    <x v="9"/>
    <d v="2022-11-09T00:00:00"/>
    <s v="1821"/>
    <x v="77"/>
    <m/>
    <m/>
    <m/>
    <s v="11800 · CIBC"/>
    <x v="531"/>
    <n v="114466.29"/>
  </r>
  <r>
    <x v="9"/>
    <d v="2022-11-09T00:00:00"/>
    <s v="1821"/>
    <x v="77"/>
    <m/>
    <m/>
    <m/>
    <s v="11800 · CIBC"/>
    <x v="532"/>
    <n v="114546.29"/>
  </r>
  <r>
    <x v="9"/>
    <d v="2022-11-09T00:00:00"/>
    <s v="1822"/>
    <x v="93"/>
    <m/>
    <m/>
    <m/>
    <s v="11800 · CIBC"/>
    <x v="62"/>
    <n v="116046.29"/>
  </r>
  <r>
    <x v="9"/>
    <d v="2022-11-09T00:00:00"/>
    <s v="1822"/>
    <x v="93"/>
    <m/>
    <m/>
    <m/>
    <s v="11800 · CIBC"/>
    <x v="599"/>
    <n v="116124.12"/>
  </r>
  <r>
    <x v="9"/>
    <d v="2022-11-09T00:00:00"/>
    <s v="1822"/>
    <x v="93"/>
    <m/>
    <m/>
    <m/>
    <s v="11800 · CIBC"/>
    <x v="600"/>
    <n v="116157.3"/>
  </r>
  <r>
    <x v="9"/>
    <d v="2022-11-09T00:00:00"/>
    <s v="1822"/>
    <x v="93"/>
    <m/>
    <m/>
    <m/>
    <s v="11800 · CIBC"/>
    <x v="39"/>
    <n v="116157.3"/>
  </r>
  <r>
    <x v="9"/>
    <d v="2022-11-09T00:00:00"/>
    <s v="1823"/>
    <x v="40"/>
    <m/>
    <m/>
    <m/>
    <s v="11800 · CIBC"/>
    <x v="559"/>
    <n v="117557.3"/>
  </r>
  <r>
    <x v="9"/>
    <d v="2022-11-09T00:00:00"/>
    <s v="1823"/>
    <x v="40"/>
    <m/>
    <m/>
    <m/>
    <s v="11800 · CIBC"/>
    <x v="560"/>
    <n v="117629.43"/>
  </r>
  <r>
    <x v="9"/>
    <d v="2022-11-09T00:00:00"/>
    <s v="1823"/>
    <x v="40"/>
    <m/>
    <m/>
    <m/>
    <s v="11800 · CIBC"/>
    <x v="561"/>
    <n v="117660.4"/>
  </r>
  <r>
    <x v="9"/>
    <d v="2022-11-09T00:00:00"/>
    <s v="1823"/>
    <x v="40"/>
    <m/>
    <m/>
    <m/>
    <s v="11800 · CIBC"/>
    <x v="39"/>
    <n v="117660.4"/>
  </r>
  <r>
    <x v="9"/>
    <d v="2022-11-09T00:00:00"/>
    <s v="1824"/>
    <x v="89"/>
    <m/>
    <m/>
    <m/>
    <s v="11800 · CIBC"/>
    <x v="636"/>
    <n v="118266.27"/>
  </r>
  <r>
    <x v="9"/>
    <d v="2022-11-09T00:00:00"/>
    <s v="1824"/>
    <x v="89"/>
    <m/>
    <m/>
    <m/>
    <s v="11800 · CIBC"/>
    <x v="637"/>
    <n v="118293.13"/>
  </r>
  <r>
    <x v="9"/>
    <d v="2022-11-09T00:00:00"/>
    <s v="1824"/>
    <x v="89"/>
    <m/>
    <m/>
    <m/>
    <s v="11800 · CIBC"/>
    <x v="638"/>
    <n v="118306.53"/>
  </r>
  <r>
    <x v="9"/>
    <d v="2022-11-09T00:00:00"/>
    <s v="1824"/>
    <x v="89"/>
    <m/>
    <m/>
    <m/>
    <s v="11800 · CIBC"/>
    <x v="39"/>
    <n v="118306.53"/>
  </r>
  <r>
    <x v="9"/>
    <d v="2022-11-09T00:00:00"/>
    <s v="1825"/>
    <x v="94"/>
    <m/>
    <m/>
    <m/>
    <s v="11800 · CIBC"/>
    <x v="639"/>
    <n v="119551.98"/>
  </r>
  <r>
    <x v="9"/>
    <d v="2022-11-09T00:00:00"/>
    <s v="1825"/>
    <x v="94"/>
    <m/>
    <m/>
    <m/>
    <s v="11800 · CIBC"/>
    <x v="640"/>
    <n v="119615.3"/>
  </r>
  <r>
    <x v="9"/>
    <d v="2022-11-09T00:00:00"/>
    <s v="1825"/>
    <x v="94"/>
    <m/>
    <m/>
    <m/>
    <s v="11800 · CIBC"/>
    <x v="641"/>
    <n v="119642.85"/>
  </r>
  <r>
    <x v="9"/>
    <d v="2022-11-09T00:00:00"/>
    <s v="1825"/>
    <x v="94"/>
    <m/>
    <m/>
    <m/>
    <s v="11800 · CIBC"/>
    <x v="39"/>
    <n v="119642.85"/>
  </r>
  <r>
    <x v="9"/>
    <d v="2022-11-09T00:00:00"/>
    <s v="1826"/>
    <x v="95"/>
    <m/>
    <m/>
    <m/>
    <s v="11800 · CIBC"/>
    <x v="642"/>
    <n v="120119.79"/>
  </r>
  <r>
    <x v="9"/>
    <d v="2022-11-09T00:00:00"/>
    <s v="1826"/>
    <x v="95"/>
    <m/>
    <m/>
    <m/>
    <s v="11800 · CIBC"/>
    <x v="643"/>
    <n v="120139.3"/>
  </r>
  <r>
    <x v="9"/>
    <d v="2022-11-09T00:00:00"/>
    <s v="1826"/>
    <x v="95"/>
    <m/>
    <m/>
    <m/>
    <s v="11800 · CIBC"/>
    <x v="644"/>
    <n v="120149.86"/>
  </r>
  <r>
    <x v="9"/>
    <d v="2022-11-09T00:00:00"/>
    <s v="1826"/>
    <x v="95"/>
    <m/>
    <m/>
    <m/>
    <s v="11800 · CIBC"/>
    <x v="39"/>
    <n v="120149.86"/>
  </r>
  <r>
    <x v="9"/>
    <d v="2022-11-23T00:00:00"/>
    <m/>
    <x v="40"/>
    <m/>
    <m/>
    <m/>
    <s v="11800 · CIBC"/>
    <x v="559"/>
    <n v="121549.86"/>
  </r>
  <r>
    <x v="9"/>
    <d v="2022-11-23T00:00:00"/>
    <m/>
    <x v="40"/>
    <m/>
    <m/>
    <m/>
    <s v="11800 · CIBC"/>
    <x v="560"/>
    <n v="121621.99"/>
  </r>
  <r>
    <x v="9"/>
    <d v="2022-11-23T00:00:00"/>
    <m/>
    <x v="40"/>
    <m/>
    <m/>
    <m/>
    <s v="11800 · CIBC"/>
    <x v="561"/>
    <n v="121652.96"/>
  </r>
  <r>
    <x v="9"/>
    <d v="2022-11-23T00:00:00"/>
    <m/>
    <x v="40"/>
    <m/>
    <m/>
    <m/>
    <s v="11800 · CIBC"/>
    <x v="39"/>
    <n v="121652.96"/>
  </r>
  <r>
    <x v="9"/>
    <d v="2022-11-24T00:00:00"/>
    <s v="1832"/>
    <x v="38"/>
    <m/>
    <m/>
    <m/>
    <s v="11800 · CIBC"/>
    <x v="93"/>
    <n v="123252.96"/>
  </r>
  <r>
    <x v="9"/>
    <d v="2022-11-24T00:00:00"/>
    <s v="1832"/>
    <x v="38"/>
    <m/>
    <m/>
    <m/>
    <s v="11800 · CIBC"/>
    <x v="527"/>
    <n v="123336.49"/>
  </r>
  <r>
    <x v="9"/>
    <d v="2022-11-24T00:00:00"/>
    <s v="1832"/>
    <x v="38"/>
    <m/>
    <m/>
    <m/>
    <s v="11800 · CIBC"/>
    <x v="528"/>
    <n v="123371.88"/>
  </r>
  <r>
    <x v="9"/>
    <d v="2022-11-24T00:00:00"/>
    <s v="1832"/>
    <x v="38"/>
    <m/>
    <m/>
    <m/>
    <s v="11800 · CIBC"/>
    <x v="529"/>
    <n v="123435.88"/>
  </r>
  <r>
    <x v="9"/>
    <d v="2022-11-24T00:00:00"/>
    <s v="1833"/>
    <x v="77"/>
    <m/>
    <m/>
    <m/>
    <s v="11800 · CIBC"/>
    <x v="40"/>
    <n v="125435.88"/>
  </r>
  <r>
    <x v="9"/>
    <d v="2022-11-24T00:00:00"/>
    <s v="1833"/>
    <x v="77"/>
    <m/>
    <m/>
    <m/>
    <s v="11800 · CIBC"/>
    <x v="530"/>
    <n v="125542.21"/>
  </r>
  <r>
    <x v="9"/>
    <d v="2022-11-24T00:00:00"/>
    <s v="1833"/>
    <x v="77"/>
    <m/>
    <m/>
    <m/>
    <s v="11800 · CIBC"/>
    <x v="531"/>
    <n v="125586.45"/>
  </r>
  <r>
    <x v="9"/>
    <d v="2022-11-24T00:00:00"/>
    <s v="1833"/>
    <x v="77"/>
    <m/>
    <m/>
    <m/>
    <s v="11800 · CIBC"/>
    <x v="532"/>
    <n v="125666.45"/>
  </r>
  <r>
    <x v="9"/>
    <d v="2022-11-24T00:00:00"/>
    <s v="1834"/>
    <x v="92"/>
    <m/>
    <m/>
    <m/>
    <s v="11800 · CIBC"/>
    <x v="645"/>
    <n v="126435.65"/>
  </r>
  <r>
    <x v="9"/>
    <d v="2022-11-24T00:00:00"/>
    <s v="1834"/>
    <x v="92"/>
    <m/>
    <m/>
    <m/>
    <s v="11800 · CIBC"/>
    <x v="646"/>
    <n v="126471.82"/>
  </r>
  <r>
    <x v="9"/>
    <d v="2022-11-24T00:00:00"/>
    <s v="1834"/>
    <x v="92"/>
    <m/>
    <m/>
    <m/>
    <s v="11800 · CIBC"/>
    <x v="647"/>
    <n v="126488.83"/>
  </r>
  <r>
    <x v="9"/>
    <d v="2022-11-24T00:00:00"/>
    <s v="1834"/>
    <x v="92"/>
    <m/>
    <m/>
    <m/>
    <s v="11800 · CIBC"/>
    <x v="39"/>
    <n v="126488.83"/>
  </r>
  <r>
    <x v="9"/>
    <d v="2022-11-24T00:00:00"/>
    <s v="1835"/>
    <x v="93"/>
    <m/>
    <m/>
    <m/>
    <s v="11800 · CIBC"/>
    <x v="62"/>
    <n v="127988.83"/>
  </r>
  <r>
    <x v="9"/>
    <d v="2022-11-24T00:00:00"/>
    <s v="1835"/>
    <x v="93"/>
    <m/>
    <m/>
    <m/>
    <s v="11800 · CIBC"/>
    <x v="599"/>
    <n v="128066.66"/>
  </r>
  <r>
    <x v="9"/>
    <d v="2022-11-24T00:00:00"/>
    <s v="1835"/>
    <x v="93"/>
    <m/>
    <m/>
    <m/>
    <s v="11800 · CIBC"/>
    <x v="600"/>
    <n v="128099.84"/>
  </r>
  <r>
    <x v="9"/>
    <d v="2022-11-24T00:00:00"/>
    <s v="1835"/>
    <x v="93"/>
    <m/>
    <m/>
    <m/>
    <s v="11800 · CIBC"/>
    <x v="39"/>
    <n v="128099.84"/>
  </r>
  <r>
    <x v="9"/>
    <d v="2022-11-24T00:00:00"/>
    <s v="1836"/>
    <x v="89"/>
    <m/>
    <m/>
    <m/>
    <s v="11800 · CIBC"/>
    <x v="648"/>
    <n v="129064.37"/>
  </r>
  <r>
    <x v="9"/>
    <d v="2022-11-24T00:00:00"/>
    <s v="1836"/>
    <x v="89"/>
    <m/>
    <m/>
    <m/>
    <s v="11800 · CIBC"/>
    <x v="649"/>
    <n v="129111.67999999999"/>
  </r>
  <r>
    <x v="9"/>
    <d v="2022-11-24T00:00:00"/>
    <s v="1836"/>
    <x v="89"/>
    <m/>
    <m/>
    <m/>
    <s v="11800 · CIBC"/>
    <x v="650"/>
    <n v="129133.02"/>
  </r>
  <r>
    <x v="9"/>
    <d v="2022-11-24T00:00:00"/>
    <s v="1836"/>
    <x v="89"/>
    <m/>
    <m/>
    <m/>
    <s v="11800 · CIBC"/>
    <x v="39"/>
    <n v="129133.02"/>
  </r>
  <r>
    <x v="9"/>
    <d v="2022-11-24T00:00:00"/>
    <s v="1837"/>
    <x v="94"/>
    <m/>
    <m/>
    <m/>
    <s v="11800 · CIBC"/>
    <x v="651"/>
    <n v="130855.34"/>
  </r>
  <r>
    <x v="9"/>
    <d v="2022-11-24T00:00:00"/>
    <s v="1837"/>
    <x v="94"/>
    <m/>
    <m/>
    <m/>
    <s v="11800 · CIBC"/>
    <x v="652"/>
    <n v="130945.84"/>
  </r>
  <r>
    <x v="9"/>
    <d v="2022-11-24T00:00:00"/>
    <s v="1837"/>
    <x v="94"/>
    <m/>
    <m/>
    <m/>
    <s v="11800 · CIBC"/>
    <x v="653"/>
    <n v="130983.93"/>
  </r>
  <r>
    <x v="9"/>
    <d v="2022-11-24T00:00:00"/>
    <s v="1837"/>
    <x v="94"/>
    <m/>
    <m/>
    <m/>
    <s v="11800 · CIBC"/>
    <x v="39"/>
    <n v="130983.93"/>
  </r>
  <r>
    <x v="9"/>
    <d v="2022-11-24T00:00:00"/>
    <s v="1838"/>
    <x v="95"/>
    <m/>
    <m/>
    <m/>
    <s v="11800 · CIBC"/>
    <x v="654"/>
    <n v="131966.51"/>
  </r>
  <r>
    <x v="9"/>
    <d v="2022-11-24T00:00:00"/>
    <s v="1838"/>
    <x v="95"/>
    <m/>
    <m/>
    <m/>
    <s v="11800 · CIBC"/>
    <x v="655"/>
    <n v="132014.84"/>
  </r>
  <r>
    <x v="9"/>
    <d v="2022-11-24T00:00:00"/>
    <s v="1838"/>
    <x v="95"/>
    <m/>
    <m/>
    <m/>
    <s v="11800 · CIBC"/>
    <x v="656"/>
    <n v="132036.57"/>
  </r>
  <r>
    <x v="9"/>
    <d v="2022-11-24T00:00:00"/>
    <s v="1838"/>
    <x v="95"/>
    <m/>
    <m/>
    <m/>
    <s v="11800 · CIBC"/>
    <x v="39"/>
    <n v="132036.57"/>
  </r>
  <r>
    <x v="9"/>
    <d v="2022-12-08T00:00:00"/>
    <s v="1924"/>
    <x v="38"/>
    <m/>
    <m/>
    <m/>
    <s v="11800 · CIBC"/>
    <x v="93"/>
    <n v="133636.57"/>
  </r>
  <r>
    <x v="9"/>
    <d v="2022-12-08T00:00:00"/>
    <s v="1924"/>
    <x v="38"/>
    <m/>
    <m/>
    <m/>
    <s v="11800 · CIBC"/>
    <x v="527"/>
    <n v="133720.1"/>
  </r>
  <r>
    <x v="9"/>
    <d v="2022-12-08T00:00:00"/>
    <s v="1924"/>
    <x v="38"/>
    <m/>
    <m/>
    <m/>
    <s v="11800 · CIBC"/>
    <x v="528"/>
    <n v="133755.49"/>
  </r>
  <r>
    <x v="9"/>
    <d v="2022-12-08T00:00:00"/>
    <s v="1924"/>
    <x v="38"/>
    <m/>
    <m/>
    <m/>
    <s v="11800 · CIBC"/>
    <x v="529"/>
    <n v="133819.49"/>
  </r>
  <r>
    <x v="9"/>
    <d v="2022-12-08T00:00:00"/>
    <s v="1925"/>
    <x v="77"/>
    <m/>
    <m/>
    <m/>
    <s v="11800 · CIBC"/>
    <x v="40"/>
    <n v="135819.49"/>
  </r>
  <r>
    <x v="9"/>
    <d v="2022-12-08T00:00:00"/>
    <s v="1925"/>
    <x v="77"/>
    <m/>
    <m/>
    <m/>
    <s v="11800 · CIBC"/>
    <x v="530"/>
    <n v="135925.82"/>
  </r>
  <r>
    <x v="9"/>
    <d v="2022-12-08T00:00:00"/>
    <s v="1925"/>
    <x v="77"/>
    <m/>
    <m/>
    <m/>
    <s v="11800 · CIBC"/>
    <x v="531"/>
    <n v="135970.06"/>
  </r>
  <r>
    <x v="9"/>
    <d v="2022-12-08T00:00:00"/>
    <s v="1925"/>
    <x v="77"/>
    <m/>
    <m/>
    <m/>
    <s v="11800 · CIBC"/>
    <x v="532"/>
    <n v="136050.06"/>
  </r>
  <r>
    <x v="9"/>
    <d v="2022-12-08T00:00:00"/>
    <s v="1926"/>
    <x v="92"/>
    <m/>
    <m/>
    <m/>
    <s v="11800 · CIBC"/>
    <x v="657"/>
    <n v="137282.76"/>
  </r>
  <r>
    <x v="9"/>
    <d v="2022-12-08T00:00:00"/>
    <s v="1926"/>
    <x v="92"/>
    <m/>
    <m/>
    <m/>
    <s v="11800 · CIBC"/>
    <x v="658"/>
    <n v="137345.35"/>
  </r>
  <r>
    <x v="9"/>
    <d v="2022-12-08T00:00:00"/>
    <s v="1926"/>
    <x v="92"/>
    <m/>
    <m/>
    <m/>
    <s v="11800 · CIBC"/>
    <x v="659"/>
    <n v="137372.62"/>
  </r>
  <r>
    <x v="9"/>
    <d v="2022-12-08T00:00:00"/>
    <s v="1926"/>
    <x v="92"/>
    <m/>
    <m/>
    <m/>
    <s v="11800 · CIBC"/>
    <x v="39"/>
    <n v="137372.62"/>
  </r>
  <r>
    <x v="9"/>
    <d v="2022-12-08T00:00:00"/>
    <s v="1927"/>
    <x v="93"/>
    <m/>
    <m/>
    <m/>
    <s v="11800 · CIBC"/>
    <x v="62"/>
    <n v="138872.62"/>
  </r>
  <r>
    <x v="9"/>
    <d v="2022-12-08T00:00:00"/>
    <s v="1927"/>
    <x v="93"/>
    <m/>
    <m/>
    <m/>
    <s v="11800 · CIBC"/>
    <x v="599"/>
    <n v="138950.45000000001"/>
  </r>
  <r>
    <x v="9"/>
    <d v="2022-12-08T00:00:00"/>
    <s v="1927"/>
    <x v="93"/>
    <m/>
    <m/>
    <m/>
    <s v="11800 · CIBC"/>
    <x v="600"/>
    <n v="138983.63"/>
  </r>
  <r>
    <x v="9"/>
    <d v="2022-12-08T00:00:00"/>
    <s v="1927"/>
    <x v="93"/>
    <m/>
    <m/>
    <m/>
    <s v="11800 · CIBC"/>
    <x v="39"/>
    <n v="138983.63"/>
  </r>
  <r>
    <x v="9"/>
    <d v="2022-12-08T00:00:00"/>
    <s v="1928"/>
    <x v="89"/>
    <m/>
    <m/>
    <m/>
    <s v="11800 · CIBC"/>
    <x v="660"/>
    <n v="139948.70000000001"/>
  </r>
  <r>
    <x v="9"/>
    <d v="2022-12-08T00:00:00"/>
    <s v="1928"/>
    <x v="89"/>
    <m/>
    <m/>
    <m/>
    <s v="11800 · CIBC"/>
    <x v="661"/>
    <n v="139996.04"/>
  </r>
  <r>
    <x v="9"/>
    <d v="2022-12-08T00:00:00"/>
    <s v="1928"/>
    <x v="89"/>
    <m/>
    <m/>
    <m/>
    <s v="11800 · CIBC"/>
    <x v="662"/>
    <n v="140017.39000000001"/>
  </r>
  <r>
    <x v="9"/>
    <d v="2022-12-08T00:00:00"/>
    <s v="1928"/>
    <x v="89"/>
    <m/>
    <m/>
    <m/>
    <s v="11800 · CIBC"/>
    <x v="39"/>
    <n v="140017.39000000001"/>
  </r>
  <r>
    <x v="9"/>
    <d v="2022-12-08T00:00:00"/>
    <s v="1929"/>
    <x v="94"/>
    <m/>
    <m/>
    <m/>
    <s v="11800 · CIBC"/>
    <x v="663"/>
    <n v="141463.32"/>
  </r>
  <r>
    <x v="9"/>
    <d v="2022-12-08T00:00:00"/>
    <s v="1929"/>
    <x v="94"/>
    <m/>
    <m/>
    <m/>
    <s v="11800 · CIBC"/>
    <x v="664"/>
    <n v="141538.07"/>
  </r>
  <r>
    <x v="9"/>
    <d v="2022-12-08T00:00:00"/>
    <s v="1929"/>
    <x v="94"/>
    <m/>
    <m/>
    <m/>
    <s v="11800 · CIBC"/>
    <x v="665"/>
    <n v="141570.06"/>
  </r>
  <r>
    <x v="9"/>
    <d v="2022-12-08T00:00:00"/>
    <s v="1929"/>
    <x v="94"/>
    <m/>
    <m/>
    <m/>
    <s v="11800 · CIBC"/>
    <x v="39"/>
    <n v="141570.06"/>
  </r>
  <r>
    <x v="9"/>
    <d v="2022-12-08T00:00:00"/>
    <m/>
    <x v="95"/>
    <m/>
    <m/>
    <m/>
    <s v="11800 · CIBC"/>
    <x v="666"/>
    <n v="142171.31"/>
  </r>
  <r>
    <x v="9"/>
    <d v="2022-12-08T00:00:00"/>
    <m/>
    <x v="95"/>
    <m/>
    <m/>
    <m/>
    <s v="11800 · CIBC"/>
    <x v="667"/>
    <n v="142197.91"/>
  </r>
  <r>
    <x v="9"/>
    <d v="2022-12-08T00:00:00"/>
    <m/>
    <x v="95"/>
    <m/>
    <m/>
    <m/>
    <s v="11800 · CIBC"/>
    <x v="668"/>
    <n v="142211.21"/>
  </r>
  <r>
    <x v="9"/>
    <d v="2022-12-08T00:00:00"/>
    <m/>
    <x v="95"/>
    <m/>
    <m/>
    <m/>
    <s v="11800 · CIBC"/>
    <x v="39"/>
    <n v="142211.21"/>
  </r>
  <r>
    <x v="9"/>
    <d v="2022-12-08T00:00:00"/>
    <m/>
    <x v="40"/>
    <m/>
    <m/>
    <m/>
    <s v="11800 · CIBC"/>
    <x v="559"/>
    <n v="143611.21"/>
  </r>
  <r>
    <x v="9"/>
    <d v="2022-12-08T00:00:00"/>
    <m/>
    <x v="40"/>
    <m/>
    <m/>
    <m/>
    <s v="11800 · CIBC"/>
    <x v="560"/>
    <n v="143683.34"/>
  </r>
  <r>
    <x v="9"/>
    <d v="2022-12-08T00:00:00"/>
    <m/>
    <x v="40"/>
    <m/>
    <m/>
    <m/>
    <s v="11800 · CIBC"/>
    <x v="561"/>
    <n v="143714.31"/>
  </r>
  <r>
    <x v="9"/>
    <d v="2022-12-08T00:00:00"/>
    <m/>
    <x v="40"/>
    <m/>
    <m/>
    <m/>
    <s v="11800 · CIBC"/>
    <x v="39"/>
    <n v="143714.31"/>
  </r>
  <r>
    <x v="9"/>
    <d v="2022-12-22T00:00:00"/>
    <m/>
    <x v="38"/>
    <m/>
    <m/>
    <m/>
    <s v="11800 · CIBC"/>
    <x v="93"/>
    <n v="145314.31"/>
  </r>
  <r>
    <x v="9"/>
    <d v="2022-12-22T00:00:00"/>
    <m/>
    <x v="38"/>
    <m/>
    <m/>
    <m/>
    <s v="11800 · CIBC"/>
    <x v="527"/>
    <n v="145397.84"/>
  </r>
  <r>
    <x v="9"/>
    <d v="2022-12-22T00:00:00"/>
    <m/>
    <x v="38"/>
    <m/>
    <m/>
    <m/>
    <s v="11800 · CIBC"/>
    <x v="528"/>
    <n v="145433.23000000001"/>
  </r>
  <r>
    <x v="9"/>
    <d v="2022-12-22T00:00:00"/>
    <m/>
    <x v="38"/>
    <m/>
    <m/>
    <m/>
    <s v="11800 · CIBC"/>
    <x v="529"/>
    <n v="145497.23000000001"/>
  </r>
  <r>
    <x v="9"/>
    <d v="2022-12-22T00:00:00"/>
    <m/>
    <x v="77"/>
    <m/>
    <m/>
    <m/>
    <s v="11800 · CIBC"/>
    <x v="40"/>
    <n v="147497.23000000001"/>
  </r>
  <r>
    <x v="9"/>
    <d v="2022-12-22T00:00:00"/>
    <m/>
    <x v="77"/>
    <m/>
    <m/>
    <m/>
    <s v="11800 · CIBC"/>
    <x v="530"/>
    <n v="147603.56"/>
  </r>
  <r>
    <x v="9"/>
    <d v="2022-12-22T00:00:00"/>
    <m/>
    <x v="77"/>
    <m/>
    <m/>
    <m/>
    <s v="11800 · CIBC"/>
    <x v="531"/>
    <n v="147647.79999999999"/>
  </r>
  <r>
    <x v="9"/>
    <d v="2022-12-22T00:00:00"/>
    <m/>
    <x v="77"/>
    <m/>
    <m/>
    <m/>
    <s v="11800 · CIBC"/>
    <x v="532"/>
    <n v="147727.79999999999"/>
  </r>
  <r>
    <x v="9"/>
    <d v="2022-12-22T00:00:00"/>
    <m/>
    <x v="92"/>
    <m/>
    <m/>
    <m/>
    <s v="11800 · CIBC"/>
    <x v="669"/>
    <n v="148882.20000000001"/>
  </r>
  <r>
    <x v="9"/>
    <d v="2022-12-22T00:00:00"/>
    <m/>
    <x v="92"/>
    <m/>
    <m/>
    <m/>
    <s v="11800 · CIBC"/>
    <x v="670"/>
    <n v="148940.32999999999"/>
  </r>
  <r>
    <x v="9"/>
    <d v="2022-12-22T00:00:00"/>
    <m/>
    <x v="92"/>
    <m/>
    <m/>
    <m/>
    <s v="11800 · CIBC"/>
    <x v="671"/>
    <n v="148965.87"/>
  </r>
  <r>
    <x v="9"/>
    <d v="2022-12-22T00:00:00"/>
    <m/>
    <x v="92"/>
    <m/>
    <m/>
    <m/>
    <s v="11800 · CIBC"/>
    <x v="672"/>
    <n v="149012.04999999999"/>
  </r>
  <r>
    <x v="9"/>
    <d v="2022-12-22T00:00:00"/>
    <m/>
    <x v="93"/>
    <m/>
    <m/>
    <m/>
    <s v="11800 · CIBC"/>
    <x v="62"/>
    <n v="150512.04999999999"/>
  </r>
  <r>
    <x v="9"/>
    <d v="2022-12-22T00:00:00"/>
    <m/>
    <x v="93"/>
    <m/>
    <m/>
    <m/>
    <s v="11800 · CIBC"/>
    <x v="599"/>
    <n v="150589.88"/>
  </r>
  <r>
    <x v="9"/>
    <d v="2022-12-22T00:00:00"/>
    <m/>
    <x v="93"/>
    <m/>
    <m/>
    <m/>
    <s v="11800 · CIBC"/>
    <x v="600"/>
    <n v="150623.06"/>
  </r>
  <r>
    <x v="9"/>
    <d v="2022-12-22T00:00:00"/>
    <m/>
    <x v="93"/>
    <m/>
    <m/>
    <m/>
    <s v="11800 · CIBC"/>
    <x v="103"/>
    <n v="150683.06"/>
  </r>
  <r>
    <x v="9"/>
    <d v="2022-12-22T00:00:00"/>
    <m/>
    <x v="40"/>
    <m/>
    <m/>
    <m/>
    <s v="11800 · CIBC"/>
    <x v="559"/>
    <n v="152083.06"/>
  </r>
  <r>
    <x v="9"/>
    <d v="2022-12-22T00:00:00"/>
    <m/>
    <x v="40"/>
    <m/>
    <m/>
    <m/>
    <s v="11800 · CIBC"/>
    <x v="560"/>
    <n v="152155.19"/>
  </r>
  <r>
    <x v="9"/>
    <d v="2022-12-22T00:00:00"/>
    <m/>
    <x v="40"/>
    <m/>
    <m/>
    <m/>
    <s v="11800 · CIBC"/>
    <x v="561"/>
    <n v="152186.16"/>
  </r>
  <r>
    <x v="9"/>
    <d v="2022-12-22T00:00:00"/>
    <m/>
    <x v="40"/>
    <m/>
    <m/>
    <m/>
    <s v="11800 · CIBC"/>
    <x v="673"/>
    <n v="152242.16"/>
  </r>
  <r>
    <x v="9"/>
    <d v="2022-12-22T00:00:00"/>
    <m/>
    <x v="89"/>
    <m/>
    <m/>
    <m/>
    <s v="11800 · CIBC"/>
    <x v="674"/>
    <n v="153381.35999999999"/>
  </r>
  <r>
    <x v="9"/>
    <d v="2022-12-22T00:00:00"/>
    <m/>
    <x v="89"/>
    <m/>
    <m/>
    <m/>
    <s v="11800 · CIBC"/>
    <x v="675"/>
    <n v="153438.62"/>
  </r>
  <r>
    <x v="9"/>
    <d v="2022-12-22T00:00:00"/>
    <m/>
    <x v="89"/>
    <m/>
    <m/>
    <m/>
    <s v="11800 · CIBC"/>
    <x v="676"/>
    <n v="153463.82"/>
  </r>
  <r>
    <x v="9"/>
    <d v="2022-12-22T00:00:00"/>
    <m/>
    <x v="89"/>
    <m/>
    <m/>
    <m/>
    <s v="11800 · CIBC"/>
    <x v="677"/>
    <n v="153509.39000000001"/>
  </r>
  <r>
    <x v="9"/>
    <d v="2022-12-22T00:00:00"/>
    <m/>
    <x v="95"/>
    <m/>
    <m/>
    <m/>
    <s v="11800 · CIBC"/>
    <x v="678"/>
    <n v="153733.64000000001"/>
  </r>
  <r>
    <x v="9"/>
    <d v="2022-12-22T00:00:00"/>
    <m/>
    <x v="95"/>
    <m/>
    <m/>
    <m/>
    <s v="11800 · CIBC"/>
    <x v="679"/>
    <n v="153738.75"/>
  </r>
  <r>
    <x v="9"/>
    <d v="2022-12-22T00:00:00"/>
    <m/>
    <x v="95"/>
    <m/>
    <m/>
    <m/>
    <s v="11800 · CIBC"/>
    <x v="590"/>
    <n v="153743.71"/>
  </r>
  <r>
    <x v="9"/>
    <d v="2022-12-22T00:00:00"/>
    <m/>
    <x v="95"/>
    <m/>
    <m/>
    <m/>
    <s v="11800 · CIBC"/>
    <x v="680"/>
    <n v="153752.68"/>
  </r>
  <r>
    <x v="9"/>
    <d v="2022-12-22T00:00:00"/>
    <m/>
    <x v="94"/>
    <m/>
    <m/>
    <m/>
    <s v="11800 · CIBC"/>
    <x v="681"/>
    <n v="155503.35999999999"/>
  </r>
  <r>
    <x v="9"/>
    <d v="2022-12-22T00:00:00"/>
    <m/>
    <x v="94"/>
    <m/>
    <m/>
    <m/>
    <s v="11800 · CIBC"/>
    <x v="682"/>
    <n v="155595.48000000001"/>
  </r>
  <r>
    <x v="9"/>
    <d v="2022-12-22T00:00:00"/>
    <m/>
    <x v="94"/>
    <m/>
    <m/>
    <m/>
    <s v="11800 · CIBC"/>
    <x v="683"/>
    <n v="155634.20000000001"/>
  </r>
  <r>
    <x v="9"/>
    <d v="2022-12-22T00:00:00"/>
    <m/>
    <x v="94"/>
    <m/>
    <m/>
    <m/>
    <s v="11800 · CIBC"/>
    <x v="684"/>
    <n v="155704.23000000001"/>
  </r>
  <r>
    <x v="0"/>
    <m/>
    <m/>
    <x v="0"/>
    <m/>
    <m/>
    <m/>
    <m/>
    <x v="685"/>
    <n v="155704.23000000001"/>
  </r>
  <r>
    <x v="0"/>
    <m/>
    <m/>
    <x v="0"/>
    <m/>
    <m/>
    <m/>
    <m/>
    <x v="0"/>
    <m/>
  </r>
  <r>
    <x v="7"/>
    <d v="2022-11-13T00:00:00"/>
    <m/>
    <x v="96"/>
    <m/>
    <m/>
    <m/>
    <s v="11800 · CIBC"/>
    <x v="365"/>
    <n v="8000"/>
  </r>
  <r>
    <x v="7"/>
    <d v="2022-12-13T00:00:00"/>
    <m/>
    <x v="96"/>
    <m/>
    <m/>
    <m/>
    <s v="11800 · CIBC"/>
    <x v="365"/>
    <n v="16000"/>
  </r>
  <r>
    <x v="0"/>
    <m/>
    <m/>
    <x v="0"/>
    <m/>
    <m/>
    <m/>
    <m/>
    <x v="270"/>
    <n v="16000"/>
  </r>
  <r>
    <x v="0"/>
    <m/>
    <m/>
    <x v="0"/>
    <m/>
    <m/>
    <m/>
    <m/>
    <x v="0"/>
    <m/>
  </r>
  <r>
    <x v="3"/>
    <d v="2022-06-21T00:00:00"/>
    <s v="27"/>
    <x v="64"/>
    <s v="legal fees for corporate setup and purchase of AC"/>
    <m/>
    <m/>
    <s v="20000 · Accounts Payable"/>
    <x v="686"/>
    <n v="9843.77"/>
  </r>
  <r>
    <x v="6"/>
    <d v="2022-06-29T00:00:00"/>
    <m/>
    <x v="97"/>
    <m/>
    <m/>
    <m/>
    <s v="20000 · Accounts Payable"/>
    <x v="687"/>
    <n v="16675.419999999998"/>
  </r>
  <r>
    <x v="6"/>
    <d v="2022-08-04T00:00:00"/>
    <m/>
    <x v="97"/>
    <m/>
    <m/>
    <m/>
    <s v="20000 · Accounts Payable"/>
    <x v="3"/>
    <n v="18425.419999999998"/>
  </r>
  <r>
    <x v="0"/>
    <m/>
    <m/>
    <x v="0"/>
    <m/>
    <m/>
    <m/>
    <m/>
    <x v="688"/>
    <n v="18425.419999999998"/>
  </r>
  <r>
    <x v="0"/>
    <m/>
    <m/>
    <x v="0"/>
    <m/>
    <m/>
    <m/>
    <m/>
    <x v="0"/>
    <m/>
  </r>
  <r>
    <x v="7"/>
    <d v="2022-04-01T00:00:00"/>
    <s v="1646"/>
    <x v="98"/>
    <m/>
    <m/>
    <m/>
    <s v="11800 · CIBC"/>
    <x v="689"/>
    <n v="3318.58"/>
  </r>
  <r>
    <x v="7"/>
    <d v="2022-05-01T00:00:00"/>
    <s v="1647"/>
    <x v="98"/>
    <m/>
    <m/>
    <m/>
    <s v="11800 · CIBC"/>
    <x v="689"/>
    <n v="6637.16"/>
  </r>
  <r>
    <x v="7"/>
    <d v="2022-06-01T00:00:00"/>
    <s v="1648"/>
    <x v="98"/>
    <m/>
    <m/>
    <m/>
    <s v="11800 · CIBC"/>
    <x v="689"/>
    <n v="9955.74"/>
  </r>
  <r>
    <x v="7"/>
    <d v="2022-07-01T00:00:00"/>
    <s v="1649"/>
    <x v="98"/>
    <m/>
    <m/>
    <m/>
    <s v="11800 · CIBC"/>
    <x v="689"/>
    <n v="13274.32"/>
  </r>
  <r>
    <x v="7"/>
    <d v="2022-08-01T00:00:00"/>
    <s v="1650"/>
    <x v="98"/>
    <m/>
    <m/>
    <m/>
    <s v="11800 · CIBC"/>
    <x v="689"/>
    <n v="16592.900000000001"/>
  </r>
  <r>
    <x v="7"/>
    <d v="2022-09-01T00:00:00"/>
    <s v="1651"/>
    <x v="98"/>
    <m/>
    <m/>
    <m/>
    <s v="11800 · CIBC"/>
    <x v="689"/>
    <n v="19911.48"/>
  </r>
  <r>
    <x v="7"/>
    <d v="2022-10-01T00:00:00"/>
    <m/>
    <x v="98"/>
    <m/>
    <m/>
    <m/>
    <s v="11800 · CIBC"/>
    <x v="689"/>
    <n v="23230.06"/>
  </r>
  <r>
    <x v="7"/>
    <d v="2022-11-01T00:00:00"/>
    <s v="1653"/>
    <x v="98"/>
    <m/>
    <m/>
    <m/>
    <s v="11800 · CIBC"/>
    <x v="689"/>
    <n v="26548.639999999999"/>
  </r>
  <r>
    <x v="7"/>
    <d v="2022-12-01T00:00:00"/>
    <s v="1654"/>
    <x v="98"/>
    <m/>
    <m/>
    <m/>
    <s v="11800 · CIBC"/>
    <x v="689"/>
    <n v="29867.22"/>
  </r>
  <r>
    <x v="0"/>
    <m/>
    <m/>
    <x v="0"/>
    <m/>
    <m/>
    <m/>
    <m/>
    <x v="690"/>
    <n v="29867.22"/>
  </r>
  <r>
    <x v="0"/>
    <m/>
    <m/>
    <x v="0"/>
    <m/>
    <m/>
    <m/>
    <m/>
    <x v="0"/>
    <m/>
  </r>
  <r>
    <x v="4"/>
    <d v="2022-05-24T00:00:00"/>
    <m/>
    <x v="99"/>
    <m/>
    <m/>
    <m/>
    <s v="CIBC VISA"/>
    <x v="691"/>
    <n v="921.86"/>
  </r>
  <r>
    <x v="6"/>
    <d v="2022-09-29T00:00:00"/>
    <m/>
    <x v="44"/>
    <m/>
    <m/>
    <m/>
    <s v="20000 · Accounts Payable"/>
    <x v="692"/>
    <n v="5085.75"/>
  </r>
  <r>
    <x v="6"/>
    <d v="2022-12-08T00:00:00"/>
    <m/>
    <x v="99"/>
    <s v="esa renewal fee"/>
    <m/>
    <m/>
    <s v="20000 · Accounts Payable"/>
    <x v="693"/>
    <n v="5480.75"/>
  </r>
  <r>
    <x v="0"/>
    <m/>
    <m/>
    <x v="0"/>
    <m/>
    <m/>
    <m/>
    <m/>
    <x v="694"/>
    <n v="5480.75"/>
  </r>
  <r>
    <x v="0"/>
    <m/>
    <m/>
    <x v="0"/>
    <m/>
    <m/>
    <m/>
    <m/>
    <x v="0"/>
    <m/>
  </r>
  <r>
    <x v="7"/>
    <d v="2022-04-19T00:00:00"/>
    <s v="1662"/>
    <x v="77"/>
    <m/>
    <m/>
    <m/>
    <s v="11800 · CIBC"/>
    <x v="695"/>
    <n v="48.67"/>
  </r>
  <r>
    <x v="7"/>
    <d v="2022-04-21T00:00:00"/>
    <m/>
    <x v="100"/>
    <m/>
    <m/>
    <m/>
    <s v="11800 · CIBC"/>
    <x v="696"/>
    <n v="225.87"/>
  </r>
  <r>
    <x v="6"/>
    <d v="2022-08-13T00:00:00"/>
    <m/>
    <x v="100"/>
    <m/>
    <m/>
    <m/>
    <s v="20000 · Accounts Payable"/>
    <x v="697"/>
    <n v="407.38"/>
  </r>
  <r>
    <x v="6"/>
    <d v="2022-09-29T00:00:00"/>
    <m/>
    <x v="44"/>
    <m/>
    <m/>
    <m/>
    <s v="20000 · Accounts Payable"/>
    <x v="698"/>
    <n v="1352.67"/>
  </r>
  <r>
    <x v="6"/>
    <d v="2022-11-13T00:00:00"/>
    <m/>
    <x v="100"/>
    <m/>
    <m/>
    <m/>
    <s v="20000 · Accounts Payable"/>
    <x v="699"/>
    <n v="1542.59"/>
  </r>
  <r>
    <x v="0"/>
    <m/>
    <m/>
    <x v="0"/>
    <m/>
    <m/>
    <m/>
    <m/>
    <x v="700"/>
    <n v="1542.59"/>
  </r>
  <r>
    <x v="0"/>
    <m/>
    <m/>
    <x v="0"/>
    <m/>
    <m/>
    <m/>
    <m/>
    <x v="0"/>
    <m/>
  </r>
  <r>
    <x v="7"/>
    <d v="2022-04-21T00:00:00"/>
    <m/>
    <x v="100"/>
    <m/>
    <m/>
    <m/>
    <s v="11800 · CIBC"/>
    <x v="701"/>
    <n v="100"/>
  </r>
  <r>
    <x v="6"/>
    <d v="2022-08-01T00:00:00"/>
    <m/>
    <x v="100"/>
    <m/>
    <m/>
    <m/>
    <s v="20000 · Accounts Payable"/>
    <x v="702"/>
    <n v="509"/>
  </r>
  <r>
    <x v="6"/>
    <d v="2022-10-01T00:00:00"/>
    <m/>
    <x v="100"/>
    <m/>
    <m/>
    <m/>
    <s v="20000 · Accounts Payable"/>
    <x v="703"/>
    <n v="694.91"/>
  </r>
  <r>
    <x v="0"/>
    <m/>
    <m/>
    <x v="0"/>
    <m/>
    <m/>
    <m/>
    <m/>
    <x v="704"/>
    <n v="694.91"/>
  </r>
  <r>
    <x v="0"/>
    <m/>
    <m/>
    <x v="0"/>
    <m/>
    <m/>
    <m/>
    <m/>
    <x v="0"/>
    <m/>
  </r>
  <r>
    <x v="7"/>
    <d v="2022-04-20T00:00:00"/>
    <m/>
    <x v="101"/>
    <m/>
    <m/>
    <m/>
    <s v="11800 · CIBC"/>
    <x v="705"/>
    <n v="151.88"/>
  </r>
  <r>
    <x v="7"/>
    <d v="2022-04-29T00:00:00"/>
    <m/>
    <x v="102"/>
    <m/>
    <m/>
    <m/>
    <s v="11800 · CIBC"/>
    <x v="706"/>
    <n v="390.43"/>
  </r>
  <r>
    <x v="6"/>
    <d v="2022-05-11T00:00:00"/>
    <m/>
    <x v="102"/>
    <m/>
    <m/>
    <m/>
    <s v="20000 · Accounts Payable"/>
    <x v="707"/>
    <n v="589.59"/>
  </r>
  <r>
    <x v="6"/>
    <d v="2022-05-11T00:00:00"/>
    <m/>
    <x v="101"/>
    <m/>
    <m/>
    <m/>
    <s v="20000 · Accounts Payable"/>
    <x v="708"/>
    <n v="728.71"/>
  </r>
  <r>
    <x v="6"/>
    <d v="2022-07-06T00:00:00"/>
    <m/>
    <x v="102"/>
    <m/>
    <m/>
    <m/>
    <s v="20000 · Accounts Payable"/>
    <x v="709"/>
    <n v="795.51"/>
  </r>
  <r>
    <x v="7"/>
    <d v="2022-07-29T00:00:00"/>
    <m/>
    <x v="102"/>
    <m/>
    <m/>
    <m/>
    <s v="11800 · CIBC"/>
    <x v="710"/>
    <n v="868.38"/>
  </r>
  <r>
    <x v="7"/>
    <d v="2022-07-29T00:00:00"/>
    <m/>
    <x v="101"/>
    <m/>
    <m/>
    <m/>
    <s v="11800 · CIBC"/>
    <x v="711"/>
    <n v="1143.5899999999999"/>
  </r>
  <r>
    <x v="6"/>
    <d v="2022-07-31T00:00:00"/>
    <m/>
    <x v="102"/>
    <m/>
    <m/>
    <m/>
    <s v="20000 · Accounts Payable"/>
    <x v="712"/>
    <n v="1219.04"/>
  </r>
  <r>
    <x v="6"/>
    <d v="2022-08-11T00:00:00"/>
    <m/>
    <x v="103"/>
    <s v="august 11, 2022 utilities bill"/>
    <m/>
    <m/>
    <s v="20000 · Accounts Payable"/>
    <x v="713"/>
    <n v="1408.2"/>
  </r>
  <r>
    <x v="7"/>
    <d v="2022-08-26T00:00:00"/>
    <m/>
    <x v="102"/>
    <m/>
    <m/>
    <m/>
    <s v="11800 · CIBC"/>
    <x v="712"/>
    <n v="1483.65"/>
  </r>
  <r>
    <x v="7"/>
    <d v="2022-08-26T00:00:00"/>
    <m/>
    <x v="103"/>
    <s v="0962907863"/>
    <m/>
    <m/>
    <s v="11800 · CIBC"/>
    <x v="713"/>
    <n v="1672.81"/>
  </r>
  <r>
    <x v="6"/>
    <d v="2022-09-13T00:00:00"/>
    <m/>
    <x v="103"/>
    <s v="September 2022 utilities bill"/>
    <m/>
    <m/>
    <s v="20000 · Accounts Payable"/>
    <x v="714"/>
    <n v="1855.4"/>
  </r>
  <r>
    <x v="6"/>
    <d v="2022-09-27T00:00:00"/>
    <m/>
    <x v="102"/>
    <m/>
    <m/>
    <m/>
    <s v="20000 · Accounts Payable"/>
    <x v="715"/>
    <n v="1930.31"/>
  </r>
  <r>
    <x v="7"/>
    <d v="2022-09-27T00:00:00"/>
    <m/>
    <x v="103"/>
    <s v="0962907863"/>
    <m/>
    <m/>
    <s v="11800 · CIBC"/>
    <x v="714"/>
    <n v="2112.9"/>
  </r>
  <r>
    <x v="6"/>
    <d v="2022-10-13T00:00:00"/>
    <m/>
    <x v="102"/>
    <m/>
    <m/>
    <m/>
    <s v="20000 · Accounts Payable"/>
    <x v="716"/>
    <n v="2195.4"/>
  </r>
  <r>
    <x v="6"/>
    <d v="2022-10-13T00:00:00"/>
    <m/>
    <x v="103"/>
    <m/>
    <m/>
    <m/>
    <s v="20000 · Accounts Payable"/>
    <x v="717"/>
    <n v="2338.4899999999998"/>
  </r>
  <r>
    <x v="6"/>
    <d v="2022-11-09T00:00:00"/>
    <m/>
    <x v="102"/>
    <m/>
    <m/>
    <m/>
    <s v="20000 · Accounts Payable"/>
    <x v="718"/>
    <n v="2510.37"/>
  </r>
  <r>
    <x v="6"/>
    <d v="2022-11-10T00:00:00"/>
    <m/>
    <x v="103"/>
    <m/>
    <m/>
    <m/>
    <s v="20000 · Accounts Payable"/>
    <x v="719"/>
    <n v="2650.57"/>
  </r>
  <r>
    <x v="7"/>
    <d v="2022-12-29T00:00:00"/>
    <m/>
    <x v="102"/>
    <m/>
    <m/>
    <m/>
    <s v="11800 · CIBC"/>
    <x v="720"/>
    <n v="3217.6"/>
  </r>
  <r>
    <x v="7"/>
    <d v="2022-12-29T00:00:00"/>
    <m/>
    <x v="103"/>
    <s v="0962907863"/>
    <m/>
    <m/>
    <s v="11800 · CIBC"/>
    <x v="721"/>
    <n v="3395.9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m/>
    <x v="0"/>
    <m/>
    <m/>
    <m/>
    <m/>
    <m/>
    <m/>
    <m/>
  </r>
  <r>
    <m/>
    <x v="0"/>
    <m/>
    <m/>
    <m/>
    <m/>
    <m/>
    <m/>
    <m/>
  </r>
  <r>
    <m/>
    <x v="0"/>
    <m/>
    <m/>
    <m/>
    <m/>
    <m/>
    <m/>
    <m/>
  </r>
  <r>
    <s v="Invoice"/>
    <x v="1"/>
    <s v="AC 80001-22"/>
    <s v="MY MARUTI CONSTRUCTION"/>
    <m/>
    <m/>
    <m/>
    <s v="11001 · Accounts Receivable"/>
    <n v="21750"/>
  </r>
  <r>
    <s v="Invoice"/>
    <x v="2"/>
    <s v="AC 80003-22"/>
    <s v="CREPE STAR"/>
    <m/>
    <m/>
    <m/>
    <s v="11001 · Accounts Receivable"/>
    <n v="2700"/>
  </r>
  <r>
    <s v="Invoice"/>
    <x v="2"/>
    <s v="AC 80004-22"/>
    <s v="MILLCREEK BATH AND KITCHEN"/>
    <m/>
    <m/>
    <m/>
    <s v="11001 · Accounts Receivable"/>
    <n v="1750"/>
  </r>
  <r>
    <s v="Invoice"/>
    <x v="3"/>
    <s v="AC0427-22"/>
    <s v="CANMAR"/>
    <m/>
    <m/>
    <m/>
    <s v="11001 · Accounts Receivable"/>
    <n v="17000"/>
  </r>
  <r>
    <s v="Invoice"/>
    <x v="3"/>
    <s v="AC0427-22"/>
    <s v="CANMAR"/>
    <m/>
    <m/>
    <m/>
    <s v="11001 · Accounts Receivable"/>
    <n v="4000"/>
  </r>
  <r>
    <s v="Invoice"/>
    <x v="4"/>
    <s v="AC 041922-3"/>
    <s v="syed shah"/>
    <s v="2580 shepard ave -9500 total job +hst"/>
    <m/>
    <m/>
    <s v="11001 · Accounts Receivable"/>
    <n v="9500"/>
  </r>
  <r>
    <s v="Invoice"/>
    <x v="4"/>
    <s v="AC 0429-22"/>
    <s v="HYUNDAI"/>
    <s v="-Installation of 7 RAB projectors.  -Pvc pipes, boxes wp(weather proof), T 90 wires, breakers.  ..."/>
    <m/>
    <m/>
    <s v="11001 · Accounts Receivable"/>
    <n v="7286.18"/>
  </r>
  <r>
    <s v="Invoice"/>
    <x v="4"/>
    <s v="AC 0429-22"/>
    <s v="HYUNDAI"/>
    <s v="-10% Discount"/>
    <m/>
    <m/>
    <s v="11001 · Accounts Receivable"/>
    <n v="-728.62"/>
  </r>
  <r>
    <s v="Invoice"/>
    <x v="5"/>
    <s v="AC0427-23"/>
    <s v="Nedco Energy Services"/>
    <s v="Removals"/>
    <m/>
    <m/>
    <s v="11001 · Accounts Receivable"/>
    <n v="975"/>
  </r>
  <r>
    <s v="Invoice"/>
    <x v="6"/>
    <s v="AC 0224"/>
    <s v="RETROFIT -GREENSAVER"/>
    <m/>
    <m/>
    <m/>
    <s v="11001 · Accounts Receivable"/>
    <n v="1495.7"/>
  </r>
  <r>
    <s v="Invoice"/>
    <x v="7"/>
    <s v="AC 062422"/>
    <s v="GREENSAVER"/>
    <m/>
    <m/>
    <m/>
    <s v="11001 · Accounts Receivable"/>
    <n v="636"/>
  </r>
  <r>
    <s v="Invoice"/>
    <x v="7"/>
    <s v="AC M-160"/>
    <s v="GREENSAVER"/>
    <m/>
    <m/>
    <m/>
    <s v="11001 · Accounts Receivable"/>
    <n v="632.54999999999995"/>
  </r>
  <r>
    <s v="Invoice"/>
    <x v="7"/>
    <s v="AC L-256"/>
    <s v="GREENSAVER"/>
    <m/>
    <m/>
    <m/>
    <s v="11001 · Accounts Receivable"/>
    <n v="619.6"/>
  </r>
  <r>
    <s v="Invoice"/>
    <x v="7"/>
    <s v="AC L-755"/>
    <s v="GREENSAVER"/>
    <m/>
    <m/>
    <m/>
    <s v="11001 · Accounts Receivable"/>
    <n v="732.23"/>
  </r>
  <r>
    <s v="Invoice"/>
    <x v="8"/>
    <s v="AC 0951"/>
    <s v="RETROFIT -GREENSAVER"/>
    <m/>
    <m/>
    <m/>
    <s v="11001 · Accounts Receivable"/>
    <n v="200"/>
  </r>
  <r>
    <s v="Invoice"/>
    <x v="8"/>
    <s v="AC 06-07-22"/>
    <s v="GREENSAVER"/>
    <m/>
    <m/>
    <m/>
    <s v="11001 · Accounts Receivable"/>
    <n v="390.96"/>
  </r>
  <r>
    <s v="Invoice"/>
    <x v="8"/>
    <s v="AC L-1004"/>
    <s v="GREENSAVER"/>
    <m/>
    <m/>
    <m/>
    <s v="11001 · Accounts Receivable"/>
    <n v="128.25"/>
  </r>
  <r>
    <s v="Invoice"/>
    <x v="8"/>
    <s v="0951"/>
    <s v="RETROFIT -GREENSAVER"/>
    <m/>
    <m/>
    <m/>
    <s v="11001 · Accounts Receivable"/>
    <n v="200"/>
  </r>
  <r>
    <s v="Invoice"/>
    <x v="9"/>
    <s v="07-01-30AC"/>
    <s v="GREENSAVER"/>
    <m/>
    <m/>
    <m/>
    <s v="11001 · Accounts Receivable"/>
    <n v="128.25"/>
  </r>
  <r>
    <s v="Invoice"/>
    <x v="10"/>
    <s v="AC 06-10-22"/>
    <s v="GREENSAVER"/>
    <m/>
    <m/>
    <m/>
    <s v="11001 · Accounts Receivable"/>
    <n v="897.75"/>
  </r>
  <r>
    <s v="Invoice"/>
    <x v="11"/>
    <s v="AC06-132209"/>
    <s v="City of Mississauga"/>
    <s v="Churchill Meadows CC Mississauga - Supply and install 2 x “SPEC / IDAS – A7810 data loggers comp..."/>
    <m/>
    <m/>
    <s v="11001 · Accounts Receivable"/>
    <n v="8200"/>
  </r>
  <r>
    <s v="Invoice"/>
    <x v="11"/>
    <s v="AC 06-13-22"/>
    <s v="GREENSAVER"/>
    <m/>
    <m/>
    <m/>
    <s v="11001 · Accounts Receivable"/>
    <n v="813.02"/>
  </r>
  <r>
    <s v="Invoice"/>
    <x v="11"/>
    <s v="0692"/>
    <s v="RETROFIT -GREENSAVER"/>
    <m/>
    <m/>
    <m/>
    <s v="11001 · Accounts Receivable"/>
    <n v="240"/>
  </r>
  <r>
    <s v="Invoice"/>
    <x v="12"/>
    <s v="AC 14-06-22"/>
    <s v="GREENSAVER"/>
    <m/>
    <m/>
    <m/>
    <s v="11001 · Accounts Receivable"/>
    <n v="395.41"/>
  </r>
  <r>
    <s v="Invoice"/>
    <x v="12"/>
    <s v="AC 14-06-23"/>
    <s v="GREENSAVER"/>
    <m/>
    <m/>
    <m/>
    <s v="11001 · Accounts Receivable"/>
    <n v="547.55999999999995"/>
  </r>
  <r>
    <s v="Invoice"/>
    <x v="13"/>
    <s v="AC 06-15-22"/>
    <s v="GREENSAVER"/>
    <m/>
    <m/>
    <m/>
    <s v="11001 · Accounts Receivable"/>
    <n v="576.84"/>
  </r>
  <r>
    <s v="Invoice"/>
    <x v="13"/>
    <s v="AC 06-06-22"/>
    <s v="GREENSAVER"/>
    <m/>
    <m/>
    <m/>
    <s v="11001 · Accounts Receivable"/>
    <n v="979.75"/>
  </r>
  <r>
    <s v="Invoice"/>
    <x v="13"/>
    <s v="AC 22-15-06"/>
    <s v="GREENSAVER"/>
    <m/>
    <m/>
    <m/>
    <s v="11001 · Accounts Receivable"/>
    <n v="844.12"/>
  </r>
  <r>
    <s v="Invoice"/>
    <x v="14"/>
    <s v="AC 06-16-22"/>
    <s v="GREENSAVER"/>
    <m/>
    <m/>
    <m/>
    <s v="11001 · Accounts Receivable"/>
    <n v="743.52"/>
  </r>
  <r>
    <s v="Invoice"/>
    <x v="14"/>
    <s v="ACL-249"/>
    <s v="GREENSAVER"/>
    <m/>
    <m/>
    <m/>
    <s v="11001 · Accounts Receivable"/>
    <n v="352.75"/>
  </r>
  <r>
    <s v="Invoice"/>
    <x v="15"/>
    <s v="AC 22-06-20"/>
    <s v="GREENSAVER"/>
    <m/>
    <m/>
    <m/>
    <s v="11001 · Accounts Receivable"/>
    <n v="645.54"/>
  </r>
  <r>
    <s v="Invoice"/>
    <x v="16"/>
    <s v="AC 0952"/>
    <s v="RETROFIT -GREENSAVER"/>
    <m/>
    <m/>
    <m/>
    <s v="11001 · Accounts Receivable"/>
    <n v="250"/>
  </r>
  <r>
    <s v="Invoice"/>
    <x v="16"/>
    <s v="AC 0953"/>
    <s v="RETROFIT -GREENSAVER"/>
    <m/>
    <m/>
    <m/>
    <s v="11001 · Accounts Receivable"/>
    <n v="250"/>
  </r>
  <r>
    <s v="Invoice"/>
    <x v="16"/>
    <s v="AC 06-21-22"/>
    <s v="GREENSAVER"/>
    <m/>
    <m/>
    <m/>
    <s v="11001 · Accounts Receivable"/>
    <n v="526.66"/>
  </r>
  <r>
    <s v="Invoice"/>
    <x v="16"/>
    <s v="0952"/>
    <s v="RETROFIT -GREENSAVER"/>
    <m/>
    <m/>
    <m/>
    <s v="11001 · Accounts Receivable"/>
    <n v="250"/>
  </r>
  <r>
    <s v="Invoice"/>
    <x v="16"/>
    <s v="0953"/>
    <s v="RETROFIT -GREENSAVER"/>
    <m/>
    <m/>
    <m/>
    <s v="11001 · Accounts Receivable"/>
    <n v="250"/>
  </r>
  <r>
    <s v="Invoice"/>
    <x v="17"/>
    <s v="AC 0903"/>
    <s v="RETROFIT -GREENSAVER"/>
    <m/>
    <m/>
    <m/>
    <s v="11001 · Accounts Receivable"/>
    <n v="140"/>
  </r>
  <r>
    <s v="Invoice"/>
    <x v="17"/>
    <s v="AC 0904"/>
    <s v="RETROFIT -GREENSAVER"/>
    <m/>
    <m/>
    <m/>
    <s v="11001 · Accounts Receivable"/>
    <n v="1839.95"/>
  </r>
  <r>
    <s v="Invoice"/>
    <x v="17"/>
    <s v="07-01-27AC"/>
    <s v="GREENSAVER"/>
    <m/>
    <m/>
    <m/>
    <s v="11001 · Accounts Receivable"/>
    <n v="765.56"/>
  </r>
  <r>
    <s v="Invoice"/>
    <x v="17"/>
    <s v="07-01-31AC"/>
    <s v="GREENSAVER"/>
    <m/>
    <m/>
    <m/>
    <s v="11001 · Accounts Receivable"/>
    <n v="632.54999999999995"/>
  </r>
  <r>
    <s v="Invoice"/>
    <x v="17"/>
    <s v="0903"/>
    <s v="RETROFIT -GREENSAVER"/>
    <m/>
    <m/>
    <m/>
    <s v="11001 · Accounts Receivable"/>
    <n v="140"/>
  </r>
  <r>
    <s v="Invoice"/>
    <x v="17"/>
    <s v="0904"/>
    <s v="RETROFIT -GREENSAVER"/>
    <m/>
    <m/>
    <m/>
    <s v="11001 · Accounts Receivable"/>
    <n v="1839.95"/>
  </r>
  <r>
    <s v="Invoice"/>
    <x v="18"/>
    <s v="AC 0694"/>
    <s v="RETROFIT -GREENSAVER"/>
    <m/>
    <m/>
    <m/>
    <s v="11001 · Accounts Receivable"/>
    <n v="889.84"/>
  </r>
  <r>
    <s v="Invoice"/>
    <x v="18"/>
    <s v="0694"/>
    <s v="RETROFIT -GREENSAVER"/>
    <m/>
    <m/>
    <m/>
    <s v="11001 · Accounts Receivable"/>
    <n v="889.84"/>
  </r>
  <r>
    <s v="Invoice"/>
    <x v="19"/>
    <s v="AC 0954"/>
    <s v="RETROFIT -GREENSAVER"/>
    <m/>
    <m/>
    <m/>
    <s v="11001 · Accounts Receivable"/>
    <n v="1300"/>
  </r>
  <r>
    <s v="Invoice"/>
    <x v="19"/>
    <s v="0954"/>
    <s v="RETROFIT -GREENSAVER"/>
    <m/>
    <m/>
    <m/>
    <s v="11001 · Accounts Receivable"/>
    <n v="1300"/>
  </r>
  <r>
    <s v="Invoice"/>
    <x v="20"/>
    <s v="07-01-22AC"/>
    <s v="HALIBUT FISH AND CHIPS"/>
    <s v="AUTOMATION SYSTEM FOR EXHAUST FAN, MAKE UP AIR UNIT"/>
    <m/>
    <m/>
    <s v="11001 · Accounts Receivable"/>
    <n v="2500"/>
  </r>
  <r>
    <s v="Invoice"/>
    <x v="20"/>
    <s v="07-01-22AC"/>
    <s v="HALIBUT FISH AND CHIPS"/>
    <s v="COMPUTER CABLE  AND ACCESSORIES"/>
    <m/>
    <m/>
    <s v="11001 · Accounts Receivable"/>
    <n v="58"/>
  </r>
  <r>
    <s v="Invoice"/>
    <x v="20"/>
    <s v="07-01-23AC"/>
    <s v="TOTAL EXHAUST FAN"/>
    <s v="AUTOMATION SYSTEM INSTALL"/>
    <m/>
    <m/>
    <s v="11001 · Accounts Receivable"/>
    <n v="0"/>
  </r>
  <r>
    <s v="Invoice"/>
    <x v="20"/>
    <s v="07-01-23AC"/>
    <s v="TOTAL EXHAUST FAN"/>
    <s v="RECONNECTING EMT"/>
    <m/>
    <m/>
    <s v="11001 · Accounts Receivable"/>
    <n v="0"/>
  </r>
  <r>
    <s v="Invoice"/>
    <x v="20"/>
    <s v="07-01-23AC"/>
    <s v="TOTAL EXHAUST FAN"/>
    <m/>
    <m/>
    <m/>
    <s v="11001 · Accounts Receivable"/>
    <n v="2000"/>
  </r>
  <r>
    <s v="Invoice"/>
    <x v="20"/>
    <s v="0957"/>
    <s v="GREENSAVER"/>
    <m/>
    <m/>
    <m/>
    <s v="11001 · Accounts Receivable"/>
    <n v="562.54999999999995"/>
  </r>
  <r>
    <s v="Invoice"/>
    <x v="20"/>
    <s v="0959"/>
    <s v="GREENSAVER"/>
    <m/>
    <m/>
    <m/>
    <s v="11001 · Accounts Receivable"/>
    <n v="1044.08"/>
  </r>
  <r>
    <s v="Invoice"/>
    <x v="20"/>
    <s v="0962"/>
    <s v="GREENSAVER"/>
    <m/>
    <m/>
    <m/>
    <s v="11001 · Accounts Receivable"/>
    <n v="854.78"/>
  </r>
  <r>
    <s v="Invoice"/>
    <x v="20"/>
    <s v="0966"/>
    <s v="GREENSAVER"/>
    <m/>
    <m/>
    <m/>
    <s v="11001 · Accounts Receivable"/>
    <n v="732.14"/>
  </r>
  <r>
    <s v="Invoice"/>
    <x v="20"/>
    <s v="0967"/>
    <s v="GREENSAVER"/>
    <m/>
    <m/>
    <m/>
    <s v="11001 · Accounts Receivable"/>
    <n v="666.41"/>
  </r>
  <r>
    <s v="Invoice"/>
    <x v="20"/>
    <s v="0968"/>
    <s v="GREENSAVER"/>
    <m/>
    <m/>
    <m/>
    <s v="11001 · Accounts Receivable"/>
    <n v="423.12"/>
  </r>
  <r>
    <s v="Invoice"/>
    <x v="20"/>
    <s v="0970"/>
    <s v="GREENSAVER"/>
    <m/>
    <m/>
    <m/>
    <s v="11001 · Accounts Receivable"/>
    <n v="616.29999999999995"/>
  </r>
  <r>
    <s v="Invoice"/>
    <x v="20"/>
    <s v="0971"/>
    <s v="GREENSAVER"/>
    <m/>
    <m/>
    <m/>
    <s v="11001 · Accounts Receivable"/>
    <n v="443.8"/>
  </r>
  <r>
    <s v="Invoice"/>
    <x v="20"/>
    <s v="0973"/>
    <s v="GREENSAVER"/>
    <m/>
    <m/>
    <m/>
    <s v="11001 · Accounts Receivable"/>
    <n v="123.92"/>
  </r>
  <r>
    <s v="Invoice"/>
    <x v="20"/>
    <s v="0974"/>
    <s v="GREENSAVER"/>
    <m/>
    <m/>
    <m/>
    <s v="11001 · Accounts Receivable"/>
    <n v="546.26"/>
  </r>
  <r>
    <s v="Invoice"/>
    <x v="20"/>
    <s v="0975"/>
    <s v="GREENSAVER"/>
    <m/>
    <m/>
    <m/>
    <s v="11001 · Accounts Receivable"/>
    <n v="652.04999999999995"/>
  </r>
  <r>
    <s v="Invoice"/>
    <x v="20"/>
    <s v="0977"/>
    <s v="GREENSAVER"/>
    <m/>
    <m/>
    <m/>
    <s v="11001 · Accounts Receivable"/>
    <n v="802.14"/>
  </r>
  <r>
    <s v="Invoice"/>
    <x v="20"/>
    <s v="0978"/>
    <s v="GREENSAVER"/>
    <m/>
    <m/>
    <m/>
    <s v="11001 · Accounts Receivable"/>
    <n v="546.29999999999995"/>
  </r>
  <r>
    <s v="Invoice"/>
    <x v="20"/>
    <s v="0979"/>
    <s v="GREENSAVER"/>
    <m/>
    <m/>
    <m/>
    <s v="11001 · Accounts Receivable"/>
    <n v="546.29999999999995"/>
  </r>
  <r>
    <s v="Invoice"/>
    <x v="20"/>
    <s v="0980"/>
    <s v="RETROFIT -GREENSAVER"/>
    <m/>
    <m/>
    <m/>
    <s v="11001 · Accounts Receivable"/>
    <n v="3009.5"/>
  </r>
  <r>
    <s v="Invoice"/>
    <x v="20"/>
    <s v="0981"/>
    <s v="RETROFIT -GREENSAVER"/>
    <m/>
    <m/>
    <m/>
    <s v="11001 · Accounts Receivable"/>
    <n v="429.94"/>
  </r>
  <r>
    <s v="Invoice"/>
    <x v="20"/>
    <s v="0982"/>
    <s v="RETROFIT -GREENSAVER"/>
    <m/>
    <m/>
    <m/>
    <s v="11001 · Accounts Receivable"/>
    <n v="552.61"/>
  </r>
  <r>
    <s v="Invoice"/>
    <x v="20"/>
    <s v="0983"/>
    <s v="RETROFIT -GREENSAVER"/>
    <m/>
    <m/>
    <m/>
    <s v="11001 · Accounts Receivable"/>
    <n v="1207.6400000000001"/>
  </r>
  <r>
    <s v="Invoice"/>
    <x v="20"/>
    <s v="0984"/>
    <s v="RETROFIT -GREENSAVER"/>
    <m/>
    <m/>
    <m/>
    <s v="11001 · Accounts Receivable"/>
    <n v="508.48"/>
  </r>
  <r>
    <s v="Invoice"/>
    <x v="20"/>
    <s v="0985"/>
    <s v="RETROFIT -GREENSAVER"/>
    <m/>
    <m/>
    <m/>
    <s v="11001 · Accounts Receivable"/>
    <n v="2146.96"/>
  </r>
  <r>
    <s v="Invoice"/>
    <x v="20"/>
    <s v="0986"/>
    <s v="RETROFIT -GREENSAVER"/>
    <m/>
    <m/>
    <m/>
    <s v="11001 · Accounts Receivable"/>
    <n v="1295.7"/>
  </r>
  <r>
    <s v="Invoice"/>
    <x v="20"/>
    <s v="0987"/>
    <s v="RETROFIT -GREENSAVER"/>
    <m/>
    <m/>
    <m/>
    <s v="11001 · Accounts Receivable"/>
    <n v="1723.05"/>
  </r>
  <r>
    <s v="Invoice"/>
    <x v="20"/>
    <s v="1003"/>
    <s v="RETROFIT -GREENSAVER"/>
    <s v="5-212 pellatt ave"/>
    <m/>
    <m/>
    <s v="11001 · Accounts Receivable"/>
    <n v="1500"/>
  </r>
  <r>
    <s v="Invoice"/>
    <x v="20"/>
    <s v="1003"/>
    <s v="RETROFIT -GREENSAVER"/>
    <s v="1 wexford"/>
    <m/>
    <m/>
    <s v="11001 · Accounts Receivable"/>
    <n v="805.6"/>
  </r>
  <r>
    <s v="Invoice"/>
    <x v="20"/>
    <s v="ac22-07-18"/>
    <s v="GREENSAVER"/>
    <m/>
    <m/>
    <m/>
    <s v="11001 · Accounts Receivable"/>
    <n v="930.58"/>
  </r>
  <r>
    <s v="Invoice"/>
    <x v="20"/>
    <s v="ac22-07-19"/>
    <s v="GREENSAVER"/>
    <m/>
    <m/>
    <m/>
    <s v="11001 · Accounts Receivable"/>
    <n v="565.5"/>
  </r>
  <r>
    <s v="Invoice"/>
    <x v="20"/>
    <s v="ac22-07-20"/>
    <s v="GREENSAVER"/>
    <m/>
    <m/>
    <m/>
    <s v="11001 · Accounts Receivable"/>
    <n v="236.46"/>
  </r>
  <r>
    <s v="Invoice"/>
    <x v="20"/>
    <s v="AC L-1006"/>
    <s v="GREENSAVER"/>
    <m/>
    <m/>
    <m/>
    <s v="11001 · Accounts Receivable"/>
    <n v="546.29999999999995"/>
  </r>
  <r>
    <s v="Invoice"/>
    <x v="20"/>
    <s v="328 N RIVER"/>
    <s v="GREENSAVER"/>
    <m/>
    <m/>
    <m/>
    <s v="11001 · Accounts Receivable"/>
    <n v="500.58"/>
  </r>
  <r>
    <s v="Invoice"/>
    <x v="20"/>
    <s v="34B MCIN"/>
    <s v="GREENSAVER"/>
    <m/>
    <m/>
    <m/>
    <s v="11001 · Accounts Receivable"/>
    <n v="813.02"/>
  </r>
  <r>
    <s v="Invoice"/>
    <x v="20"/>
    <s v="2458 KINGST"/>
    <s v="GREENSAVER"/>
    <m/>
    <m/>
    <m/>
    <s v="11001 · Accounts Receivable"/>
    <n v="226.52"/>
  </r>
  <r>
    <s v="Invoice"/>
    <x v="20"/>
    <s v="21 ESSA"/>
    <s v="GREENSAVER"/>
    <m/>
    <m/>
    <m/>
    <s v="11001 · Accounts Receivable"/>
    <n v="867.44"/>
  </r>
  <r>
    <s v="Invoice"/>
    <x v="21"/>
    <s v="0988"/>
    <s v="GREENSAVER"/>
    <m/>
    <m/>
    <m/>
    <s v="11001 · Accounts Receivable"/>
    <n v="517.54999999999995"/>
  </r>
  <r>
    <s v="Invoice"/>
    <x v="21"/>
    <s v="0991"/>
    <s v="GREENSAVER"/>
    <m/>
    <m/>
    <m/>
    <s v="11001 · Accounts Receivable"/>
    <n v="863.29"/>
  </r>
  <r>
    <s v="Invoice"/>
    <x v="21"/>
    <s v="0992"/>
    <s v="GREENSAVER"/>
    <m/>
    <m/>
    <m/>
    <s v="11001 · Accounts Receivable"/>
    <n v="800.53"/>
  </r>
  <r>
    <s v="Invoice"/>
    <x v="21"/>
    <s v="0993"/>
    <s v="GREENSAVER"/>
    <m/>
    <m/>
    <m/>
    <s v="11001 · Accounts Receivable"/>
    <n v="546.29999999999995"/>
  </r>
  <r>
    <s v="Invoice"/>
    <x v="21"/>
    <s v="0994"/>
    <s v="GREENSAVER"/>
    <m/>
    <m/>
    <m/>
    <s v="11001 · Accounts Receivable"/>
    <n v="869.29"/>
  </r>
  <r>
    <s v="Invoice"/>
    <x v="21"/>
    <s v="0995"/>
    <s v="GREENSAVER"/>
    <m/>
    <m/>
    <m/>
    <s v="11001 · Accounts Receivable"/>
    <n v="1366.16"/>
  </r>
  <r>
    <s v="Invoice"/>
    <x v="21"/>
    <s v="0996"/>
    <s v="GREENSAVER"/>
    <m/>
    <m/>
    <m/>
    <s v="11001 · Accounts Receivable"/>
    <n v="1069.73"/>
  </r>
  <r>
    <s v="Invoice"/>
    <x v="21"/>
    <s v="0998"/>
    <s v="GREENSAVER"/>
    <m/>
    <m/>
    <m/>
    <s v="11001 · Accounts Receivable"/>
    <n v="92.94"/>
  </r>
  <r>
    <s v="Invoice"/>
    <x v="21"/>
    <s v="0999"/>
    <s v="GREENSAVER"/>
    <m/>
    <m/>
    <m/>
    <s v="11001 · Accounts Receivable"/>
    <n v="558.9"/>
  </r>
  <r>
    <s v="Invoice"/>
    <x v="21"/>
    <s v="1000"/>
    <s v="GREENSAVER"/>
    <m/>
    <m/>
    <m/>
    <s v="11001 · Accounts Receivable"/>
    <n v="873.45"/>
  </r>
  <r>
    <s v="Invoice"/>
    <x v="21"/>
    <s v="1001"/>
    <s v="GREENSAVER"/>
    <m/>
    <m/>
    <m/>
    <s v="11001 · Accounts Receivable"/>
    <n v="153.9"/>
  </r>
  <r>
    <s v="Invoice"/>
    <x v="21"/>
    <s v="AC L-1007"/>
    <s v="GREENSAVER"/>
    <m/>
    <m/>
    <m/>
    <s v="11001 · Accounts Receivable"/>
    <n v="476.2"/>
  </r>
  <r>
    <s v="Invoice"/>
    <x v="21"/>
    <s v="AC L-1008"/>
    <s v="GREENSAVER"/>
    <m/>
    <m/>
    <m/>
    <s v="11001 · Accounts Receivable"/>
    <n v="743.52"/>
  </r>
  <r>
    <s v="Invoice"/>
    <x v="22"/>
    <s v="0224"/>
    <s v="RETROFIT -GREENSAVER"/>
    <m/>
    <m/>
    <m/>
    <s v="11001 · Accounts Receivable"/>
    <n v="1495.7"/>
  </r>
  <r>
    <s v="Invoice"/>
    <x v="23"/>
    <s v="0955"/>
    <s v="RETROFIT -GREENSAVER"/>
    <m/>
    <m/>
    <m/>
    <s v="11001 · Accounts Receivable"/>
    <n v="4830.1400000000003"/>
  </r>
  <r>
    <s v="Invoice"/>
    <x v="23"/>
    <s v="ac22-07-14"/>
    <s v="GREENSAVER"/>
    <m/>
    <m/>
    <m/>
    <s v="11001 · Accounts Receivable"/>
    <n v="838.35"/>
  </r>
  <r>
    <s v="Invoice"/>
    <x v="23"/>
    <s v="ac22-07-15"/>
    <s v="GREENSAVER"/>
    <m/>
    <m/>
    <m/>
    <s v="11001 · Accounts Receivable"/>
    <n v="467.44"/>
  </r>
  <r>
    <s v="Invoice"/>
    <x v="23"/>
    <s v="ac22-07-16"/>
    <s v="GREENSAVER"/>
    <m/>
    <m/>
    <m/>
    <s v="11001 · Accounts Receivable"/>
    <n v="0"/>
  </r>
  <r>
    <s v="Invoice"/>
    <x v="23"/>
    <s v="ac22-07-17"/>
    <s v="GREENSAVER"/>
    <m/>
    <m/>
    <m/>
    <s v="11001 · Accounts Receivable"/>
    <n v="284.7"/>
  </r>
  <r>
    <s v="Invoice"/>
    <x v="23"/>
    <s v="2860 DENISO"/>
    <s v="GREENSAVER"/>
    <m/>
    <m/>
    <m/>
    <s v="11001 · Accounts Receivable"/>
    <n v="838.35"/>
  </r>
  <r>
    <s v="Invoice"/>
    <x v="23"/>
    <s v="2351 FINCH"/>
    <s v="GREENSAVER"/>
    <m/>
    <m/>
    <m/>
    <s v="11001 · Accounts Receivable"/>
    <n v="586.29999999999995"/>
  </r>
  <r>
    <s v="Invoice"/>
    <x v="24"/>
    <s v="AC L-1010"/>
    <s v="GREENSAVER"/>
    <m/>
    <m/>
    <m/>
    <s v="11001 · Accounts Receivable"/>
    <n v="92.94"/>
  </r>
  <r>
    <s v="Invoice"/>
    <x v="24"/>
    <s v="AC L-1011"/>
    <s v="GREENSAVER"/>
    <m/>
    <m/>
    <m/>
    <s v="11001 · Accounts Receivable"/>
    <n v="476.2"/>
  </r>
  <r>
    <s v="Invoice"/>
    <x v="24"/>
    <s v="AC L-1012"/>
    <s v="GREENSAVER"/>
    <m/>
    <m/>
    <m/>
    <s v="11001 · Accounts Receivable"/>
    <n v="230.85"/>
  </r>
  <r>
    <s v="Invoice"/>
    <x v="25"/>
    <s v="460 GARYRAY"/>
    <s v="GREENSAVER"/>
    <m/>
    <m/>
    <m/>
    <s v="11001 · Accounts Receivable"/>
    <n v="901.52"/>
  </r>
  <r>
    <s v="Invoice"/>
    <x v="26"/>
    <s v="2760 DERRY"/>
    <s v="GREENSAVER"/>
    <m/>
    <m/>
    <m/>
    <s v="11001 · Accounts Receivable"/>
    <n v="123.92"/>
  </r>
  <r>
    <s v="Invoice"/>
    <x v="26"/>
    <s v="0905"/>
    <s v="RETROFIT -GREENSAVER"/>
    <m/>
    <m/>
    <m/>
    <s v="11001 · Accounts Receivable"/>
    <n v="1295.7"/>
  </r>
  <r>
    <s v="Invoice"/>
    <x v="27"/>
    <s v="0989"/>
    <s v="GREENSAVER"/>
    <m/>
    <m/>
    <m/>
    <s v="11001 · Accounts Receivable"/>
    <n v="1102"/>
  </r>
  <r>
    <s v="Invoice"/>
    <x v="27"/>
    <s v="AC L-1009"/>
    <s v="GREENSAVER"/>
    <m/>
    <m/>
    <m/>
    <s v="11001 · Accounts Receivable"/>
    <n v="743.52"/>
  </r>
  <r>
    <s v="Invoice"/>
    <x v="27"/>
    <s v="AC L-1013"/>
    <s v="GREENSAVER"/>
    <m/>
    <m/>
    <m/>
    <s v="11001 · Accounts Receivable"/>
    <n v="364.2"/>
  </r>
  <r>
    <s v="Invoice"/>
    <x v="27"/>
    <s v="AC L-1014"/>
    <s v="GREENSAVER"/>
    <m/>
    <m/>
    <m/>
    <s v="11001 · Accounts Receivable"/>
    <n v="608.22"/>
  </r>
  <r>
    <s v="Invoice"/>
    <x v="27"/>
    <s v="17 TANNERY"/>
    <s v="GREENSAVER"/>
    <m/>
    <m/>
    <m/>
    <s v="11001 · Accounts Receivable"/>
    <n v="226.66"/>
  </r>
  <r>
    <s v="Invoice"/>
    <x v="27"/>
    <s v="1634 EGLINT"/>
    <s v="GREENSAVER"/>
    <m/>
    <m/>
    <m/>
    <s v="11001 · Accounts Receivable"/>
    <n v="364.2"/>
  </r>
  <r>
    <s v="Invoice"/>
    <x v="27"/>
    <s v="1253 KENNED"/>
    <s v="GREENSAVER"/>
    <m/>
    <m/>
    <m/>
    <s v="11001 · Accounts Receivable"/>
    <n v="476.2"/>
  </r>
  <r>
    <s v="Invoice"/>
    <x v="28"/>
    <s v="ac22-07-14"/>
    <s v="GREENSAVER"/>
    <m/>
    <m/>
    <m/>
    <s v="11001 · Accounts Receivable"/>
    <n v="443.38"/>
  </r>
  <r>
    <s v="Invoice"/>
    <x v="28"/>
    <s v="0967"/>
    <s v="wael"/>
    <s v="-ARRANGING ALL CABLES AND PANELS  -REMOVING AND RECYCLING ALL UNWANTED WIRES AND RECEPTACLES.  -..."/>
    <m/>
    <m/>
    <s v="11001 · Accounts Receivable"/>
    <n v="0"/>
  </r>
  <r>
    <s v="Invoice"/>
    <x v="28"/>
    <s v="0967"/>
    <s v="wael"/>
    <s v="-2 DAYS WORKING LABOUR AND MATERIAL   -OPTIONS ( NOT INCLUDED IN THE ORIGINAL OFFER ).  -REMOVE ..."/>
    <m/>
    <m/>
    <s v="11001 · Accounts Receivable"/>
    <n v="1600"/>
  </r>
  <r>
    <s v="Invoice"/>
    <x v="28"/>
    <s v="0967"/>
    <s v="wael"/>
    <s v="-REMOVING FLUORESCENT 8' FIXTURES IN THE BACK AREA ( NO JUNK ). LABOUR AND MATERIAL ."/>
    <m/>
    <m/>
    <s v="11001 · Accounts Receivable"/>
    <n v="400"/>
  </r>
  <r>
    <s v="Invoice"/>
    <x v="28"/>
    <s v="0967"/>
    <s v="wael"/>
    <s v="-REPLACING ALL SWITCHES AND RECEPTACLES IN THE OFFICES AREA. LABOUR AND MATERIAL."/>
    <m/>
    <m/>
    <s v="11001 · Accounts Receivable"/>
    <n v="600"/>
  </r>
  <r>
    <s v="Invoice"/>
    <x v="28"/>
    <s v="0967"/>
    <s v="wael"/>
    <s v="-EXIT SIGNS AND EMERGENCY LIGHTS IN THE WHOLE AREA ACCORDING TO THE ELECTRICAL BUILDING CODE IN ..."/>
    <m/>
    <m/>
    <s v="11001 · Accounts Receivable"/>
    <n v="2500"/>
  </r>
  <r>
    <s v="Invoice"/>
    <x v="28"/>
    <s v="0968"/>
    <s v="JAI BAJVANI"/>
    <s v="SCOPE OF WORK:   ELECTRICAL INSTALLATION AS PER THE DRAWINGS   THE OFFER EXCLUDES:   "/>
    <m/>
    <m/>
    <s v="11001 · Accounts Receivable"/>
    <n v="0"/>
  </r>
  <r>
    <s v="Invoice"/>
    <x v="28"/>
    <s v="0968"/>
    <s v="JAI BAJVANI"/>
    <s v="1- AUTOMATIC DOORS INSTALLATION   2- COMPUTER CABLES INSTALLATION  3- MAIN TRANSFORMER"/>
    <m/>
    <m/>
    <s v="11001 · Accounts Receivable"/>
    <n v="0"/>
  </r>
  <r>
    <s v="Invoice"/>
    <x v="28"/>
    <s v="0968"/>
    <s v="JAI BAJVANI"/>
    <m/>
    <m/>
    <m/>
    <s v="11001 · Accounts Receivable"/>
    <n v="20000"/>
  </r>
  <r>
    <s v="Invoice"/>
    <x v="28"/>
    <s v="0971"/>
    <s v="CANMAR"/>
    <m/>
    <m/>
    <m/>
    <s v="11001 · Accounts Receivable"/>
    <n v="8150.44"/>
  </r>
  <r>
    <s v="Invoice"/>
    <x v="29"/>
    <s v="1060"/>
    <s v="RETROFIT -GREENSAVER"/>
    <m/>
    <m/>
    <m/>
    <s v="11001 · Accounts Receivable"/>
    <n v="805.6"/>
  </r>
  <r>
    <s v="Invoice"/>
    <x v="30"/>
    <s v="1054"/>
    <s v="RETROFIT -GREENSAVER"/>
    <m/>
    <m/>
    <m/>
    <s v="11001 · Accounts Receivable"/>
    <n v="88.26"/>
  </r>
  <r>
    <s v="Invoice"/>
    <x v="31"/>
    <s v="0956"/>
    <s v="RETROFIT -GREENSAVER"/>
    <m/>
    <m/>
    <m/>
    <s v="11001 · Accounts Receivable"/>
    <n v="250"/>
  </r>
  <r>
    <s v="Invoice"/>
    <x v="32"/>
    <s v="0010/0009"/>
    <s v="RETROFIT -GREENSAVER"/>
    <m/>
    <m/>
    <m/>
    <s v="11001 · Accounts Receivable"/>
    <n v="2146.96"/>
  </r>
  <r>
    <s v="Invoice"/>
    <x v="33"/>
    <s v="1 WEXFORD"/>
    <s v="GREENSAVER"/>
    <m/>
    <m/>
    <m/>
    <s v="11001 · Accounts Receivable"/>
    <n v="901.52"/>
  </r>
  <r>
    <s v="Invoice"/>
    <x v="33"/>
    <s v="1355 ARTISA"/>
    <s v="GREENSAVER"/>
    <m/>
    <m/>
    <m/>
    <s v="11001 · Accounts Receivable"/>
    <n v="535"/>
  </r>
  <r>
    <s v="Invoice"/>
    <x v="33"/>
    <s v="0957"/>
    <s v="RETROFIT -GREENSAVER"/>
    <m/>
    <m/>
    <m/>
    <s v="11001 · Accounts Receivable"/>
    <n v="1723.45"/>
  </r>
  <r>
    <s v="Invoice"/>
    <x v="33"/>
    <s v="0907"/>
    <s v="RETROFIT -GREENSAVER"/>
    <m/>
    <m/>
    <m/>
    <s v="11001 · Accounts Receivable"/>
    <n v="508.48"/>
  </r>
  <r>
    <s v="Invoice"/>
    <x v="34"/>
    <s v="0901/0902"/>
    <s v="RETROFIT -GREENSAVER"/>
    <m/>
    <m/>
    <m/>
    <s v="11001 · Accounts Receivable"/>
    <n v="429.94"/>
  </r>
  <r>
    <s v="Invoice"/>
    <x v="35"/>
    <s v="0909"/>
    <s v="RETROFIT -GREENSAVER"/>
    <m/>
    <m/>
    <m/>
    <s v="11001 · Accounts Receivable"/>
    <n v="572.04"/>
  </r>
  <r>
    <s v="Invoice"/>
    <x v="35"/>
    <s v="0011"/>
    <s v="RETROFIT -GREENSAVER"/>
    <m/>
    <m/>
    <m/>
    <s v="11001 · Accounts Receivable"/>
    <n v="3009.5"/>
  </r>
  <r>
    <s v="Invoice"/>
    <x v="36"/>
    <s v="7025 MARKHA"/>
    <s v="GREENSAVER"/>
    <m/>
    <m/>
    <m/>
    <s v="11001 · Accounts Receivable"/>
    <n v="467.44"/>
  </r>
  <r>
    <s v="Invoice"/>
    <x v="37"/>
    <s v="07-01-25AC"/>
    <s v="Nedco Energy Services"/>
    <m/>
    <m/>
    <m/>
    <s v="11001 · Accounts Receivable"/>
    <n v="2250"/>
  </r>
  <r>
    <s v="Invoice"/>
    <x v="37"/>
    <s v="2979 BLOOR"/>
    <s v="GREENSAVER"/>
    <m/>
    <m/>
    <m/>
    <s v="11001 · Accounts Receivable"/>
    <n v="60"/>
  </r>
  <r>
    <s v="Invoice"/>
    <x v="38"/>
    <s v="AC N-2020"/>
    <s v="GREENSAVER"/>
    <m/>
    <m/>
    <m/>
    <s v="11001 · Accounts Receivable"/>
    <n v="343.15"/>
  </r>
  <r>
    <s v="Invoice"/>
    <x v="38"/>
    <s v="AC N-2019"/>
    <s v="GREENSAVER"/>
    <m/>
    <m/>
    <m/>
    <s v="11001 · Accounts Receivable"/>
    <n v="772.54"/>
  </r>
  <r>
    <s v="Invoice"/>
    <x v="38"/>
    <s v="AC N-1995"/>
    <s v="GREENSAVER"/>
    <m/>
    <m/>
    <m/>
    <s v="11001 · Accounts Receivable"/>
    <n v="761.88"/>
  </r>
  <r>
    <s v="Invoice"/>
    <x v="38"/>
    <s v="AC N--891"/>
    <s v="GREENSAVER"/>
    <m/>
    <m/>
    <m/>
    <s v="11001 · Accounts Receivable"/>
    <n v="932.1"/>
  </r>
  <r>
    <s v="Invoice"/>
    <x v="38"/>
    <s v="0908"/>
    <s v="RETROFIT -GREENSAVER"/>
    <m/>
    <m/>
    <m/>
    <s v="11001 · Accounts Receivable"/>
    <n v="1207.6400000000001"/>
  </r>
  <r>
    <s v="Invoice"/>
    <x v="38"/>
    <s v="0650"/>
    <s v="RETROFIT -GREENSAVER"/>
    <m/>
    <m/>
    <m/>
    <s v="11001 · Accounts Receivable"/>
    <n v="552.61"/>
  </r>
  <r>
    <s v="Invoice"/>
    <x v="39"/>
    <s v="AC L-1005"/>
    <s v="KRISKA"/>
    <s v="REPLACE 6 LIGHT SWITCHES WITH COVERS ON WASHROOMS IN THE DRIVER BUILDING"/>
    <m/>
    <m/>
    <s v="11001 · Accounts Receivable"/>
    <n v="0"/>
  </r>
  <r>
    <s v="Invoice"/>
    <x v="39"/>
    <s v="AC L-1005"/>
    <s v="KRISKA"/>
    <s v="THE COMPANY OUTSIDE SIGN"/>
    <m/>
    <m/>
    <s v="11001 · Accounts Receivable"/>
    <n v="0"/>
  </r>
  <r>
    <s v="Invoice"/>
    <x v="39"/>
    <s v="AC L-1005"/>
    <s v="KRISKA"/>
    <s v="- REPLACE 8 LAMPS (F96 T8 841/SPX41)"/>
    <m/>
    <m/>
    <s v="11001 · Accounts Receivable"/>
    <n v="0"/>
  </r>
  <r>
    <s v="Invoice"/>
    <x v="39"/>
    <s v="AC L-1005"/>
    <s v="KRISKA"/>
    <s v="-REPLACE BALAST (T8 347 FLOUR ELE BALLAST)"/>
    <m/>
    <m/>
    <s v="11001 · Accounts Receivable"/>
    <n v="0"/>
  </r>
  <r>
    <s v="Invoice"/>
    <x v="39"/>
    <s v="AC L-1005"/>
    <s v="KRISKA"/>
    <s v="- SUPPLY AND INSTALL PHOTO CELL"/>
    <m/>
    <m/>
    <s v="11001 · Accounts Receivable"/>
    <n v="0"/>
  </r>
  <r>
    <s v="Invoice"/>
    <x v="39"/>
    <s v="AC L-1005"/>
    <s v="KRISKA"/>
    <s v="REPLACE TARBIN FAN FOR WASHROOM IN THE BUILDING WITH NEW ONE"/>
    <m/>
    <m/>
    <s v="11001 · Accounts Receivable"/>
    <n v="0"/>
  </r>
  <r>
    <s v="Invoice"/>
    <x v="39"/>
    <s v="AC L-1005"/>
    <s v="KRISKA"/>
    <m/>
    <m/>
    <m/>
    <s v="11001 · Accounts Receivable"/>
    <n v="1860"/>
  </r>
  <r>
    <s v="Invoice"/>
    <x v="40"/>
    <s v="91 PAT"/>
    <s v="GREENSAVER"/>
    <m/>
    <m/>
    <m/>
    <s v="11001 · Accounts Receivable"/>
    <n v="1157.73"/>
  </r>
  <r>
    <s v="Invoice"/>
    <x v="40"/>
    <s v="1055"/>
    <s v="RETROFIT -GREENSAVER"/>
    <m/>
    <m/>
    <m/>
    <s v="11001 · Accounts Receivable"/>
    <n v="3195.73"/>
  </r>
  <r>
    <s v="Invoice"/>
    <x v="41"/>
    <s v="ac22-08-03"/>
    <s v="GREENSAVER"/>
    <m/>
    <m/>
    <m/>
    <s v="11001 · Accounts Receivable"/>
    <n v="838.35"/>
  </r>
  <r>
    <s v="Invoice"/>
    <x v="41"/>
    <s v="ac22-08-034"/>
    <s v="GREENSAVER"/>
    <m/>
    <m/>
    <m/>
    <s v="11001 · Accounts Receivable"/>
    <n v="51.3"/>
  </r>
  <r>
    <s v="Invoice"/>
    <x v="41"/>
    <s v="ac22-08-038"/>
    <s v="GREENSAVER"/>
    <m/>
    <m/>
    <m/>
    <s v="11001 · Accounts Receivable"/>
    <n v="261"/>
  </r>
  <r>
    <s v="Invoice"/>
    <x v="41"/>
    <s v="ac22-08-030"/>
    <s v="GREENSAVER"/>
    <m/>
    <m/>
    <m/>
    <s v="11001 · Accounts Receivable"/>
    <n v="76.95"/>
  </r>
  <r>
    <s v="Invoice"/>
    <x v="41"/>
    <s v="ac22-08-031"/>
    <s v="GREENSAVER"/>
    <m/>
    <m/>
    <m/>
    <s v="11001 · Accounts Receivable"/>
    <n v="355.77"/>
  </r>
  <r>
    <s v="Invoice"/>
    <x v="41"/>
    <s v="ac22-08-032"/>
    <s v="GREENSAVER"/>
    <m/>
    <m/>
    <m/>
    <s v="11001 · Accounts Receivable"/>
    <n v="401.48"/>
  </r>
  <r>
    <s v="Invoice"/>
    <x v="41"/>
    <s v="ac22-08-033"/>
    <s v="GREENSAVER"/>
    <m/>
    <m/>
    <m/>
    <s v="11001 · Accounts Receivable"/>
    <n v="546.29999999999995"/>
  </r>
  <r>
    <s v="Invoice"/>
    <x v="41"/>
    <s v="AC N-1052"/>
    <s v="GREENSAVER"/>
    <m/>
    <m/>
    <m/>
    <s v="11001 · Accounts Receivable"/>
    <n v="123.92"/>
  </r>
  <r>
    <s v="Invoice"/>
    <x v="41"/>
    <s v="848 BURNHAM"/>
    <s v="GREENSAVER"/>
    <m/>
    <m/>
    <m/>
    <s v="11001 · Accounts Receivable"/>
    <n v="908.35"/>
  </r>
  <r>
    <s v="Invoice"/>
    <x v="41"/>
    <s v="0695"/>
    <s v="RETROFIT -GREENSAVER"/>
    <m/>
    <m/>
    <m/>
    <s v="11001 · Accounts Receivable"/>
    <n v="2952.76"/>
  </r>
  <r>
    <s v="Invoice"/>
    <x v="41"/>
    <s v="0510-2210"/>
    <s v="GOLDMOOR INC"/>
    <s v="SCOPE OF WORK   OPTION 2  * REMOVE THE SKYLIGHT (4) EXISTING FIXTURES  * SUPPLY AND INSTALL 8 ( ..."/>
    <m/>
    <m/>
    <s v="11001 · Accounts Receivable"/>
    <n v="0"/>
  </r>
  <r>
    <s v="Invoice"/>
    <x v="41"/>
    <s v="0510-2210"/>
    <s v="GOLDMOOR INC"/>
    <s v="OFFER INCLUDED:  * ALL MATERIAL INCLUDING ADAPTERS AND FITTING PLUS LABOUR.  * SCISSOR LIFT FEES..."/>
    <m/>
    <m/>
    <s v="11001 · Accounts Receivable"/>
    <n v="3410"/>
  </r>
  <r>
    <s v="Invoice"/>
    <x v="41"/>
    <s v="498 APPLEBY"/>
    <s v="SUMMERSIDE FARM"/>
    <s v="INSTALL 4' -2 LAMP FIXTURES."/>
    <m/>
    <m/>
    <s v="11001 · Accounts Receivable"/>
    <n v="0"/>
  </r>
  <r>
    <s v="Invoice"/>
    <x v="41"/>
    <s v="498 APPLEBY"/>
    <s v="SUMMERSIDE FARM"/>
    <s v="SUPPLY CHAINS AND FITTING TO SET THE FIXTURES ON 18' HEIGHT."/>
    <m/>
    <m/>
    <s v="11001 · Accounts Receivable"/>
    <n v="0"/>
  </r>
  <r>
    <s v="Invoice"/>
    <x v="41"/>
    <s v="498 APPLEBY"/>
    <s v="SUMMERSIDE FARM"/>
    <s v="INSTALL THE POWER CABLES."/>
    <m/>
    <m/>
    <s v="11001 · Accounts Receivable"/>
    <n v="0"/>
  </r>
  <r>
    <s v="Invoice"/>
    <x v="41"/>
    <s v="498 APPLEBY"/>
    <s v="SUMMERSIDE FARM"/>
    <m/>
    <m/>
    <m/>
    <s v="11001 · Accounts Receivable"/>
    <n v="1300"/>
  </r>
  <r>
    <s v="Invoice"/>
    <x v="41"/>
    <s v="316 BURNHAM"/>
    <s v="GREENSAVER"/>
    <m/>
    <m/>
    <m/>
    <s v="11001 · Accounts Receivable"/>
    <n v="891.52"/>
  </r>
  <r>
    <s v="Invoice"/>
    <x v="41"/>
    <s v="377 BURNHAM"/>
    <s v="GREENSAVER"/>
    <m/>
    <m/>
    <m/>
    <s v="11001 · Accounts Receivable"/>
    <n v="495.47"/>
  </r>
  <r>
    <s v="Invoice"/>
    <x v="42"/>
    <s v="0696"/>
    <s v="RETROFIT -GREENSAVER"/>
    <m/>
    <m/>
    <m/>
    <s v="11001 · Accounts Receivable"/>
    <n v="1102"/>
  </r>
  <r>
    <s v="Invoice"/>
    <x v="43"/>
    <s v="41 MAIN"/>
    <s v="GREENSAVER"/>
    <m/>
    <m/>
    <m/>
    <s v="11001 · Accounts Receivable"/>
    <n v="687.5"/>
  </r>
  <r>
    <s v="Invoice"/>
    <x v="43"/>
    <s v="2185 STAVE"/>
    <s v="GREENSAVER"/>
    <m/>
    <m/>
    <m/>
    <s v="11001 · Accounts Receivable"/>
    <n v="966.81"/>
  </r>
  <r>
    <s v="Invoice"/>
    <x v="43"/>
    <s v="106 SAUND"/>
    <s v="GREENSAVER"/>
    <m/>
    <m/>
    <m/>
    <s v="11001 · Accounts Receivable"/>
    <n v="913.78"/>
  </r>
  <r>
    <s v="Invoice"/>
    <x v="43"/>
    <s v="18 AUTO"/>
    <s v="GREENSAVER"/>
    <m/>
    <m/>
    <m/>
    <s v="11001 · Accounts Receivable"/>
    <n v="880.53"/>
  </r>
  <r>
    <s v="Invoice"/>
    <x v="43"/>
    <s v="306 KING"/>
    <s v="GREENSAVER"/>
    <m/>
    <m/>
    <m/>
    <s v="11001 · Accounts Receivable"/>
    <n v="338.14"/>
  </r>
  <r>
    <s v="Invoice"/>
    <x v="43"/>
    <s v="33B MCIN"/>
    <s v="GREENSAVER"/>
    <m/>
    <m/>
    <m/>
    <s v="11001 · Accounts Receivable"/>
    <n v="860.54"/>
  </r>
  <r>
    <s v="Invoice"/>
    <x v="43"/>
    <s v="252 NORS"/>
    <s v="GREENSAVER"/>
    <m/>
    <m/>
    <m/>
    <s v="11001 · Accounts Receivable"/>
    <n v="943.29"/>
  </r>
  <r>
    <s v="Invoice"/>
    <x v="43"/>
    <s v="727 QUEEN"/>
    <s v="GREENSAVER"/>
    <m/>
    <m/>
    <m/>
    <s v="11001 · Accounts Receivable"/>
    <n v="116.95"/>
  </r>
  <r>
    <s v="Invoice"/>
    <x v="43"/>
    <s v="1250 S SERV"/>
    <s v="GREENSAVER"/>
    <m/>
    <m/>
    <m/>
    <s v="11001 · Accounts Receivable"/>
    <n v="116.95"/>
  </r>
  <r>
    <s v="Invoice"/>
    <x v="43"/>
    <s v="1900 FOWLER"/>
    <s v="GREENSAVER"/>
    <m/>
    <m/>
    <m/>
    <s v="11001 · Accounts Receivable"/>
    <n v="91.3"/>
  </r>
  <r>
    <s v="Invoice"/>
    <x v="43"/>
    <s v="33A MCIN"/>
    <s v="GREENSAVER"/>
    <m/>
    <m/>
    <m/>
    <s v="11001 · Accounts Receivable"/>
    <n v="849.88"/>
  </r>
  <r>
    <s v="Invoice"/>
    <x v="43"/>
    <s v="393 DONALDS"/>
    <s v="GREENSAVER"/>
    <m/>
    <m/>
    <m/>
    <s v="11001 · Accounts Receivable"/>
    <n v="168.25"/>
  </r>
  <r>
    <s v="Invoice"/>
    <x v="43"/>
    <s v="1210 CALED"/>
    <s v="GREENSAVER"/>
    <m/>
    <m/>
    <m/>
    <s v="11001 · Accounts Receivable"/>
    <n v="702.55"/>
  </r>
  <r>
    <s v="Invoice"/>
    <x v="43"/>
    <s v="964 WESTPO"/>
    <s v="GREENSAVER"/>
    <m/>
    <m/>
    <m/>
    <s v="11001 · Accounts Receivable"/>
    <n v="575"/>
  </r>
  <r>
    <s v="Invoice"/>
    <x v="43"/>
    <s v="1119 FENNE"/>
    <s v="GREENSAVER"/>
    <m/>
    <m/>
    <m/>
    <s v="11001 · Accounts Receivable"/>
    <n v="310"/>
  </r>
  <r>
    <s v="Invoice"/>
    <x v="43"/>
    <s v="740 BEAVER"/>
    <s v="GREENSAVER"/>
    <m/>
    <m/>
    <m/>
    <s v="11001 · Accounts Receivable"/>
    <n v="1020.1"/>
  </r>
  <r>
    <s v="Invoice"/>
    <x v="43"/>
    <s v="545 STEELES"/>
    <s v="GREENSAVER"/>
    <m/>
    <m/>
    <m/>
    <s v="11001 · Accounts Receivable"/>
    <n v="729.6"/>
  </r>
  <r>
    <s v="Invoice"/>
    <x v="43"/>
    <s v="253 SUMMER"/>
    <s v="GREENSAVER"/>
    <m/>
    <m/>
    <m/>
    <s v="11001 · Accounts Receivable"/>
    <n v="606.29999999999995"/>
  </r>
  <r>
    <s v="Invoice"/>
    <x v="43"/>
    <s v="1104 CANNON"/>
    <s v="GREENSAVER"/>
    <m/>
    <m/>
    <m/>
    <s v="11001 · Accounts Receivable"/>
    <n v="933.45"/>
  </r>
  <r>
    <s v="Invoice"/>
    <x v="43"/>
    <s v="5353 LAKESH"/>
    <s v="GREENSAVER"/>
    <m/>
    <m/>
    <m/>
    <s v="11001 · Accounts Receivable"/>
    <n v="831.52"/>
  </r>
  <r>
    <s v="Invoice"/>
    <x v="43"/>
    <s v="0013"/>
    <s v="RETROFIT -GREENSAVER"/>
    <m/>
    <m/>
    <m/>
    <s v="11001 · Accounts Receivable"/>
    <n v="44.13"/>
  </r>
  <r>
    <s v="Invoice"/>
    <x v="43"/>
    <s v="7025 UPS"/>
    <s v="GREENSAVER"/>
    <m/>
    <m/>
    <m/>
    <s v="11001 · Accounts Receivable"/>
    <n v="507.41"/>
  </r>
  <r>
    <s v="Invoice"/>
    <x v="44"/>
    <s v="149 WEST"/>
    <s v="GREENSAVER"/>
    <m/>
    <m/>
    <m/>
    <s v="11001 · Accounts Receivable"/>
    <n v="596.95000000000005"/>
  </r>
  <r>
    <s v="Invoice"/>
    <x v="44"/>
    <s v="3105 WINSTO"/>
    <s v="GREENSAVER"/>
    <m/>
    <m/>
    <m/>
    <s v="11001 · Accounts Receivable"/>
    <n v="580.65"/>
  </r>
  <r>
    <s v="Invoice"/>
    <x v="45"/>
    <s v="1261 SHAW"/>
    <s v="GREENSAVER"/>
    <m/>
    <m/>
    <m/>
    <s v="11001 · Accounts Receivable"/>
    <n v="1663.06"/>
  </r>
  <r>
    <s v="Invoice"/>
    <x v="45"/>
    <s v="5230 DUNDAS"/>
    <s v="GREENSAVER"/>
    <m/>
    <m/>
    <m/>
    <s v="11001 · Accounts Receivable"/>
    <n v="420.42"/>
  </r>
  <r>
    <s v="Invoice"/>
    <x v="45"/>
    <s v="6710 LUNDY"/>
    <s v="GREENSAVER"/>
    <m/>
    <m/>
    <m/>
    <s v="11001 · Accounts Receivable"/>
    <n v="595"/>
  </r>
  <r>
    <s v="Invoice"/>
    <x v="45"/>
    <s v="1582 KING"/>
    <s v="GREENSAVER"/>
    <m/>
    <m/>
    <m/>
    <s v="11001 · Accounts Receivable"/>
    <n v="765.56"/>
  </r>
  <r>
    <s v="Invoice"/>
    <x v="45"/>
    <s v="120 ERINGAT"/>
    <s v="GREENSAVER"/>
    <m/>
    <m/>
    <m/>
    <s v="11001 · Accounts Receivable"/>
    <n v="961.52"/>
  </r>
  <r>
    <s v="Invoice"/>
    <x v="45"/>
    <s v="0910"/>
    <s v="RETROFIT -GREENSAVER"/>
    <m/>
    <m/>
    <m/>
    <s v="11001 · Accounts Receivable"/>
    <n v="95"/>
  </r>
  <r>
    <s v="Invoice"/>
    <x v="46"/>
    <s v="0911"/>
    <s v="RETROFIT -GREENSAVER"/>
    <m/>
    <m/>
    <m/>
    <s v="11001 · Accounts Receivable"/>
    <n v="750"/>
  </r>
  <r>
    <s v="Invoice"/>
    <x v="46"/>
    <s v="0958"/>
    <s v="RETROFIT -GREENSAVER"/>
    <m/>
    <m/>
    <m/>
    <s v="11001 · Accounts Receivable"/>
    <n v="250"/>
  </r>
  <r>
    <s v="Invoice"/>
    <x v="47"/>
    <s v="775 PACIFIC"/>
    <s v="GREENSAVER"/>
    <m/>
    <m/>
    <m/>
    <s v="11001 · Accounts Receivable"/>
    <n v="765.95"/>
  </r>
  <r>
    <s v="Invoice"/>
    <x v="47"/>
    <s v="12101 AIRPO"/>
    <s v="GREENSAVER"/>
    <m/>
    <m/>
    <m/>
    <s v="11001 · Accounts Receivable"/>
    <n v="743.52"/>
  </r>
  <r>
    <s v="Invoice"/>
    <x v="47"/>
    <s v="562 KIPLING"/>
    <s v="GREENSAVER"/>
    <m/>
    <m/>
    <m/>
    <s v="11001 · Accounts Receivable"/>
    <n v="236.35"/>
  </r>
  <r>
    <s v="Invoice"/>
    <x v="47"/>
    <s v="4060A SLADV"/>
    <s v="GREENSAVER"/>
    <m/>
    <m/>
    <m/>
    <s v="11001 · Accounts Receivable"/>
    <n v="944.62"/>
  </r>
  <r>
    <s v="Invoice"/>
    <x v="47"/>
    <s v="0016"/>
    <s v="RETROFIT -GREENSAVER"/>
    <m/>
    <m/>
    <m/>
    <s v="11001 · Accounts Receivable"/>
    <n v="1017.5"/>
  </r>
  <r>
    <s v="Invoice"/>
    <x v="47"/>
    <s v="0959 12101"/>
    <s v="RETROFIT -GREENSAVER"/>
    <m/>
    <m/>
    <m/>
    <s v="11001 · Accounts Receivable"/>
    <n v="237.56"/>
  </r>
  <r>
    <s v="Invoice"/>
    <x v="47"/>
    <s v="222 ESPLAND"/>
    <s v="GREENSAVER"/>
    <m/>
    <m/>
    <m/>
    <s v="11001 · Accounts Receivable"/>
    <n v="60"/>
  </r>
  <r>
    <s v="Invoice"/>
    <x v="47"/>
    <s v="1646 BLOOR"/>
    <s v="GREENSAVER"/>
    <m/>
    <m/>
    <m/>
    <s v="11001 · Accounts Receivable"/>
    <n v="70"/>
  </r>
  <r>
    <s v="Invoice"/>
    <x v="48"/>
    <s v="0017"/>
    <s v="RETROFIT -GREENSAVER"/>
    <m/>
    <m/>
    <m/>
    <s v="11001 · Accounts Receivable"/>
    <n v="372.47"/>
  </r>
  <r>
    <s v="Invoice"/>
    <x v="48"/>
    <s v="0510-2217"/>
    <s v="MOUNTAIN HOMES"/>
    <s v="ALL ELECTRIC WORK ACCORDING TO THE DRAWING"/>
    <m/>
    <m/>
    <s v="11001 · Accounts Receivable"/>
    <n v="22500"/>
  </r>
  <r>
    <s v="Invoice"/>
    <x v="49"/>
    <s v="0970"/>
    <s v="GOLDMOOR INC"/>
    <m/>
    <m/>
    <m/>
    <s v="11001 · Accounts Receivable"/>
    <n v="17200"/>
  </r>
  <r>
    <s v="Invoice"/>
    <x v="50"/>
    <s v="AC L-1015"/>
    <s v="GREENSAVER"/>
    <m/>
    <m/>
    <m/>
    <s v="11001 · Accounts Receivable"/>
    <n v="1653.08"/>
  </r>
  <r>
    <s v="Invoice"/>
    <x v="50"/>
    <s v="AC L-1016"/>
    <s v="GREENSAVER"/>
    <m/>
    <m/>
    <m/>
    <s v="11001 · Accounts Receivable"/>
    <n v="927.17"/>
  </r>
  <r>
    <s v="Invoice"/>
    <x v="50"/>
    <s v="AC L-1017"/>
    <s v="GREENSAVER"/>
    <m/>
    <m/>
    <m/>
    <s v="11001 · Accounts Receivable"/>
    <n v="426.42"/>
  </r>
  <r>
    <s v="Invoice"/>
    <x v="50"/>
    <s v="AC L-1018"/>
    <s v="GREENSAVER"/>
    <m/>
    <m/>
    <m/>
    <s v="11001 · Accounts Receivable"/>
    <n v="1142.58"/>
  </r>
  <r>
    <s v="Invoice"/>
    <x v="50"/>
    <s v="AC L-1019"/>
    <s v="GREENSAVER"/>
    <m/>
    <m/>
    <m/>
    <s v="11001 · Accounts Receivable"/>
    <n v="1003.75"/>
  </r>
  <r>
    <s v="Invoice"/>
    <x v="50"/>
    <s v="AC L-1020"/>
    <s v="GREENSAVER"/>
    <m/>
    <m/>
    <m/>
    <s v="11001 · Accounts Receivable"/>
    <n v="936.14"/>
  </r>
  <r>
    <s v="Invoice"/>
    <x v="50"/>
    <s v="AC L-1021"/>
    <s v="GREENSAVER"/>
    <m/>
    <m/>
    <m/>
    <s v="11001 · Accounts Receivable"/>
    <n v="955.44"/>
  </r>
  <r>
    <s v="Invoice"/>
    <x v="50"/>
    <s v="AC L-1022"/>
    <s v="GREENSAVER"/>
    <m/>
    <m/>
    <m/>
    <s v="11001 · Accounts Receivable"/>
    <n v="1412.9"/>
  </r>
  <r>
    <s v="Invoice"/>
    <x v="50"/>
    <s v="AC L-1023"/>
    <s v="GREENSAVER"/>
    <m/>
    <m/>
    <m/>
    <s v="11001 · Accounts Receivable"/>
    <n v="123.4"/>
  </r>
  <r>
    <s v="Invoice"/>
    <x v="50"/>
    <s v="AC L-1024"/>
    <s v="GREENSAVER"/>
    <m/>
    <m/>
    <m/>
    <s v="11001 · Accounts Receivable"/>
    <n v="775.9"/>
  </r>
  <r>
    <s v="Invoice"/>
    <x v="50"/>
    <s v="0912"/>
    <s v="RETROFIT -GREENSAVER"/>
    <m/>
    <m/>
    <m/>
    <s v="11001 · Accounts Receivable"/>
    <n v="254.24"/>
  </r>
  <r>
    <s v="Invoice"/>
    <x v="51"/>
    <s v="0913"/>
    <s v="RETROFIT -GREENSAVER"/>
    <m/>
    <m/>
    <m/>
    <s v="11001 · Accounts Receivable"/>
    <n v="370.2"/>
  </r>
  <r>
    <s v="Invoice"/>
    <x v="52"/>
    <s v="0226"/>
    <s v="RETROFIT -GREENSAVER"/>
    <m/>
    <m/>
    <m/>
    <s v="11001 · Accounts Receivable"/>
    <n v="902.25"/>
  </r>
  <r>
    <s v="Invoice"/>
    <x v="53"/>
    <s v="797 MINLER"/>
    <s v="GREENSAVER"/>
    <m/>
    <m/>
    <m/>
    <s v="11001 · Accounts Receivable"/>
    <n v="618.54"/>
  </r>
  <r>
    <s v="Invoice"/>
    <x v="53"/>
    <s v="4060B SLAD"/>
    <s v="GREENSAVER"/>
    <m/>
    <m/>
    <m/>
    <s v="11001 · Accounts Receivable"/>
    <n v="896.46"/>
  </r>
  <r>
    <s v="Invoice"/>
    <x v="53"/>
    <s v="3438 SHEPP"/>
    <s v="GREENSAVER"/>
    <m/>
    <m/>
    <m/>
    <s v="11001 · Accounts Receivable"/>
    <n v="604.45000000000005"/>
  </r>
  <r>
    <s v="Invoice"/>
    <x v="53"/>
    <s v="4525 EBENE"/>
    <s v="GREENSAVER"/>
    <m/>
    <m/>
    <m/>
    <s v="11001 · Accounts Receivable"/>
    <n v="743.52"/>
  </r>
  <r>
    <s v="Invoice"/>
    <x v="53"/>
    <s v="49 FERRIS"/>
    <s v="GREENSAVER"/>
    <m/>
    <m/>
    <m/>
    <s v="11001 · Accounts Receivable"/>
    <n v="1024.4000000000001"/>
  </r>
  <r>
    <s v="Invoice"/>
    <x v="53"/>
    <s v="371 BRADW"/>
    <s v="GREENSAVER"/>
    <m/>
    <m/>
    <m/>
    <s v="11001 · Accounts Receivable"/>
    <n v="686.3"/>
  </r>
  <r>
    <s v="Invoice"/>
    <x v="53"/>
    <s v="670 HWY 7"/>
    <s v="GREENSAVER"/>
    <m/>
    <m/>
    <m/>
    <s v="11001 · Accounts Receivable"/>
    <n v="340.95"/>
  </r>
  <r>
    <s v="Invoice"/>
    <x v="53"/>
    <s v="45 CARLTON"/>
    <s v="GREENSAVER"/>
    <m/>
    <m/>
    <m/>
    <s v="11001 · Accounts Receivable"/>
    <n v="70"/>
  </r>
  <r>
    <s v="Invoice"/>
    <x v="53"/>
    <s v="531 PARLIA"/>
    <s v="GREENSAVER"/>
    <m/>
    <m/>
    <m/>
    <s v="11001 · Accounts Receivable"/>
    <n v="101"/>
  </r>
  <r>
    <s v="Invoice"/>
    <x v="53"/>
    <s v="670 HWY7 G2"/>
    <s v="GREENSAVER"/>
    <m/>
    <m/>
    <m/>
    <s v="11001 · Accounts Receivable"/>
    <n v="908.35"/>
  </r>
  <r>
    <s v="Invoice"/>
    <x v="53"/>
    <s v="0914"/>
    <s v="RETROFIT -GREENSAVER"/>
    <m/>
    <m/>
    <m/>
    <s v="11001 · Accounts Receivable"/>
    <n v="1888.97"/>
  </r>
  <r>
    <s v="Invoice"/>
    <x v="53"/>
    <s v="1053"/>
    <s v="RETROFIT -GREENSAVER"/>
    <m/>
    <m/>
    <m/>
    <s v="11001 · Accounts Receivable"/>
    <n v="286"/>
  </r>
  <r>
    <s v="Invoice"/>
    <x v="54"/>
    <s v="2644 DAN"/>
    <s v="GREENSAVER"/>
    <m/>
    <m/>
    <m/>
    <s v="11001 · Accounts Receivable"/>
    <n v="659.51"/>
  </r>
  <r>
    <s v="Invoice"/>
    <x v="54"/>
    <s v="251 NORS"/>
    <s v="GREENSAVER"/>
    <m/>
    <m/>
    <m/>
    <s v="11001 · Accounts Receivable"/>
    <n v="666.98"/>
  </r>
  <r>
    <s v="Invoice"/>
    <x v="54"/>
    <s v="850 MAIN"/>
    <s v="GREENSAVER"/>
    <m/>
    <m/>
    <m/>
    <s v="11001 · Accounts Receivable"/>
    <n v="70"/>
  </r>
  <r>
    <s v="Invoice"/>
    <x v="54"/>
    <s v="14 OXFORD"/>
    <s v="GREENSAVER"/>
    <m/>
    <m/>
    <m/>
    <s v="11001 · Accounts Receivable"/>
    <n v="440"/>
  </r>
  <r>
    <s v="Invoice"/>
    <x v="54"/>
    <s v="0238"/>
    <s v="RETROFIT -GREENSAVER"/>
    <m/>
    <m/>
    <m/>
    <s v="11001 · Accounts Receivable"/>
    <n v="566"/>
  </r>
  <r>
    <s v="Invoice"/>
    <x v="55"/>
    <s v="363 YOUNG"/>
    <s v="GREENSAVER"/>
    <m/>
    <m/>
    <m/>
    <s v="11001 · Accounts Receivable"/>
    <n v="553"/>
  </r>
  <r>
    <s v="Invoice"/>
    <x v="55"/>
    <s v="106 SAUN"/>
    <s v="GREENSAVER"/>
    <m/>
    <m/>
    <m/>
    <s v="11001 · Accounts Receivable"/>
    <n v="906.02"/>
  </r>
  <r>
    <s v="Invoice"/>
    <x v="55"/>
    <s v="253 NORS"/>
    <s v="GREENSAVER"/>
    <m/>
    <m/>
    <m/>
    <s v="11001 · Accounts Receivable"/>
    <n v="586.29999999999995"/>
  </r>
  <r>
    <s v="Invoice"/>
    <x v="55"/>
    <s v="5155 SPECT"/>
    <s v="GREENSAVER"/>
    <m/>
    <m/>
    <m/>
    <s v="11001 · Accounts Receivable"/>
    <n v="997.95"/>
  </r>
  <r>
    <s v="Invoice"/>
    <x v="55"/>
    <s v="2455 CAWTHR"/>
    <s v="GREENSAVER"/>
    <m/>
    <m/>
    <m/>
    <s v="11001 · Accounts Receivable"/>
    <n v="627.55999999999995"/>
  </r>
  <r>
    <s v="Invoice"/>
    <x v="55"/>
    <s v="6350 TOMKEN"/>
    <s v="GREENSAVER"/>
    <m/>
    <m/>
    <m/>
    <s v="11001 · Accounts Receivable"/>
    <n v="763.1"/>
  </r>
  <r>
    <s v="Invoice"/>
    <x v="55"/>
    <s v="26A REXDALE"/>
    <s v="GREENSAVER"/>
    <m/>
    <m/>
    <m/>
    <s v="11001 · Accounts Receivable"/>
    <n v="808.75"/>
  </r>
  <r>
    <s v="Invoice"/>
    <x v="55"/>
    <s v="361 JACKSON"/>
    <s v="GREENSAVER"/>
    <m/>
    <m/>
    <m/>
    <s v="11001 · Accounts Receivable"/>
    <n v="457.75"/>
  </r>
  <r>
    <s v="Invoice"/>
    <x v="55"/>
    <s v="0239"/>
    <s v="RETROFIT -GREENSAVER"/>
    <m/>
    <m/>
    <m/>
    <s v="11001 · Accounts Receivable"/>
    <n v="1260.56"/>
  </r>
  <r>
    <s v="Invoice"/>
    <x v="55"/>
    <s v="1056"/>
    <s v="RETROFIT -GREENSAVER"/>
    <m/>
    <m/>
    <m/>
    <s v="11001 · Accounts Receivable"/>
    <n v="254.24"/>
  </r>
  <r>
    <s v="Invoice"/>
    <x v="55"/>
    <s v="25 HERITAGE"/>
    <s v="GREENSAVER"/>
    <m/>
    <m/>
    <m/>
    <s v="11001 · Accounts Receivable"/>
    <n v="863.83"/>
  </r>
  <r>
    <s v="Invoice"/>
    <x v="55"/>
    <s v="1154 RYMAL"/>
    <s v="GREENSAVER"/>
    <m/>
    <m/>
    <m/>
    <s v="11001 · Accounts Receivable"/>
    <n v="1079.05"/>
  </r>
  <r>
    <s v="Invoice"/>
    <x v="56"/>
    <s v="1051"/>
    <s v="RETROFIT -GREENSAVER"/>
    <m/>
    <m/>
    <m/>
    <s v="11001 · Accounts Receivable"/>
    <n v="5177.28"/>
  </r>
  <r>
    <s v="Invoice"/>
    <x v="56"/>
    <s v="0697"/>
    <s v="RETROFIT -GREENSAVER"/>
    <m/>
    <m/>
    <m/>
    <s v="11001 · Accounts Receivable"/>
    <n v="118"/>
  </r>
  <r>
    <s v="Invoice"/>
    <x v="56"/>
    <s v="1131 GORHAM"/>
    <s v="GREENSAVER"/>
    <m/>
    <m/>
    <m/>
    <s v="11001 · Accounts Receivable"/>
    <n v="1079.05"/>
  </r>
  <r>
    <s v="Invoice"/>
    <x v="57"/>
    <s v="901 VICTOR"/>
    <s v="GREENSAVER"/>
    <m/>
    <m/>
    <m/>
    <s v="11001 · Accounts Receivable"/>
    <n v="388.82"/>
  </r>
  <r>
    <s v="Invoice"/>
    <x v="57"/>
    <s v="4040 STEEL"/>
    <s v="GREENSAVER"/>
    <m/>
    <m/>
    <m/>
    <s v="11001 · Accounts Receivable"/>
    <n v="877.2"/>
  </r>
  <r>
    <s v="Invoice"/>
    <x v="57"/>
    <s v="16 KING"/>
    <s v="GREENSAVER"/>
    <m/>
    <m/>
    <m/>
    <s v="11001 · Accounts Receivable"/>
    <n v="426.5"/>
  </r>
  <r>
    <s v="Invoice"/>
    <x v="57"/>
    <s v="842 VICTOR"/>
    <s v="GREENSAVER"/>
    <m/>
    <m/>
    <m/>
    <s v="11001 · Accounts Receivable"/>
    <n v="839.56"/>
  </r>
  <r>
    <s v="Invoice"/>
    <x v="58"/>
    <s v="14810 YOUNG"/>
    <s v="GREENSAVER"/>
    <m/>
    <m/>
    <m/>
    <s v="11001 · Accounts Receivable"/>
    <n v="324.74"/>
  </r>
  <r>
    <s v="Invoice"/>
    <x v="59"/>
    <s v="1420 BAYLY"/>
    <s v="GREENSAVER"/>
    <m/>
    <m/>
    <m/>
    <s v="11001 · Accounts Receivable"/>
    <n v="920.81"/>
  </r>
  <r>
    <s v="Invoice"/>
    <x v="59"/>
    <s v="255 INDUSTR"/>
    <s v="GREENSAVER"/>
    <m/>
    <m/>
    <m/>
    <s v="11001 · Accounts Receivable"/>
    <n v="640.78"/>
  </r>
  <r>
    <s v="Invoice"/>
    <x v="59"/>
    <s v="1170 RYMAL"/>
    <s v="GREENSAVER"/>
    <m/>
    <m/>
    <m/>
    <s v="11001 · Accounts Receivable"/>
    <n v="515"/>
  </r>
  <r>
    <s v="Invoice"/>
    <x v="59"/>
    <s v="1065"/>
    <s v="RETROFIT -GREENSAVER"/>
    <m/>
    <m/>
    <m/>
    <s v="11001 · Accounts Receivable"/>
    <n v="1106"/>
  </r>
  <r>
    <s v="Invoice"/>
    <x v="60"/>
    <s v="418 HOR"/>
    <s v="GREENSAVER"/>
    <m/>
    <m/>
    <m/>
    <s v="11001 · Accounts Receivable"/>
    <n v="163.92"/>
  </r>
  <r>
    <s v="Invoice"/>
    <x v="60"/>
    <s v="4060A SLAD"/>
    <s v="GREENSAVER"/>
    <m/>
    <m/>
    <m/>
    <s v="11001 · Accounts Receivable"/>
    <n v="1100.71"/>
  </r>
  <r>
    <s v="Invoice"/>
    <x v="60"/>
    <s v="122 FORTI"/>
    <s v="GREENSAVER"/>
    <m/>
    <m/>
    <m/>
    <s v="11001 · Accounts Receivable"/>
    <n v="409.3"/>
  </r>
  <r>
    <s v="Invoice"/>
    <x v="60"/>
    <s v="2584 DANFOR"/>
    <s v="GREENSAVER"/>
    <m/>
    <m/>
    <m/>
    <s v="11001 · Accounts Receivable"/>
    <n v="31"/>
  </r>
  <r>
    <s v="Invoice"/>
    <x v="60"/>
    <s v="813 O'CONN"/>
    <s v="GREENSAVER"/>
    <m/>
    <m/>
    <m/>
    <s v="11001 · Accounts Receivable"/>
    <n v="709.93"/>
  </r>
  <r>
    <s v="Invoice"/>
    <x v="60"/>
    <s v="948 QUEEN"/>
    <s v="GREENSAVER"/>
    <m/>
    <m/>
    <m/>
    <s v="11001 · Accounts Receivable"/>
    <n v="55.65"/>
  </r>
  <r>
    <s v="Invoice"/>
    <x v="60"/>
    <s v="0916"/>
    <s v="RETROFIT -GREENSAVER"/>
    <m/>
    <m/>
    <m/>
    <s v="11001 · Accounts Receivable"/>
    <n v="612"/>
  </r>
  <r>
    <s v="Invoice"/>
    <x v="61"/>
    <s v="400 BAYFILE"/>
    <s v="GREENSAVER"/>
    <m/>
    <m/>
    <m/>
    <s v="11001 · Accounts Receivable"/>
    <n v="901.52"/>
  </r>
  <r>
    <s v="Invoice"/>
    <x v="61"/>
    <s v="1453 KING"/>
    <s v="GREENSAVER"/>
    <m/>
    <m/>
    <m/>
    <s v="11001 · Accounts Receivable"/>
    <n v="400.38"/>
  </r>
  <r>
    <s v="Invoice"/>
    <x v="61"/>
    <s v="79 ELIGIN"/>
    <s v="GREENSAVER"/>
    <m/>
    <m/>
    <m/>
    <s v="11001 · Accounts Receivable"/>
    <n v="284.5"/>
  </r>
  <r>
    <s v="Invoice"/>
    <x v="61"/>
    <s v="18 CONCESSI"/>
    <s v="GREENSAVER"/>
    <m/>
    <m/>
    <m/>
    <s v="11001 · Accounts Receivable"/>
    <n v="729.25"/>
  </r>
  <r>
    <s v="Invoice"/>
    <x v="61"/>
    <s v="200 FRANKLI"/>
    <s v="GREENSAVER"/>
    <m/>
    <m/>
    <m/>
    <s v="11001 · Accounts Receivable"/>
    <n v="256.86"/>
  </r>
  <r>
    <s v="Invoice"/>
    <x v="61"/>
    <s v="262 KING"/>
    <s v="GREENSAVER"/>
    <m/>
    <m/>
    <m/>
    <s v="11001 · Accounts Receivable"/>
    <n v="683.29"/>
  </r>
  <r>
    <s v="Invoice"/>
    <x v="61"/>
    <s v="36 NORTHFIE"/>
    <s v="GREENSAVER"/>
    <m/>
    <m/>
    <m/>
    <s v="11001 · Accounts Receivable"/>
    <n v="220.55"/>
  </r>
  <r>
    <s v="Invoice"/>
    <x v="61"/>
    <s v="338 ROSSLAN"/>
    <s v="GREENSAVER"/>
    <m/>
    <m/>
    <m/>
    <s v="11001 · Accounts Receivable"/>
    <n v="504.7"/>
  </r>
  <r>
    <s v="Invoice"/>
    <x v="61"/>
    <s v="1383 WILSON"/>
    <s v="GREENSAVER"/>
    <m/>
    <m/>
    <m/>
    <s v="11001 · Accounts Receivable"/>
    <n v="140"/>
  </r>
  <r>
    <s v="Invoice"/>
    <x v="61"/>
    <s v="2887 BLOOR"/>
    <s v="GREENSAVER"/>
    <m/>
    <m/>
    <m/>
    <s v="11001 · Accounts Receivable"/>
    <n v="321.47000000000003"/>
  </r>
  <r>
    <s v="Invoice"/>
    <x v="61"/>
    <s v="21 ESSA RD"/>
    <s v="GREENSAVER"/>
    <m/>
    <m/>
    <m/>
    <s v="11001 · Accounts Receivable"/>
    <n v="1035.07"/>
  </r>
  <r>
    <s v="Invoice"/>
    <x v="61"/>
    <s v="371 WILSON"/>
    <s v="GREENSAVER"/>
    <m/>
    <m/>
    <m/>
    <s v="11001 · Accounts Receivable"/>
    <n v="507.5"/>
  </r>
  <r>
    <s v="Invoice"/>
    <x v="61"/>
    <s v="179 UNION"/>
    <s v="GREENSAVER"/>
    <m/>
    <m/>
    <m/>
    <s v="11001 · Accounts Receivable"/>
    <n v="737.95"/>
  </r>
  <r>
    <s v="Invoice"/>
    <x v="61"/>
    <s v="0917"/>
    <s v="RETROFIT -GREENSAVER"/>
    <m/>
    <m/>
    <m/>
    <s v="11001 · Accounts Receivable"/>
    <n v="1271.2"/>
  </r>
  <r>
    <s v="Invoice"/>
    <x v="62"/>
    <s v="241 DUNS"/>
    <s v="GREENSAVER"/>
    <m/>
    <m/>
    <m/>
    <s v="11001 · Accounts Receivable"/>
    <n v="251.53"/>
  </r>
  <r>
    <s v="Invoice"/>
    <x v="63"/>
    <s v="10671 CHING"/>
    <s v="GREENSAVER"/>
    <m/>
    <m/>
    <m/>
    <s v="11001 · Accounts Receivable"/>
    <n v="96.63"/>
  </r>
  <r>
    <s v="Invoice"/>
    <x v="63"/>
    <s v="975 BROCK"/>
    <s v="GREENSAVER"/>
    <m/>
    <m/>
    <m/>
    <s v="11001 · Accounts Receivable"/>
    <n v="838.77"/>
  </r>
  <r>
    <s v="Invoice"/>
    <x v="64"/>
    <s v="SEP 8,22"/>
    <s v="PEEL DISTRICT SCHOOL BOARD"/>
    <s v="FIRST PAYMENT FOR SUPPLYING MATERIALS FOR (SG-422-20/21-9, CHINGUACOUSY SS , AS PER Z22-4759. TO..."/>
    <m/>
    <m/>
    <s v="11001 · Accounts Receivable"/>
    <n v="220000"/>
  </r>
  <r>
    <s v="Invoice"/>
    <x v="64"/>
    <s v="84 WATER ST"/>
    <s v="GREENSAVER"/>
    <m/>
    <m/>
    <m/>
    <s v="11001 · Accounts Receivable"/>
    <n v="580.88"/>
  </r>
  <r>
    <s v="Invoice"/>
    <x v="64"/>
    <s v="20 KINGSTON"/>
    <s v="GREENSAVER"/>
    <m/>
    <m/>
    <m/>
    <s v="11001 · Accounts Receivable"/>
    <n v="553"/>
  </r>
  <r>
    <s v="Invoice"/>
    <x v="64"/>
    <s v="0014"/>
    <s v="RETROFIT -GREENSAVER"/>
    <m/>
    <m/>
    <m/>
    <s v="11001 · Accounts Receivable"/>
    <n v="572.04"/>
  </r>
  <r>
    <s v="Invoice"/>
    <x v="65"/>
    <s v="49 WAYNE"/>
    <s v="GREENSAVER"/>
    <m/>
    <m/>
    <m/>
    <s v="11001 · Accounts Receivable"/>
    <n v="887.15"/>
  </r>
  <r>
    <s v="Invoice"/>
    <x v="65"/>
    <s v="0960"/>
    <s v="RETROFIT -GREENSAVER"/>
    <m/>
    <m/>
    <m/>
    <s v="11001 · Accounts Receivable"/>
    <n v="176.52"/>
  </r>
  <r>
    <s v="Invoice"/>
    <x v="66"/>
    <s v="AC 09/13/22"/>
    <s v="RP PAINTING"/>
    <s v="MATERIALS:  -LED FIXTURE ,220W ,120V QTY 9 .  -CHAIN .  -BX COIL.   -SCISSOR LIFT .    "/>
    <m/>
    <m/>
    <s v="11001 · Accounts Receivable"/>
    <n v="0"/>
  </r>
  <r>
    <s v="Invoice"/>
    <x v="66"/>
    <s v="AC 09/13/22"/>
    <s v="RP PAINTING"/>
    <s v="SCOPE OF WORK   -REPLACE AND RELOCATE 9 LED HIGHBAY FIXTURE IN THE INDUSTRIAL AREA .  -USING CHA..."/>
    <m/>
    <m/>
    <s v="11001 · Accounts Receivable"/>
    <n v="0"/>
  </r>
  <r>
    <s v="Invoice"/>
    <x v="66"/>
    <s v="AC 09/13/22"/>
    <s v="RP PAINTING"/>
    <s v="*PRICE INCLUDED   SCISSOR LIFT FEES   ESA INSPECTION FEES AND CERTIFICATE .    "/>
    <m/>
    <m/>
    <s v="11001 · Accounts Receivable"/>
    <n v="0"/>
  </r>
  <r>
    <s v="Invoice"/>
    <x v="66"/>
    <s v="AC 09/13/22"/>
    <s v="RP PAINTING"/>
    <s v="*PRICE EXCLUDED   TURBINE FANS (QTY 2), TO BE CHECKED AND QUOTED SEPARETIY."/>
    <m/>
    <m/>
    <s v="11001 · Accounts Receivable"/>
    <n v="4860"/>
  </r>
  <r>
    <s v="Invoice"/>
    <x v="67"/>
    <s v="0918"/>
    <s v="RETROFIT -GREENSAVER"/>
    <m/>
    <m/>
    <m/>
    <s v="11001 · Accounts Receivable"/>
    <n v="158"/>
  </r>
  <r>
    <s v="Invoice"/>
    <x v="67"/>
    <s v="1062"/>
    <s v="RETROFIT -GREENSAVER"/>
    <m/>
    <m/>
    <m/>
    <s v="11001 · Accounts Receivable"/>
    <n v="220.65"/>
  </r>
  <r>
    <s v="Invoice"/>
    <x v="68"/>
    <s v="1052"/>
    <s v="RETROFIT -GREENSAVER"/>
    <m/>
    <m/>
    <m/>
    <s v="11001 · Accounts Receivable"/>
    <n v="3068.35"/>
  </r>
  <r>
    <s v="Invoice"/>
    <x v="68"/>
    <s v="0965"/>
    <s v="ROLLER SKATING PLACE"/>
    <s v="SCOPE OF WORK:    *SUPPLY AND INSTALL LED HIGHBAY FIXTURES SELECTABLE WATTS AND COLOR TEMP."/>
    <m/>
    <m/>
    <s v="11001 · Accounts Receivable"/>
    <n v="5600"/>
  </r>
  <r>
    <s v="Invoice"/>
    <x v="68"/>
    <s v="0965"/>
    <s v="ROLLER SKATING PLACE"/>
    <s v="  PRICE INCLUDE:  *SCISSOR LIFT FEES .  *ESA INSPECTION .  *ACCESSORIES AND FITTING.  *REMOVE AN..."/>
    <m/>
    <m/>
    <s v="11001 · Accounts Receivable"/>
    <n v="0"/>
  </r>
  <r>
    <s v="Invoice"/>
    <x v="68"/>
    <s v="0965"/>
    <s v="ROLLER SKATING PLACE"/>
    <s v="PAYMENT TERMS:  * FIRST PAYMENT: 20% UPON APPROVAL.  * SECOND PAYMENT : 40% UPON RECEIVING MATER..."/>
    <m/>
    <m/>
    <s v="11001 · Accounts Receivable"/>
    <n v="0"/>
  </r>
  <r>
    <s v="Invoice"/>
    <x v="68"/>
    <s v="0966"/>
    <s v="HYUNDAI"/>
    <s v="-Installation of 7 RAB projectors.  -Pvc pipes, boxes wp(weather proof), T 90 wires, breakers.  ..."/>
    <m/>
    <m/>
    <s v="11001 · Accounts Receivable"/>
    <n v="7286.18"/>
  </r>
  <r>
    <s v="Invoice"/>
    <x v="68"/>
    <s v="0966"/>
    <s v="HYUNDAI"/>
    <s v="10% DISCOUNT"/>
    <m/>
    <m/>
    <s v="11001 · Accounts Receivable"/>
    <n v="-728.62"/>
  </r>
  <r>
    <s v="Invoice"/>
    <x v="69"/>
    <s v="31 RAILSIDE"/>
    <s v="GREENSAVER"/>
    <m/>
    <m/>
    <m/>
    <s v="11001 · Accounts Receivable"/>
    <n v="941.78"/>
  </r>
  <r>
    <s v="Invoice"/>
    <x v="69"/>
    <s v="1794 DANFOR"/>
    <s v="GREENSAVER"/>
    <m/>
    <m/>
    <m/>
    <s v="11001 · Accounts Receivable"/>
    <n v="580.85"/>
  </r>
  <r>
    <s v="Invoice"/>
    <x v="69"/>
    <s v="270 EGLINTO"/>
    <s v="GREENSAVER"/>
    <m/>
    <m/>
    <m/>
    <s v="11001 · Accounts Receivable"/>
    <n v="374.51"/>
  </r>
  <r>
    <s v="Invoice"/>
    <x v="69"/>
    <s v="162 LIME ST"/>
    <s v="GREENSAVER"/>
    <m/>
    <m/>
    <m/>
    <s v="11001 · Accounts Receivable"/>
    <n v="699.75"/>
  </r>
  <r>
    <s v="Invoice"/>
    <x v="69"/>
    <s v="280 GUELPH"/>
    <s v="GREENSAVER"/>
    <m/>
    <m/>
    <m/>
    <s v="11001 · Accounts Receivable"/>
    <n v="454.8"/>
  </r>
  <r>
    <s v="Invoice"/>
    <x v="69"/>
    <s v="2873 KINGST"/>
    <s v="GREENSAVER"/>
    <m/>
    <m/>
    <m/>
    <s v="11001 · Accounts Receivable"/>
    <n v="412.4"/>
  </r>
  <r>
    <s v="Invoice"/>
    <x v="69"/>
    <s v="3250 FINCH"/>
    <s v="GREENSAVER"/>
    <m/>
    <m/>
    <m/>
    <s v="11001 · Accounts Receivable"/>
    <n v="1006.92"/>
  </r>
  <r>
    <s v="Invoice"/>
    <x v="70"/>
    <s v="0919"/>
    <s v="RETROFIT -GREENSAVER"/>
    <m/>
    <m/>
    <m/>
    <s v="11001 · Accounts Receivable"/>
    <n v="381.36"/>
  </r>
  <r>
    <s v="Invoice"/>
    <x v="70"/>
    <s v="460 RENFORT"/>
    <s v="GREENSAVER"/>
    <m/>
    <m/>
    <m/>
    <s v="11001 · Accounts Receivable"/>
    <n v="545.35"/>
  </r>
  <r>
    <s v="Invoice"/>
    <x v="70"/>
    <s v="1110 FINCH"/>
    <s v="GREENSAVER"/>
    <m/>
    <m/>
    <m/>
    <s v="11001 · Accounts Receivable"/>
    <n v="626.86"/>
  </r>
  <r>
    <s v="Invoice"/>
    <x v="70"/>
    <s v="1061"/>
    <s v="RETROFIT -GREENSAVER"/>
    <m/>
    <m/>
    <m/>
    <s v="11001 · Accounts Receivable"/>
    <n v="444.92"/>
  </r>
  <r>
    <s v="Invoice"/>
    <x v="71"/>
    <s v="248 STIRLIN"/>
    <s v="GREENSAVER"/>
    <m/>
    <m/>
    <m/>
    <s v="11001 · Accounts Receivable"/>
    <n v="896.19"/>
  </r>
  <r>
    <s v="Invoice"/>
    <x v="71"/>
    <s v="2203 DUNWIN"/>
    <s v="GREENSAVER"/>
    <m/>
    <m/>
    <m/>
    <s v="11001 · Accounts Receivable"/>
    <n v="956.33"/>
  </r>
  <r>
    <s v="Invoice"/>
    <x v="71"/>
    <s v="0961"/>
    <s v="RETROFIT -GREENSAVER"/>
    <m/>
    <m/>
    <m/>
    <s v="11001 · Accounts Receivable"/>
    <n v="232"/>
  </r>
  <r>
    <s v="Invoice"/>
    <x v="71"/>
    <s v="0964"/>
    <s v="ROYAL PLAN &amp; PUNJAB RESTURANT"/>
    <s v="SCOPE OF WORK :"/>
    <m/>
    <m/>
    <s v="11001 · Accounts Receivable"/>
    <n v="45000"/>
  </r>
  <r>
    <s v="Invoice"/>
    <x v="71"/>
    <s v="0964"/>
    <s v="ROYAL PLAN &amp; PUNJAB RESTURANT"/>
    <s v="PRICE INCLUDED :"/>
    <m/>
    <m/>
    <s v="11001 · Accounts Receivable"/>
    <n v="0"/>
  </r>
  <r>
    <s v="Invoice"/>
    <x v="71"/>
    <s v="0964"/>
    <s v="ROYAL PLAN &amp; PUNJAB RESTURANT"/>
    <s v="PAYMENT TERMS:  * FIRST PAYMENT: 20% UPON APPROVAL.  * SECOND PAYMENT : 40% UPON RECEIVING  MATE..."/>
    <m/>
    <m/>
    <s v="11001 · Accounts Receivable"/>
    <n v="0"/>
  </r>
  <r>
    <s v="Invoice"/>
    <x v="72"/>
    <s v="71 GLEN CAM"/>
    <s v="GREENSAVER"/>
    <m/>
    <m/>
    <m/>
    <s v="11001 · Accounts Receivable"/>
    <n v="955.44"/>
  </r>
  <r>
    <s v="Invoice"/>
    <x v="72"/>
    <s v="1288 RITSON"/>
    <s v="GREENSAVER"/>
    <m/>
    <m/>
    <m/>
    <s v="11001 · Accounts Receivable"/>
    <n v="474.4"/>
  </r>
  <r>
    <s v="Invoice"/>
    <x v="72"/>
    <s v="487 CORNWAL"/>
    <s v="GREENSAVER"/>
    <m/>
    <m/>
    <m/>
    <s v="11001 · Accounts Receivable"/>
    <n v="355"/>
  </r>
  <r>
    <s v="Invoice"/>
    <x v="72"/>
    <s v="491 APPLEBY"/>
    <s v="GREENSAVER"/>
    <m/>
    <m/>
    <m/>
    <s v="11001 · Accounts Receivable"/>
    <n v="220"/>
  </r>
  <r>
    <s v="Invoice"/>
    <x v="73"/>
    <s v="80 CARLAUR"/>
    <s v="GREENSAVER"/>
    <m/>
    <m/>
    <m/>
    <s v="11001 · Accounts Receivable"/>
    <n v="535"/>
  </r>
  <r>
    <s v="Invoice"/>
    <x v="74"/>
    <s v="0962"/>
    <s v="RETROFIT -GREENSAVER"/>
    <m/>
    <m/>
    <m/>
    <s v="11001 · Accounts Receivable"/>
    <n v="800.65"/>
  </r>
  <r>
    <s v="Invoice"/>
    <x v="75"/>
    <s v="300 GUELPH"/>
    <s v="GREENSAVER"/>
    <m/>
    <m/>
    <m/>
    <s v="11001 · Accounts Receivable"/>
    <n v="825.19"/>
  </r>
  <r>
    <s v="Invoice"/>
    <x v="75"/>
    <s v="4580 EASTGA"/>
    <s v="GREENSAVER"/>
    <m/>
    <m/>
    <m/>
    <s v="11001 · Accounts Receivable"/>
    <n v="538.91999999999996"/>
  </r>
  <r>
    <s v="Invoice"/>
    <x v="75"/>
    <s v="1063 MCNICO"/>
    <s v="GREENSAVER"/>
    <m/>
    <m/>
    <m/>
    <s v="11001 · Accounts Receivable"/>
    <n v="769.56"/>
  </r>
  <r>
    <s v="Invoice"/>
    <x v="75"/>
    <s v="94 DUNDAS"/>
    <s v="GREENSAVER"/>
    <m/>
    <m/>
    <m/>
    <s v="11001 · Accounts Receivable"/>
    <n v="219.55"/>
  </r>
  <r>
    <s v="Invoice"/>
    <x v="75"/>
    <s v="280 DERRY"/>
    <s v="GREENSAVER"/>
    <m/>
    <m/>
    <m/>
    <s v="11001 · Accounts Receivable"/>
    <n v="70"/>
  </r>
  <r>
    <s v="Invoice"/>
    <x v="75"/>
    <s v="23546 WOOD"/>
    <s v="GREENSAVER"/>
    <m/>
    <m/>
    <m/>
    <s v="11001 · Accounts Receivable"/>
    <n v="920.55"/>
  </r>
  <r>
    <s v="Invoice"/>
    <x v="76"/>
    <s v="270 KINGSWA"/>
    <s v="GREENSAVER"/>
    <m/>
    <m/>
    <m/>
    <s v="11001 · Accounts Receivable"/>
    <n v="352.1"/>
  </r>
  <r>
    <s v="Invoice"/>
    <x v="77"/>
    <s v="UNIT 201B"/>
    <s v="GREENSAVER"/>
    <m/>
    <m/>
    <m/>
    <s v="11001 · Accounts Receivable"/>
    <n v="971.52"/>
  </r>
  <r>
    <s v="Invoice"/>
    <x v="77"/>
    <s v="UNIT 201B F"/>
    <s v="GREENSAVER"/>
    <m/>
    <m/>
    <m/>
    <s v="11001 · Accounts Receivable"/>
    <n v="971.52"/>
  </r>
  <r>
    <s v="Invoice"/>
    <x v="78"/>
    <s v="0961"/>
    <s v="BAYVIEW STEELS AUTO COLLISION"/>
    <s v="20% ADVANCED PAYMENT FOR THE JOB # 0510-2225 DATED(10/06-2022)"/>
    <m/>
    <m/>
    <s v="11001 · Accounts Receivable"/>
    <n v="1970"/>
  </r>
  <r>
    <s v="Invoice"/>
    <x v="78"/>
    <s v="0962"/>
    <s v="HYUNDAI"/>
    <s v="SCOPE OF WORK :  OPTION 1:    SUPPLY AND INSTALL(2'X4') LED FLAT PANELS 5000K COLOR TEMP.  INCLU..."/>
    <m/>
    <m/>
    <s v="11001 · Accounts Receivable"/>
    <n v="4350"/>
  </r>
  <r>
    <s v="Invoice"/>
    <x v="78"/>
    <s v="0962"/>
    <s v="HYUNDAI"/>
    <s v="PAYMENT TERMS:  * FIRST PAYMENT: 20% UPON APPROVAL.  * SECOND PAYMENT : 40% UPON RECEIVING  MATE..."/>
    <m/>
    <m/>
    <s v="11001 · Accounts Receivable"/>
    <n v="0"/>
  </r>
  <r>
    <s v="Invoice"/>
    <x v="78"/>
    <s v="51 LEBOVIC"/>
    <s v="GREENSAVER"/>
    <m/>
    <m/>
    <m/>
    <s v="11001 · Accounts Receivable"/>
    <n v="220"/>
  </r>
  <r>
    <s v="Invoice"/>
    <x v="78"/>
    <s v="2105 MIDLAN"/>
    <s v="GREENSAVER"/>
    <m/>
    <m/>
    <m/>
    <s v="11001 · Accounts Receivable"/>
    <n v="1686.51"/>
  </r>
  <r>
    <s v="Invoice"/>
    <x v="79"/>
    <s v="0963"/>
    <s v="ROYAL PLAN &amp; PUNJAB RESTURANT"/>
    <s v="BASED ON THE ESTIMATE #0510-2223 THERE IS A 20% AMOUNT DUE THAT NEEDS TO BE PAID"/>
    <m/>
    <m/>
    <s v="11001 · Accounts Receivable"/>
    <n v="9000"/>
  </r>
  <r>
    <s v="Invoice"/>
    <x v="79"/>
    <s v="0964"/>
    <s v="CANMAR"/>
    <s v="BASED ON ESTIMATE #0510-2212 THERE IS A 40% AMOUNT DUE ( MATERIAL RECEIVED ) FOR THE SECOND PAYM..."/>
    <m/>
    <m/>
    <s v="11001 · Accounts Receivable"/>
    <n v="6400"/>
  </r>
  <r>
    <s v="Invoice"/>
    <x v="79"/>
    <s v="0700"/>
    <s v="RETROFIT -GREENSAVER"/>
    <m/>
    <m/>
    <m/>
    <s v="11001 · Accounts Receivable"/>
    <n v="185.1"/>
  </r>
  <r>
    <s v="Invoice"/>
    <x v="79"/>
    <s v="0510-2222"/>
    <s v="POLAT AUTO SERVICE"/>
    <m/>
    <m/>
    <m/>
    <s v="11001 · Accounts Receivable"/>
    <n v="185.09"/>
  </r>
  <r>
    <s v="Invoice"/>
    <x v="80"/>
    <s v="AC80004-22"/>
    <s v="MY MARUTI CONSTRUCTION"/>
    <s v="Electrical installation as per drawings"/>
    <m/>
    <m/>
    <s v="11001 · Accounts Receivable"/>
    <n v="16000"/>
  </r>
  <r>
    <s v="Invoice"/>
    <x v="80"/>
    <s v="AC80004-22"/>
    <s v="MY MARUTI CONSTRUCTION"/>
    <s v="Automatic door w/c"/>
    <m/>
    <m/>
    <s v="11001 · Accounts Receivable"/>
    <n v="2750"/>
  </r>
  <r>
    <s v="Invoice"/>
    <x v="80"/>
    <s v="AC80004-22"/>
    <s v="MY MARUTI CONSTRUCTION"/>
    <s v="Automatic front door"/>
    <m/>
    <m/>
    <s v="11001 · Accounts Receivable"/>
    <n v="1600"/>
  </r>
  <r>
    <s v="Invoice"/>
    <x v="80"/>
    <s v="AC80004-22"/>
    <s v="MY MARUTI CONSTRUCTION"/>
    <s v="1 Hand dryer"/>
    <m/>
    <m/>
    <s v="11001 · Accounts Receivable"/>
    <n v="500"/>
  </r>
  <r>
    <s v="Invoice"/>
    <x v="80"/>
    <s v="AC80004-22"/>
    <s v="MY MARUTI CONSTRUCTION"/>
    <s v="E.S.A. Permit included"/>
    <m/>
    <m/>
    <s v="11001 · Accounts Receivable"/>
    <n v="0"/>
  </r>
  <r>
    <s v="Invoice"/>
    <x v="81"/>
    <s v="9-27-22AC1"/>
    <s v="ROLLER SKATING PLACE"/>
    <s v="FIRST PAYMENT: 20% UPON APPROVAL."/>
    <m/>
    <m/>
    <s v="11001 · Accounts Receivable"/>
    <n v="1120"/>
  </r>
  <r>
    <s v="Invoice"/>
    <x v="81"/>
    <s v="0963"/>
    <s v="MY MARUTI CONSTRUCTION"/>
    <s v="FINAL PAYMENT DUE FOR BICTON LOCATION"/>
    <m/>
    <m/>
    <s v="11001 · Accounts Receivable"/>
    <n v="11100"/>
  </r>
  <r>
    <s v="Invoice"/>
    <x v="81"/>
    <s v="0974"/>
    <s v="PEEL DISTRICT SCHOOL BOARD"/>
    <s v="SUPPLYING MATERIALS / EQUIPMENT 20%"/>
    <m/>
    <m/>
    <s v="11001 · Accounts Receivable"/>
    <n v="40000"/>
  </r>
  <r>
    <s v="Invoice"/>
    <x v="81"/>
    <s v="0974"/>
    <s v="PEEL DISTRICT SCHOOL BOARD"/>
    <s v="LABOUR 20%"/>
    <m/>
    <m/>
    <s v="11001 · Accounts Receivable"/>
    <n v="24000"/>
  </r>
  <r>
    <s v="Invoice"/>
    <x v="81"/>
    <s v="0974"/>
    <s v="PEEL DISTRICT SCHOOL BOARD"/>
    <s v="WARRANTY / ACCESS 100%"/>
    <m/>
    <m/>
    <s v="11001 · Accounts Receivable"/>
    <n v="15000"/>
  </r>
  <r>
    <s v="Invoice"/>
    <x v="81"/>
    <s v="0974"/>
    <s v="PEEL DISTRICT SCHOOL BOARD"/>
    <s v="DEMOLITION 43%"/>
    <m/>
    <m/>
    <s v="11001 · Accounts Receivable"/>
    <n v="15000"/>
  </r>
  <r>
    <s v="Invoice"/>
    <x v="81"/>
    <s v="0974"/>
    <s v="PEEL DISTRICT SCHOOL BOARD"/>
    <s v="RECYCLING 33%"/>
    <m/>
    <m/>
    <s v="11001 · Accounts Receivable"/>
    <n v="3000"/>
  </r>
  <r>
    <s v="Invoice"/>
    <x v="81"/>
    <s v="0974"/>
    <s v="PEEL DISTRICT SCHOOL BOARD"/>
    <s v="CEILING MATERIALS 100%"/>
    <m/>
    <m/>
    <s v="11001 · Accounts Receivable"/>
    <n v="16000"/>
  </r>
  <r>
    <s v="Invoice"/>
    <x v="81"/>
    <s v="0974"/>
    <s v="PEEL DISTRICT SCHOOL BOARD"/>
    <s v="10%"/>
    <m/>
    <m/>
    <s v="11001 · Accounts Receivable"/>
    <n v="-11300"/>
  </r>
  <r>
    <s v="Invoice"/>
    <x v="82"/>
    <s v="0973"/>
    <s v="BAYVIEW STEELS AUTO COLLISION"/>
    <s v="FINAL PAYMENT  80% UPON FINISHING"/>
    <m/>
    <m/>
    <s v="11001 · Accounts Receivable"/>
    <n v="7880"/>
  </r>
  <r>
    <s v="Invoice"/>
    <x v="83"/>
    <s v="0510-2228"/>
    <s v="GOLDMOOR INC"/>
    <s v="SCOPE OF WORK   OPTION 2  * REMOVE THE SKYLIGHT (4) EXISTING FIXTURES  * SUPPLY AND INSTALL 8 ( ..."/>
    <m/>
    <m/>
    <s v="11001 · Accounts Receivable"/>
    <n v="0"/>
  </r>
  <r>
    <s v="Invoice"/>
    <x v="83"/>
    <s v="0510-2228"/>
    <s v="GOLDMOOR INC"/>
    <s v="OFFER INCLUDED:  * ALL MATERIAL INCLUDING ADAPTERS AND FITTING PLUS LABOUR.  * SCISSOR LIFT FEES..."/>
    <m/>
    <m/>
    <s v="11001 · Accounts Receivable"/>
    <n v="3410"/>
  </r>
  <r>
    <s v="Invoice"/>
    <x v="83"/>
    <s v="0510-2229"/>
    <s v="MOUNTAIN HOMES"/>
    <s v="SCOPE OF WORK :"/>
    <m/>
    <m/>
    <s v="11001 · Accounts Receivable"/>
    <n v="0"/>
  </r>
  <r>
    <s v="Invoice"/>
    <x v="83"/>
    <s v="0510-2229"/>
    <s v="MOUNTAIN HOMES"/>
    <s v="1- SUPPLY AND INSTALL 14*2 CABLE IN THE PLAZA (45M)"/>
    <m/>
    <m/>
    <s v="11001 · Accounts Receivable"/>
    <n v="1125"/>
  </r>
  <r>
    <s v="Credit Memo"/>
    <x v="84"/>
    <s v="0975c"/>
    <s v="BAR BURRITTO -WINDSOR"/>
    <s v="credit memo against Invoice dated August 3, 2022"/>
    <m/>
    <m/>
    <s v="11001 · Accounts Receivable"/>
    <n v="-26000"/>
  </r>
  <r>
    <s v="Credit Memo"/>
    <x v="84"/>
    <s v="0977c"/>
    <s v="MANAR"/>
    <s v="credit memo to adjust Bar Burrito revenue vs. Manar revenue to actual"/>
    <m/>
    <m/>
    <s v="11001 · Accounts Receivable"/>
    <n v="-5000"/>
  </r>
  <r>
    <s v="Credit Memo"/>
    <x v="84"/>
    <s v="0978c"/>
    <s v="CANMAR"/>
    <m/>
    <m/>
    <m/>
    <s v="11001 · Accounts Receivable"/>
    <n v="-8150.44"/>
  </r>
  <r>
    <s v="Credit Memo"/>
    <x v="84"/>
    <s v="0979c"/>
    <s v="GOLDMOOR INC"/>
    <s v="SCOPE OF WORK   OPTION 2  * REMOVE THE SKYLIGHT (4) EXISTING FIXTURES  * SUPPLY AND INSTALL 8 ( ..."/>
    <m/>
    <m/>
    <s v="11001 · Accounts Receivable"/>
    <n v="0"/>
  </r>
  <r>
    <s v="Credit Memo"/>
    <x v="84"/>
    <s v="0979c"/>
    <s v="GOLDMOOR INC"/>
    <s v="OFFER INCLUDED:  * ALL MATERIAL INCLUDING ADAPTERS AND FITTING PLUS LABOUR.  * SCISSOR LIFT FEES..."/>
    <m/>
    <m/>
    <s v="11001 · Accounts Receivable"/>
    <n v="-3410"/>
  </r>
  <r>
    <s v="Credit Memo"/>
    <x v="84"/>
    <s v="0980c"/>
    <s v="GOLDMOOR INC"/>
    <m/>
    <m/>
    <m/>
    <s v="11001 · Accounts Receivable"/>
    <n v="-17200"/>
  </r>
  <r>
    <s v="Credit Memo"/>
    <x v="84"/>
    <s v="0981c"/>
    <s v="CANMAR"/>
    <s v="SCOPE OF WORK:   ELECTRICAL INSTALLATION AS PER THE DRAWINGS   THE OFFER EXCLUDES:   "/>
    <m/>
    <m/>
    <s v="11001 · Accounts Receivable"/>
    <n v="0"/>
  </r>
  <r>
    <s v="Credit Memo"/>
    <x v="84"/>
    <s v="0981c"/>
    <s v="CANMAR"/>
    <s v="1- AUTOMATIC DOORS INSTALLATION   2- COMPUTER CABLES INSTALLATION  3- MAIN TRANSFORMER"/>
    <m/>
    <m/>
    <s v="11001 · Accounts Receivable"/>
    <n v="0"/>
  </r>
  <r>
    <s v="Credit Memo"/>
    <x v="84"/>
    <s v="0981c"/>
    <s v="CANMAR"/>
    <m/>
    <m/>
    <m/>
    <s v="11001 · Accounts Receivable"/>
    <n v="-20000"/>
  </r>
  <r>
    <s v="Credit Memo"/>
    <x v="84"/>
    <s v="0982c"/>
    <s v="MY MARUTI CONSTRUCTION"/>
    <m/>
    <m/>
    <m/>
    <s v="11001 · Accounts Receivable"/>
    <n v="-21750"/>
  </r>
  <r>
    <s v="Credit Memo"/>
    <x v="84"/>
    <s v="0983c"/>
    <s v="ROYAL PLAN &amp; PUNJAB RESTURANT"/>
    <s v="SCOPE OF WORK :"/>
    <m/>
    <m/>
    <s v="11001 · Accounts Receivable"/>
    <n v="-45000"/>
  </r>
  <r>
    <s v="Credit Memo"/>
    <x v="84"/>
    <s v="0983c"/>
    <s v="ROYAL PLAN &amp; PUNJAB RESTURANT"/>
    <s v="PRICE INCLUDED :"/>
    <m/>
    <m/>
    <s v="11001 · Accounts Receivable"/>
    <n v="0"/>
  </r>
  <r>
    <s v="Credit Memo"/>
    <x v="84"/>
    <s v="0983c"/>
    <s v="ROYAL PLAN &amp; PUNJAB RESTURANT"/>
    <s v="PAYMENT TERMS:  * FIRST PAYMENT: 20% UPON APPROVAL.  * SECOND PAYMENT : 40% UPON RECEIVING  MATE..."/>
    <m/>
    <m/>
    <s v="11001 · Accounts Receivable"/>
    <n v="0"/>
  </r>
  <r>
    <s v="Credit Memo"/>
    <x v="84"/>
    <s v="0984c"/>
    <s v="wael"/>
    <s v="-ARRANGING ALL CABLES AND PANELS  -REMOVING AND RECYCLING ALL UNWANTED WIRES AND RECEPTACLES.  -..."/>
    <m/>
    <m/>
    <s v="11001 · Accounts Receivable"/>
    <n v="0"/>
  </r>
  <r>
    <s v="Credit Memo"/>
    <x v="84"/>
    <s v="0984c"/>
    <s v="wael"/>
    <s v="-2 DAYS WORKING LABOUR AND MATERIAL   -OPTIONS ( NOT INCLUDED IN THE ORIGINAL OFFER ).  -REMOVE ..."/>
    <m/>
    <m/>
    <s v="11001 · Accounts Receivable"/>
    <n v="-1600"/>
  </r>
  <r>
    <s v="Credit Memo"/>
    <x v="84"/>
    <s v="0984c"/>
    <s v="wael"/>
    <s v="-REMOVING FLUORESCENT 8' FIXTURES IN THE BACK AREA ( NO JUNK ). LABOUR AND MATERIAL ."/>
    <m/>
    <m/>
    <s v="11001 · Accounts Receivable"/>
    <n v="-400"/>
  </r>
  <r>
    <s v="Credit Memo"/>
    <x v="84"/>
    <s v="0984c"/>
    <s v="wael"/>
    <s v="-REPLACING ALL SWITCHES AND RECEPTACLES IN THE OFFICES AREA. LABOUR AND MATERIAL."/>
    <m/>
    <m/>
    <s v="11001 · Accounts Receivable"/>
    <n v="-600"/>
  </r>
  <r>
    <s v="Credit Memo"/>
    <x v="84"/>
    <s v="0984c"/>
    <s v="wael"/>
    <s v="-EXIT SIGNS AND EMERGENCY LIGHTS IN THE WHOLE AREA ACCORDING TO THE ELECTRICAL BUILDING CODE IN ..."/>
    <m/>
    <m/>
    <s v="11001 · Accounts Receivable"/>
    <n v="-2500"/>
  </r>
  <r>
    <s v="Invoice"/>
    <x v="84"/>
    <s v="0985c"/>
    <s v="MY MARUTI CONSTRUCTION"/>
    <s v="PRICE DIFFERENCE IN AUTOMATIC DOOR W/C AND AUTOMATIC FRONT DOOR"/>
    <m/>
    <m/>
    <s v="11001 · Accounts Receivable"/>
    <n v="650"/>
  </r>
  <r>
    <s v="Invoice"/>
    <x v="85"/>
    <s v="0510-2214"/>
    <s v="MOUNTAIN HOMES"/>
    <s v="SCOPE OF WORK :"/>
    <m/>
    <m/>
    <s v="11001 · Accounts Receivable"/>
    <n v="0"/>
  </r>
  <r>
    <s v="Invoice"/>
    <x v="85"/>
    <s v="0510-2214"/>
    <s v="MOUNTAIN HOMES"/>
    <s v="1- SUPPLY AND INSTALL 14*2 CABLE IN THE PLAZA (45M)"/>
    <m/>
    <m/>
    <s v="11001 · Accounts Receivable"/>
    <n v="1125"/>
  </r>
  <r>
    <s v="Invoice"/>
    <x v="86"/>
    <s v="0510-2215"/>
    <s v="NADEEM AHMED"/>
    <s v="SCOPE OF WORK:  EXTRA RECEPTACLES AND ELECTRICAL WORK"/>
    <m/>
    <m/>
    <s v="11001 · Accounts Receivable"/>
    <n v="3500"/>
  </r>
  <r>
    <s v="Invoice"/>
    <x v="87"/>
    <s v="0510-2220"/>
    <s v="MOUNTAIN HOMES"/>
    <s v="ALL ELECTRIC WORK ACCORDING TO THE DRAWING"/>
    <m/>
    <m/>
    <s v="11001 · Accounts Receivable"/>
    <n v="19500"/>
  </r>
  <r>
    <s v="Invoice"/>
    <x v="88"/>
    <s v="0510-2216"/>
    <s v="MITS"/>
    <s v="1- SUPPLY AND INSTALL 9-8' LED- 90W - 5000K LIGHT FIXTURES IN DIFFERENT AREAS INSIDE THE WAREHOU..."/>
    <m/>
    <m/>
    <s v="11001 · Accounts Receivable"/>
    <n v="5400"/>
  </r>
  <r>
    <s v="Invoice"/>
    <x v="88"/>
    <s v="0510-2216"/>
    <s v="MITS"/>
    <s v="OFFER INCLUDES :    * SCISSOR LIFT    * ESA INSPECTION     * LABOUR AND MATERIAL PLUS ACCESSORIE..."/>
    <m/>
    <m/>
    <s v="11001 · Accounts Receivable"/>
    <n v="0"/>
  </r>
  <r>
    <s v="Invoice"/>
    <x v="89"/>
    <s v="0510-2218"/>
    <s v="MOUNTAIN HOMES"/>
    <s v="SUPPLY &amp; INSTALL AUTOMATIC DOOR"/>
    <m/>
    <m/>
    <s v="11001 · Accounts Receivable"/>
    <n v="3100"/>
  </r>
  <r>
    <s v="Invoice"/>
    <x v="90"/>
    <s v="0510-2221"/>
    <s v="peaksaver"/>
    <s v="REMOVAL"/>
    <m/>
    <m/>
    <s v="11001 · Accounts Receivable"/>
    <n v="1200"/>
  </r>
  <r>
    <s v="Invoice"/>
    <x v="91"/>
    <s v="0510-2224"/>
    <s v="VIA CANADA HOLDING GROUP"/>
    <s v="FIRST PAYMENT"/>
    <m/>
    <m/>
    <s v="11001 · Accounts Receivable"/>
    <n v="5752.21"/>
  </r>
  <r>
    <s v="Invoice"/>
    <x v="92"/>
    <s v="0510-2226"/>
    <s v="TRINITY DRUG MART"/>
    <m/>
    <m/>
    <m/>
    <s v="11001 · Accounts Receivable"/>
    <n v="300"/>
  </r>
  <r>
    <s v="Invoice"/>
    <x v="92"/>
    <s v="0510-2227"/>
    <s v="MARBLE SLAB CREAMERY GUELPH"/>
    <s v="SUPPLY AND INSTALL (2*4) LED FLAT PANELS 4000K"/>
    <m/>
    <m/>
    <s v="11001 · Accounts Receivable"/>
    <n v="2220"/>
  </r>
  <r>
    <s v="Invoice"/>
    <x v="93"/>
    <s v="0510-2223"/>
    <s v="PREET KHALSA"/>
    <s v="FIRST PAYMENT"/>
    <m/>
    <m/>
    <s v="11001 · Accounts Receivable"/>
    <n v="1769.91"/>
  </r>
  <r>
    <s v="Invoice"/>
    <x v="93"/>
    <s v="0510-2225"/>
    <s v="VIA CANADA HOLDING GROUP"/>
    <s v="FINAL PAYMENT"/>
    <m/>
    <m/>
    <s v="11001 · Accounts Receivable"/>
    <n v="5247.69"/>
  </r>
  <r>
    <s v="Invoice"/>
    <x v="94"/>
    <s v="0510-2230"/>
    <s v="CANMAR"/>
    <s v="SECOND PAYMENT FOR THIS JOB"/>
    <m/>
    <m/>
    <s v="11001 · Accounts Receivable"/>
    <n v="6500"/>
  </r>
  <r>
    <s v="Invoice"/>
    <x v="95"/>
    <s v="0510-2231"/>
    <s v="CANMAR"/>
    <s v="AUTOMATION PANEL AS PER THE QUOTATION"/>
    <m/>
    <m/>
    <s v="11001 · Accounts Receivable"/>
    <n v="1200"/>
  </r>
  <r>
    <s v="Invoice"/>
    <x v="95"/>
    <s v="0510-2232"/>
    <s v="MY MARUTI CONSTRUCTION"/>
    <s v="FINAL PAYMENT"/>
    <m/>
    <m/>
    <s v="11001 · Accounts Receivable"/>
    <n v="9376.11"/>
  </r>
  <r>
    <s v="Invoice"/>
    <x v="96"/>
    <s v="0510-2233"/>
    <s v="VIA CANADA HOLDING GROUP"/>
    <s v="SCOPE OF WORK :  ALL ELECTRICAL WORK ACCORDING TO THE DRAWING .  "/>
    <m/>
    <m/>
    <s v="11001 · Accounts Receivable"/>
    <n v="20000"/>
  </r>
  <r>
    <s v="Invoice"/>
    <x v="96"/>
    <s v="0510-2233"/>
    <s v="VIA CANADA HOLDING GROUP"/>
    <s v="PAYMENT TERMS:  * FIRST PAYMENT: 20% UPON APPROVAL.  * SECOND PAYMENT : 40% UPON RECEIVING  MATE..."/>
    <m/>
    <m/>
    <s v="11001 · Accounts Receivable"/>
    <n v="0"/>
  </r>
  <r>
    <s v="Invoice"/>
    <x v="97"/>
    <s v="0510-2234"/>
    <s v="CANMAR"/>
    <s v="FINAL PAYMENT FOR LONDON JOB LOCATED AT ( 170 ADELAIDE ST ) LONDON ONTARIO"/>
    <m/>
    <m/>
    <s v="11001 · Accounts Receivable"/>
    <n v="71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4">
  <r>
    <x v="0"/>
    <m/>
    <m/>
    <x v="0"/>
    <m/>
    <m/>
    <m/>
    <m/>
    <m/>
  </r>
  <r>
    <x v="0"/>
    <m/>
    <m/>
    <x v="0"/>
    <m/>
    <m/>
    <m/>
    <m/>
    <m/>
  </r>
  <r>
    <x v="0"/>
    <m/>
    <m/>
    <x v="0"/>
    <m/>
    <m/>
    <m/>
    <m/>
    <m/>
  </r>
  <r>
    <x v="1"/>
    <d v="2022-04-05T00:00:00"/>
    <s v="AC 80001-22"/>
    <x v="1"/>
    <m/>
    <m/>
    <m/>
    <s v="11001 · Accounts Receivable"/>
    <n v="21750"/>
  </r>
  <r>
    <x v="1"/>
    <d v="2022-04-11T00:00:00"/>
    <s v="AC 80003-22"/>
    <x v="2"/>
    <m/>
    <m/>
    <m/>
    <s v="11001 · Accounts Receivable"/>
    <n v="2700"/>
  </r>
  <r>
    <x v="1"/>
    <d v="2022-04-11T00:00:00"/>
    <s v="AC 80004-22"/>
    <x v="3"/>
    <m/>
    <m/>
    <m/>
    <s v="11001 · Accounts Receivable"/>
    <n v="1750"/>
  </r>
  <r>
    <x v="1"/>
    <d v="2022-04-27T00:00:00"/>
    <s v="AC0427-22"/>
    <x v="4"/>
    <m/>
    <m/>
    <m/>
    <s v="11001 · Accounts Receivable"/>
    <n v="17000"/>
  </r>
  <r>
    <x v="1"/>
    <d v="2022-04-27T00:00:00"/>
    <s v="AC0427-22"/>
    <x v="4"/>
    <m/>
    <m/>
    <m/>
    <s v="11001 · Accounts Receivable"/>
    <n v="4000"/>
  </r>
  <r>
    <x v="1"/>
    <d v="2022-04-29T00:00:00"/>
    <s v="AC 041922-3"/>
    <x v="5"/>
    <s v="2580 shepard ave -9500 total job +hst"/>
    <m/>
    <m/>
    <s v="11001 · Accounts Receivable"/>
    <n v="9500"/>
  </r>
  <r>
    <x v="1"/>
    <d v="2022-04-29T00:00:00"/>
    <s v="AC 0429-22"/>
    <x v="6"/>
    <s v="-Installation of 7 RAB projectors.  -Pvc pipes, boxes wp(weather proof), T 90 wires, breakers.  ..."/>
    <m/>
    <m/>
    <s v="11001 · Accounts Receivable"/>
    <n v="7286.18"/>
  </r>
  <r>
    <x v="1"/>
    <d v="2022-04-29T00:00:00"/>
    <s v="AC 0429-22"/>
    <x v="6"/>
    <s v="-10% Discount"/>
    <m/>
    <m/>
    <s v="11001 · Accounts Receivable"/>
    <n v="-728.62"/>
  </r>
  <r>
    <x v="1"/>
    <d v="2022-05-31T00:00:00"/>
    <s v="AC0427-23"/>
    <x v="7"/>
    <s v="Removals"/>
    <m/>
    <m/>
    <s v="11001 · Accounts Receivable"/>
    <n v="975"/>
  </r>
  <r>
    <x v="1"/>
    <d v="2022-06-03T00:00:00"/>
    <s v="AC 0224"/>
    <x v="8"/>
    <m/>
    <m/>
    <m/>
    <s v="11001 · Accounts Receivable"/>
    <n v="1495.7"/>
  </r>
  <r>
    <x v="1"/>
    <d v="2022-06-06T00:00:00"/>
    <s v="AC 062422"/>
    <x v="9"/>
    <m/>
    <m/>
    <m/>
    <s v="11001 · Accounts Receivable"/>
    <n v="636"/>
  </r>
  <r>
    <x v="1"/>
    <d v="2022-06-06T00:00:00"/>
    <s v="AC M-160"/>
    <x v="9"/>
    <m/>
    <m/>
    <m/>
    <s v="11001 · Accounts Receivable"/>
    <n v="632.54999999999995"/>
  </r>
  <r>
    <x v="1"/>
    <d v="2022-06-06T00:00:00"/>
    <s v="AC L-256"/>
    <x v="9"/>
    <m/>
    <m/>
    <m/>
    <s v="11001 · Accounts Receivable"/>
    <n v="619.6"/>
  </r>
  <r>
    <x v="1"/>
    <d v="2022-06-06T00:00:00"/>
    <s v="AC L-755"/>
    <x v="9"/>
    <m/>
    <m/>
    <m/>
    <s v="11001 · Accounts Receivable"/>
    <n v="732.23"/>
  </r>
  <r>
    <x v="1"/>
    <d v="2022-06-07T00:00:00"/>
    <s v="AC 0951"/>
    <x v="8"/>
    <m/>
    <m/>
    <m/>
    <s v="11001 · Accounts Receivable"/>
    <n v="200"/>
  </r>
  <r>
    <x v="1"/>
    <d v="2022-06-07T00:00:00"/>
    <s v="AC 06-07-22"/>
    <x v="9"/>
    <m/>
    <m/>
    <m/>
    <s v="11001 · Accounts Receivable"/>
    <n v="390.96"/>
  </r>
  <r>
    <x v="1"/>
    <d v="2022-06-07T00:00:00"/>
    <s v="AC L-1004"/>
    <x v="9"/>
    <m/>
    <m/>
    <m/>
    <s v="11001 · Accounts Receivable"/>
    <n v="128.25"/>
  </r>
  <r>
    <x v="1"/>
    <d v="2022-06-07T00:00:00"/>
    <s v="0951"/>
    <x v="8"/>
    <m/>
    <m/>
    <m/>
    <s v="11001 · Accounts Receivable"/>
    <n v="200"/>
  </r>
  <r>
    <x v="1"/>
    <d v="2022-06-08T00:00:00"/>
    <s v="07-01-30AC"/>
    <x v="9"/>
    <m/>
    <m/>
    <m/>
    <s v="11001 · Accounts Receivable"/>
    <n v="128.25"/>
  </r>
  <r>
    <x v="1"/>
    <d v="2022-06-10T00:00:00"/>
    <s v="AC 06-10-22"/>
    <x v="9"/>
    <m/>
    <m/>
    <m/>
    <s v="11001 · Accounts Receivable"/>
    <n v="897.75"/>
  </r>
  <r>
    <x v="1"/>
    <d v="2022-06-13T00:00:00"/>
    <s v="AC06-132209"/>
    <x v="10"/>
    <s v="Churchill Meadows CC Mississauga - Supply and install 2 x “SPEC / IDAS – A7810 data loggers comp..."/>
    <m/>
    <m/>
    <s v="11001 · Accounts Receivable"/>
    <n v="8200"/>
  </r>
  <r>
    <x v="1"/>
    <d v="2022-06-13T00:00:00"/>
    <s v="AC 06-13-22"/>
    <x v="9"/>
    <m/>
    <m/>
    <m/>
    <s v="11001 · Accounts Receivable"/>
    <n v="813.02"/>
  </r>
  <r>
    <x v="1"/>
    <d v="2022-06-13T00:00:00"/>
    <s v="0692"/>
    <x v="8"/>
    <m/>
    <m/>
    <m/>
    <s v="11001 · Accounts Receivable"/>
    <n v="240"/>
  </r>
  <r>
    <x v="1"/>
    <d v="2022-06-14T00:00:00"/>
    <s v="AC 14-06-22"/>
    <x v="9"/>
    <m/>
    <m/>
    <m/>
    <s v="11001 · Accounts Receivable"/>
    <n v="395.41"/>
  </r>
  <r>
    <x v="1"/>
    <d v="2022-06-14T00:00:00"/>
    <s v="AC 14-06-23"/>
    <x v="9"/>
    <m/>
    <m/>
    <m/>
    <s v="11001 · Accounts Receivable"/>
    <n v="547.55999999999995"/>
  </r>
  <r>
    <x v="1"/>
    <d v="2022-06-15T00:00:00"/>
    <s v="AC 06-15-22"/>
    <x v="9"/>
    <m/>
    <m/>
    <m/>
    <s v="11001 · Accounts Receivable"/>
    <n v="576.84"/>
  </r>
  <r>
    <x v="1"/>
    <d v="2022-06-15T00:00:00"/>
    <s v="AC 06-06-22"/>
    <x v="9"/>
    <m/>
    <m/>
    <m/>
    <s v="11001 · Accounts Receivable"/>
    <n v="979.75"/>
  </r>
  <r>
    <x v="1"/>
    <d v="2022-06-15T00:00:00"/>
    <s v="AC 22-15-06"/>
    <x v="9"/>
    <m/>
    <m/>
    <m/>
    <s v="11001 · Accounts Receivable"/>
    <n v="844.12"/>
  </r>
  <r>
    <x v="1"/>
    <d v="2022-06-16T00:00:00"/>
    <s v="AC 06-16-22"/>
    <x v="9"/>
    <m/>
    <m/>
    <m/>
    <s v="11001 · Accounts Receivable"/>
    <n v="743.52"/>
  </r>
  <r>
    <x v="1"/>
    <d v="2022-06-16T00:00:00"/>
    <s v="ACL-249"/>
    <x v="9"/>
    <m/>
    <m/>
    <m/>
    <s v="11001 · Accounts Receivable"/>
    <n v="352.75"/>
  </r>
  <r>
    <x v="1"/>
    <d v="2022-06-20T00:00:00"/>
    <s v="AC 22-06-20"/>
    <x v="9"/>
    <m/>
    <m/>
    <m/>
    <s v="11001 · Accounts Receivable"/>
    <n v="645.54"/>
  </r>
  <r>
    <x v="1"/>
    <d v="2022-06-21T00:00:00"/>
    <s v="AC 0952"/>
    <x v="8"/>
    <m/>
    <m/>
    <m/>
    <s v="11001 · Accounts Receivable"/>
    <n v="250"/>
  </r>
  <r>
    <x v="1"/>
    <d v="2022-06-21T00:00:00"/>
    <s v="AC 0953"/>
    <x v="8"/>
    <m/>
    <m/>
    <m/>
    <s v="11001 · Accounts Receivable"/>
    <n v="250"/>
  </r>
  <r>
    <x v="1"/>
    <d v="2022-06-21T00:00:00"/>
    <s v="AC 06-21-22"/>
    <x v="9"/>
    <m/>
    <m/>
    <m/>
    <s v="11001 · Accounts Receivable"/>
    <n v="526.66"/>
  </r>
  <r>
    <x v="1"/>
    <d v="2022-06-21T00:00:00"/>
    <s v="0952"/>
    <x v="8"/>
    <m/>
    <m/>
    <m/>
    <s v="11001 · Accounts Receivable"/>
    <n v="250"/>
  </r>
  <r>
    <x v="1"/>
    <d v="2022-06-21T00:00:00"/>
    <s v="0953"/>
    <x v="8"/>
    <m/>
    <m/>
    <m/>
    <s v="11001 · Accounts Receivable"/>
    <n v="250"/>
  </r>
  <r>
    <x v="1"/>
    <d v="2022-06-24T00:00:00"/>
    <s v="AC 0903"/>
    <x v="8"/>
    <m/>
    <m/>
    <m/>
    <s v="11001 · Accounts Receivable"/>
    <n v="140"/>
  </r>
  <r>
    <x v="1"/>
    <d v="2022-06-24T00:00:00"/>
    <s v="AC 0904"/>
    <x v="8"/>
    <m/>
    <m/>
    <m/>
    <s v="11001 · Accounts Receivable"/>
    <n v="1839.95"/>
  </r>
  <r>
    <x v="1"/>
    <d v="2022-06-24T00:00:00"/>
    <s v="07-01-27AC"/>
    <x v="9"/>
    <m/>
    <m/>
    <m/>
    <s v="11001 · Accounts Receivable"/>
    <n v="765.56"/>
  </r>
  <r>
    <x v="1"/>
    <d v="2022-06-24T00:00:00"/>
    <s v="07-01-31AC"/>
    <x v="9"/>
    <m/>
    <m/>
    <m/>
    <s v="11001 · Accounts Receivable"/>
    <n v="632.54999999999995"/>
  </r>
  <r>
    <x v="1"/>
    <d v="2022-06-24T00:00:00"/>
    <s v="0903"/>
    <x v="8"/>
    <m/>
    <m/>
    <m/>
    <s v="11001 · Accounts Receivable"/>
    <n v="140"/>
  </r>
  <r>
    <x v="1"/>
    <d v="2022-06-24T00:00:00"/>
    <s v="0904"/>
    <x v="8"/>
    <m/>
    <m/>
    <m/>
    <s v="11001 · Accounts Receivable"/>
    <n v="1839.95"/>
  </r>
  <r>
    <x v="1"/>
    <d v="2022-06-27T00:00:00"/>
    <s v="AC 0694"/>
    <x v="8"/>
    <m/>
    <m/>
    <m/>
    <s v="11001 · Accounts Receivable"/>
    <n v="889.84"/>
  </r>
  <r>
    <x v="1"/>
    <d v="2022-06-27T00:00:00"/>
    <s v="0694"/>
    <x v="8"/>
    <m/>
    <m/>
    <m/>
    <s v="11001 · Accounts Receivable"/>
    <n v="889.84"/>
  </r>
  <r>
    <x v="1"/>
    <d v="2022-06-29T00:00:00"/>
    <s v="AC 0954"/>
    <x v="8"/>
    <m/>
    <m/>
    <m/>
    <s v="11001 · Accounts Receivable"/>
    <n v="1300"/>
  </r>
  <r>
    <x v="1"/>
    <d v="2022-06-29T00:00:00"/>
    <s v="0954"/>
    <x v="8"/>
    <m/>
    <m/>
    <m/>
    <s v="11001 · Accounts Receivable"/>
    <n v="1300"/>
  </r>
  <r>
    <x v="1"/>
    <d v="2022-07-01T00:00:00"/>
    <s v="07-01-22AC"/>
    <x v="11"/>
    <s v="AUTOMATION SYSTEM FOR EXHAUST FAN, MAKE UP AIR UNIT"/>
    <m/>
    <m/>
    <s v="11001 · Accounts Receivable"/>
    <n v="2500"/>
  </r>
  <r>
    <x v="1"/>
    <d v="2022-07-01T00:00:00"/>
    <s v="07-01-22AC"/>
    <x v="11"/>
    <s v="COMPUTER CABLE  AND ACCESSORIES"/>
    <m/>
    <m/>
    <s v="11001 · Accounts Receivable"/>
    <n v="58"/>
  </r>
  <r>
    <x v="1"/>
    <d v="2022-07-01T00:00:00"/>
    <s v="07-01-23AC"/>
    <x v="12"/>
    <s v="AUTOMATION SYSTEM INSTALL"/>
    <m/>
    <m/>
    <s v="11001 · Accounts Receivable"/>
    <n v="0"/>
  </r>
  <r>
    <x v="1"/>
    <d v="2022-07-01T00:00:00"/>
    <s v="07-01-23AC"/>
    <x v="12"/>
    <s v="RECONNECTING EMT"/>
    <m/>
    <m/>
    <s v="11001 · Accounts Receivable"/>
    <n v="0"/>
  </r>
  <r>
    <x v="1"/>
    <d v="2022-07-01T00:00:00"/>
    <s v="07-01-23AC"/>
    <x v="12"/>
    <m/>
    <m/>
    <m/>
    <s v="11001 · Accounts Receivable"/>
    <n v="2000"/>
  </r>
  <r>
    <x v="1"/>
    <d v="2022-07-01T00:00:00"/>
    <s v="0957"/>
    <x v="9"/>
    <m/>
    <m/>
    <m/>
    <s v="11001 · Accounts Receivable"/>
    <n v="562.54999999999995"/>
  </r>
  <r>
    <x v="1"/>
    <d v="2022-07-01T00:00:00"/>
    <s v="0959"/>
    <x v="9"/>
    <m/>
    <m/>
    <m/>
    <s v="11001 · Accounts Receivable"/>
    <n v="1044.08"/>
  </r>
  <r>
    <x v="1"/>
    <d v="2022-07-01T00:00:00"/>
    <s v="0962"/>
    <x v="9"/>
    <m/>
    <m/>
    <m/>
    <s v="11001 · Accounts Receivable"/>
    <n v="854.78"/>
  </r>
  <r>
    <x v="1"/>
    <d v="2022-07-01T00:00:00"/>
    <s v="0966"/>
    <x v="9"/>
    <m/>
    <m/>
    <m/>
    <s v="11001 · Accounts Receivable"/>
    <n v="732.14"/>
  </r>
  <r>
    <x v="1"/>
    <d v="2022-07-01T00:00:00"/>
    <s v="0967"/>
    <x v="9"/>
    <m/>
    <m/>
    <m/>
    <s v="11001 · Accounts Receivable"/>
    <n v="666.41"/>
  </r>
  <r>
    <x v="1"/>
    <d v="2022-07-01T00:00:00"/>
    <s v="0968"/>
    <x v="9"/>
    <m/>
    <m/>
    <m/>
    <s v="11001 · Accounts Receivable"/>
    <n v="423.12"/>
  </r>
  <r>
    <x v="1"/>
    <d v="2022-07-01T00:00:00"/>
    <s v="0970"/>
    <x v="9"/>
    <m/>
    <m/>
    <m/>
    <s v="11001 · Accounts Receivable"/>
    <n v="616.29999999999995"/>
  </r>
  <r>
    <x v="1"/>
    <d v="2022-07-01T00:00:00"/>
    <s v="0971"/>
    <x v="9"/>
    <m/>
    <m/>
    <m/>
    <s v="11001 · Accounts Receivable"/>
    <n v="443.8"/>
  </r>
  <r>
    <x v="1"/>
    <d v="2022-07-01T00:00:00"/>
    <s v="0973"/>
    <x v="9"/>
    <m/>
    <m/>
    <m/>
    <s v="11001 · Accounts Receivable"/>
    <n v="123.92"/>
  </r>
  <r>
    <x v="1"/>
    <d v="2022-07-01T00:00:00"/>
    <s v="0974"/>
    <x v="9"/>
    <m/>
    <m/>
    <m/>
    <s v="11001 · Accounts Receivable"/>
    <n v="546.26"/>
  </r>
  <r>
    <x v="1"/>
    <d v="2022-07-01T00:00:00"/>
    <s v="0975"/>
    <x v="9"/>
    <m/>
    <m/>
    <m/>
    <s v="11001 · Accounts Receivable"/>
    <n v="652.04999999999995"/>
  </r>
  <r>
    <x v="1"/>
    <d v="2022-07-01T00:00:00"/>
    <s v="0977"/>
    <x v="9"/>
    <m/>
    <m/>
    <m/>
    <s v="11001 · Accounts Receivable"/>
    <n v="802.14"/>
  </r>
  <r>
    <x v="1"/>
    <d v="2022-07-01T00:00:00"/>
    <s v="0978"/>
    <x v="9"/>
    <m/>
    <m/>
    <m/>
    <s v="11001 · Accounts Receivable"/>
    <n v="546.29999999999995"/>
  </r>
  <r>
    <x v="1"/>
    <d v="2022-07-01T00:00:00"/>
    <s v="0979"/>
    <x v="9"/>
    <m/>
    <m/>
    <m/>
    <s v="11001 · Accounts Receivable"/>
    <n v="546.29999999999995"/>
  </r>
  <r>
    <x v="1"/>
    <d v="2022-07-01T00:00:00"/>
    <s v="0980"/>
    <x v="8"/>
    <m/>
    <m/>
    <m/>
    <s v="11001 · Accounts Receivable"/>
    <n v="3009.5"/>
  </r>
  <r>
    <x v="1"/>
    <d v="2022-07-01T00:00:00"/>
    <s v="0981"/>
    <x v="8"/>
    <m/>
    <m/>
    <m/>
    <s v="11001 · Accounts Receivable"/>
    <n v="429.94"/>
  </r>
  <r>
    <x v="1"/>
    <d v="2022-07-01T00:00:00"/>
    <s v="0982"/>
    <x v="8"/>
    <m/>
    <m/>
    <m/>
    <s v="11001 · Accounts Receivable"/>
    <n v="552.61"/>
  </r>
  <r>
    <x v="1"/>
    <d v="2022-07-01T00:00:00"/>
    <s v="0983"/>
    <x v="8"/>
    <m/>
    <m/>
    <m/>
    <s v="11001 · Accounts Receivable"/>
    <n v="1207.6400000000001"/>
  </r>
  <r>
    <x v="1"/>
    <d v="2022-07-01T00:00:00"/>
    <s v="0984"/>
    <x v="8"/>
    <m/>
    <m/>
    <m/>
    <s v="11001 · Accounts Receivable"/>
    <n v="508.48"/>
  </r>
  <r>
    <x v="1"/>
    <d v="2022-07-01T00:00:00"/>
    <s v="0985"/>
    <x v="8"/>
    <m/>
    <m/>
    <m/>
    <s v="11001 · Accounts Receivable"/>
    <n v="2146.96"/>
  </r>
  <r>
    <x v="1"/>
    <d v="2022-07-01T00:00:00"/>
    <s v="0986"/>
    <x v="8"/>
    <m/>
    <m/>
    <m/>
    <s v="11001 · Accounts Receivable"/>
    <n v="1295.7"/>
  </r>
  <r>
    <x v="1"/>
    <d v="2022-07-01T00:00:00"/>
    <s v="0987"/>
    <x v="8"/>
    <m/>
    <m/>
    <m/>
    <s v="11001 · Accounts Receivable"/>
    <n v="1723.05"/>
  </r>
  <r>
    <x v="1"/>
    <d v="2022-07-01T00:00:00"/>
    <s v="1003"/>
    <x v="8"/>
    <s v="5-212 pellatt ave"/>
    <m/>
    <m/>
    <s v="11001 · Accounts Receivable"/>
    <n v="1500"/>
  </r>
  <r>
    <x v="1"/>
    <d v="2022-07-01T00:00:00"/>
    <s v="1003"/>
    <x v="8"/>
    <s v="1 wexford"/>
    <m/>
    <m/>
    <s v="11001 · Accounts Receivable"/>
    <n v="805.6"/>
  </r>
  <r>
    <x v="1"/>
    <d v="2022-07-01T00:00:00"/>
    <s v="ac22-07-18"/>
    <x v="9"/>
    <m/>
    <m/>
    <m/>
    <s v="11001 · Accounts Receivable"/>
    <n v="930.58"/>
  </r>
  <r>
    <x v="1"/>
    <d v="2022-07-01T00:00:00"/>
    <s v="ac22-07-19"/>
    <x v="9"/>
    <m/>
    <m/>
    <m/>
    <s v="11001 · Accounts Receivable"/>
    <n v="565.5"/>
  </r>
  <r>
    <x v="1"/>
    <d v="2022-07-01T00:00:00"/>
    <s v="ac22-07-20"/>
    <x v="9"/>
    <m/>
    <m/>
    <m/>
    <s v="11001 · Accounts Receivable"/>
    <n v="236.46"/>
  </r>
  <r>
    <x v="1"/>
    <d v="2022-07-01T00:00:00"/>
    <s v="AC L-1006"/>
    <x v="9"/>
    <m/>
    <m/>
    <m/>
    <s v="11001 · Accounts Receivable"/>
    <n v="546.29999999999995"/>
  </r>
  <r>
    <x v="1"/>
    <d v="2022-07-01T00:00:00"/>
    <s v="328 N RIVER"/>
    <x v="9"/>
    <m/>
    <m/>
    <m/>
    <s v="11001 · Accounts Receivable"/>
    <n v="500.58"/>
  </r>
  <r>
    <x v="1"/>
    <d v="2022-07-01T00:00:00"/>
    <s v="34B MCIN"/>
    <x v="9"/>
    <m/>
    <m/>
    <m/>
    <s v="11001 · Accounts Receivable"/>
    <n v="813.02"/>
  </r>
  <r>
    <x v="1"/>
    <d v="2022-07-01T00:00:00"/>
    <s v="2458 KINGST"/>
    <x v="9"/>
    <m/>
    <m/>
    <m/>
    <s v="11001 · Accounts Receivable"/>
    <n v="226.52"/>
  </r>
  <r>
    <x v="1"/>
    <d v="2022-07-01T00:00:00"/>
    <s v="21 ESSA"/>
    <x v="9"/>
    <m/>
    <m/>
    <m/>
    <s v="11001 · Accounts Receivable"/>
    <n v="867.44"/>
  </r>
  <r>
    <x v="1"/>
    <d v="2022-07-02T00:00:00"/>
    <s v="0988"/>
    <x v="9"/>
    <m/>
    <m/>
    <m/>
    <s v="11001 · Accounts Receivable"/>
    <n v="517.54999999999995"/>
  </r>
  <r>
    <x v="1"/>
    <d v="2022-07-02T00:00:00"/>
    <s v="0991"/>
    <x v="9"/>
    <m/>
    <m/>
    <m/>
    <s v="11001 · Accounts Receivable"/>
    <n v="863.29"/>
  </r>
  <r>
    <x v="1"/>
    <d v="2022-07-02T00:00:00"/>
    <s v="0992"/>
    <x v="9"/>
    <m/>
    <m/>
    <m/>
    <s v="11001 · Accounts Receivable"/>
    <n v="800.53"/>
  </r>
  <r>
    <x v="1"/>
    <d v="2022-07-02T00:00:00"/>
    <s v="0993"/>
    <x v="9"/>
    <m/>
    <m/>
    <m/>
    <s v="11001 · Accounts Receivable"/>
    <n v="546.29999999999995"/>
  </r>
  <r>
    <x v="1"/>
    <d v="2022-07-02T00:00:00"/>
    <s v="0994"/>
    <x v="9"/>
    <m/>
    <m/>
    <m/>
    <s v="11001 · Accounts Receivable"/>
    <n v="869.29"/>
  </r>
  <r>
    <x v="1"/>
    <d v="2022-07-02T00:00:00"/>
    <s v="0995"/>
    <x v="9"/>
    <m/>
    <m/>
    <m/>
    <s v="11001 · Accounts Receivable"/>
    <n v="1366.16"/>
  </r>
  <r>
    <x v="1"/>
    <d v="2022-07-02T00:00:00"/>
    <s v="0996"/>
    <x v="9"/>
    <m/>
    <m/>
    <m/>
    <s v="11001 · Accounts Receivable"/>
    <n v="1069.73"/>
  </r>
  <r>
    <x v="1"/>
    <d v="2022-07-02T00:00:00"/>
    <s v="0998"/>
    <x v="9"/>
    <m/>
    <m/>
    <m/>
    <s v="11001 · Accounts Receivable"/>
    <n v="92.94"/>
  </r>
  <r>
    <x v="1"/>
    <d v="2022-07-02T00:00:00"/>
    <s v="0999"/>
    <x v="9"/>
    <m/>
    <m/>
    <m/>
    <s v="11001 · Accounts Receivable"/>
    <n v="558.9"/>
  </r>
  <r>
    <x v="1"/>
    <d v="2022-07-02T00:00:00"/>
    <s v="1000"/>
    <x v="9"/>
    <m/>
    <m/>
    <m/>
    <s v="11001 · Accounts Receivable"/>
    <n v="873.45"/>
  </r>
  <r>
    <x v="1"/>
    <d v="2022-07-02T00:00:00"/>
    <s v="1001"/>
    <x v="9"/>
    <m/>
    <m/>
    <m/>
    <s v="11001 · Accounts Receivable"/>
    <n v="153.9"/>
  </r>
  <r>
    <x v="1"/>
    <d v="2022-07-02T00:00:00"/>
    <s v="AC L-1007"/>
    <x v="9"/>
    <m/>
    <m/>
    <m/>
    <s v="11001 · Accounts Receivable"/>
    <n v="476.2"/>
  </r>
  <r>
    <x v="1"/>
    <d v="2022-07-02T00:00:00"/>
    <s v="AC L-1008"/>
    <x v="9"/>
    <m/>
    <m/>
    <m/>
    <s v="11001 · Accounts Receivable"/>
    <n v="743.52"/>
  </r>
  <r>
    <x v="1"/>
    <d v="2022-07-03T00:00:00"/>
    <s v="0224"/>
    <x v="8"/>
    <m/>
    <m/>
    <m/>
    <s v="11001 · Accounts Receivable"/>
    <n v="1495.7"/>
  </r>
  <r>
    <x v="1"/>
    <d v="2022-07-04T00:00:00"/>
    <s v="0955"/>
    <x v="8"/>
    <m/>
    <m/>
    <m/>
    <s v="11001 · Accounts Receivable"/>
    <n v="4830.1400000000003"/>
  </r>
  <r>
    <x v="1"/>
    <d v="2022-07-04T00:00:00"/>
    <s v="ac22-07-14"/>
    <x v="9"/>
    <m/>
    <m/>
    <m/>
    <s v="11001 · Accounts Receivable"/>
    <n v="838.35"/>
  </r>
  <r>
    <x v="1"/>
    <d v="2022-07-04T00:00:00"/>
    <s v="ac22-07-15"/>
    <x v="9"/>
    <m/>
    <m/>
    <m/>
    <s v="11001 · Accounts Receivable"/>
    <n v="467.44"/>
  </r>
  <r>
    <x v="1"/>
    <d v="2022-07-04T00:00:00"/>
    <s v="ac22-07-16"/>
    <x v="9"/>
    <m/>
    <m/>
    <m/>
    <s v="11001 · Accounts Receivable"/>
    <n v="0"/>
  </r>
  <r>
    <x v="1"/>
    <d v="2022-07-04T00:00:00"/>
    <s v="ac22-07-17"/>
    <x v="9"/>
    <m/>
    <m/>
    <m/>
    <s v="11001 · Accounts Receivable"/>
    <n v="284.7"/>
  </r>
  <r>
    <x v="1"/>
    <d v="2022-07-04T00:00:00"/>
    <s v="2860 DENISO"/>
    <x v="9"/>
    <m/>
    <m/>
    <m/>
    <s v="11001 · Accounts Receivable"/>
    <n v="838.35"/>
  </r>
  <r>
    <x v="1"/>
    <d v="2022-07-04T00:00:00"/>
    <s v="2351 FINCH"/>
    <x v="9"/>
    <m/>
    <m/>
    <m/>
    <s v="11001 · Accounts Receivable"/>
    <n v="586.29999999999995"/>
  </r>
  <r>
    <x v="1"/>
    <d v="2022-07-07T00:00:00"/>
    <s v="AC L-1010"/>
    <x v="9"/>
    <m/>
    <m/>
    <m/>
    <s v="11001 · Accounts Receivable"/>
    <n v="92.94"/>
  </r>
  <r>
    <x v="1"/>
    <d v="2022-07-07T00:00:00"/>
    <s v="AC L-1011"/>
    <x v="9"/>
    <m/>
    <m/>
    <m/>
    <s v="11001 · Accounts Receivable"/>
    <n v="476.2"/>
  </r>
  <r>
    <x v="1"/>
    <d v="2022-07-07T00:00:00"/>
    <s v="AC L-1012"/>
    <x v="9"/>
    <m/>
    <m/>
    <m/>
    <s v="11001 · Accounts Receivable"/>
    <n v="230.85"/>
  </r>
  <r>
    <x v="1"/>
    <d v="2022-07-09T00:00:00"/>
    <s v="460 GARYRAY"/>
    <x v="9"/>
    <m/>
    <m/>
    <m/>
    <s v="11001 · Accounts Receivable"/>
    <n v="901.52"/>
  </r>
  <r>
    <x v="1"/>
    <d v="2022-07-11T00:00:00"/>
    <s v="2760 DERRY"/>
    <x v="9"/>
    <m/>
    <m/>
    <m/>
    <s v="11001 · Accounts Receivable"/>
    <n v="123.92"/>
  </r>
  <r>
    <x v="1"/>
    <d v="2022-07-11T00:00:00"/>
    <s v="0905"/>
    <x v="8"/>
    <m/>
    <m/>
    <m/>
    <s v="11001 · Accounts Receivable"/>
    <n v="1295.7"/>
  </r>
  <r>
    <x v="1"/>
    <d v="2022-07-12T00:00:00"/>
    <s v="0989"/>
    <x v="9"/>
    <m/>
    <m/>
    <m/>
    <s v="11001 · Accounts Receivable"/>
    <n v="1102"/>
  </r>
  <r>
    <x v="1"/>
    <d v="2022-07-12T00:00:00"/>
    <s v="AC L-1009"/>
    <x v="9"/>
    <m/>
    <m/>
    <m/>
    <s v="11001 · Accounts Receivable"/>
    <n v="743.52"/>
  </r>
  <r>
    <x v="1"/>
    <d v="2022-07-12T00:00:00"/>
    <s v="AC L-1013"/>
    <x v="9"/>
    <m/>
    <m/>
    <m/>
    <s v="11001 · Accounts Receivable"/>
    <n v="364.2"/>
  </r>
  <r>
    <x v="1"/>
    <d v="2022-07-12T00:00:00"/>
    <s v="AC L-1014"/>
    <x v="9"/>
    <m/>
    <m/>
    <m/>
    <s v="11001 · Accounts Receivable"/>
    <n v="608.22"/>
  </r>
  <r>
    <x v="1"/>
    <d v="2022-07-12T00:00:00"/>
    <s v="17 TANNERY"/>
    <x v="9"/>
    <m/>
    <m/>
    <m/>
    <s v="11001 · Accounts Receivable"/>
    <n v="226.66"/>
  </r>
  <r>
    <x v="1"/>
    <d v="2022-07-12T00:00:00"/>
    <s v="1634 EGLINT"/>
    <x v="9"/>
    <m/>
    <m/>
    <m/>
    <s v="11001 · Accounts Receivable"/>
    <n v="364.2"/>
  </r>
  <r>
    <x v="1"/>
    <d v="2022-07-12T00:00:00"/>
    <s v="1253 KENNED"/>
    <x v="9"/>
    <m/>
    <m/>
    <m/>
    <s v="11001 · Accounts Receivable"/>
    <n v="476.2"/>
  </r>
  <r>
    <x v="1"/>
    <d v="2022-07-14T00:00:00"/>
    <s v="ac22-07-14"/>
    <x v="9"/>
    <m/>
    <m/>
    <m/>
    <s v="11001 · Accounts Receivable"/>
    <n v="443.38"/>
  </r>
  <r>
    <x v="1"/>
    <d v="2022-07-14T00:00:00"/>
    <s v="0967"/>
    <x v="13"/>
    <s v="-ARRANGING ALL CABLES AND PANELS  -REMOVING AND RECYCLING ALL UNWANTED WIRES AND RECEPTACLES.  -..."/>
    <m/>
    <m/>
    <s v="11001 · Accounts Receivable"/>
    <n v="0"/>
  </r>
  <r>
    <x v="1"/>
    <d v="2022-07-14T00:00:00"/>
    <s v="0967"/>
    <x v="13"/>
    <s v="-2 DAYS WORKING LABOUR AND MATERIAL   -OPTIONS ( NOT INCLUDED IN THE ORIGINAL OFFER ).  -REMOVE ..."/>
    <m/>
    <m/>
    <s v="11001 · Accounts Receivable"/>
    <n v="1600"/>
  </r>
  <r>
    <x v="1"/>
    <d v="2022-07-14T00:00:00"/>
    <s v="0967"/>
    <x v="13"/>
    <s v="-REMOVING FLUORESCENT 8' FIXTURES IN THE BACK AREA ( NO JUNK ). LABOUR AND MATERIAL ."/>
    <m/>
    <m/>
    <s v="11001 · Accounts Receivable"/>
    <n v="400"/>
  </r>
  <r>
    <x v="1"/>
    <d v="2022-07-14T00:00:00"/>
    <s v="0967"/>
    <x v="13"/>
    <s v="-REPLACING ALL SWITCHES AND RECEPTACLES IN THE OFFICES AREA. LABOUR AND MATERIAL."/>
    <m/>
    <m/>
    <s v="11001 · Accounts Receivable"/>
    <n v="600"/>
  </r>
  <r>
    <x v="1"/>
    <d v="2022-07-14T00:00:00"/>
    <s v="0967"/>
    <x v="13"/>
    <s v="-EXIT SIGNS AND EMERGENCY LIGHTS IN THE WHOLE AREA ACCORDING TO THE ELECTRICAL BUILDING CODE IN ..."/>
    <m/>
    <m/>
    <s v="11001 · Accounts Receivable"/>
    <n v="2500"/>
  </r>
  <r>
    <x v="1"/>
    <d v="2022-07-14T00:00:00"/>
    <s v="0968"/>
    <x v="14"/>
    <s v="SCOPE OF WORK:   ELECTRICAL INSTALLATION AS PER THE DRAWINGS   THE OFFER EXCLUDES:   "/>
    <m/>
    <m/>
    <s v="11001 · Accounts Receivable"/>
    <n v="0"/>
  </r>
  <r>
    <x v="1"/>
    <d v="2022-07-14T00:00:00"/>
    <s v="0968"/>
    <x v="14"/>
    <s v="1- AUTOMATIC DOORS INSTALLATION   2- COMPUTER CABLES INSTALLATION  3- MAIN TRANSFORMER"/>
    <m/>
    <m/>
    <s v="11001 · Accounts Receivable"/>
    <n v="0"/>
  </r>
  <r>
    <x v="1"/>
    <d v="2022-07-14T00:00:00"/>
    <s v="0968"/>
    <x v="14"/>
    <m/>
    <m/>
    <m/>
    <s v="11001 · Accounts Receivable"/>
    <n v="20000"/>
  </r>
  <r>
    <x v="1"/>
    <d v="2022-07-14T00:00:00"/>
    <s v="0971"/>
    <x v="4"/>
    <m/>
    <m/>
    <m/>
    <s v="11001 · Accounts Receivable"/>
    <n v="8150.44"/>
  </r>
  <r>
    <x v="1"/>
    <d v="2022-07-15T00:00:00"/>
    <s v="1060"/>
    <x v="8"/>
    <m/>
    <m/>
    <m/>
    <s v="11001 · Accounts Receivable"/>
    <n v="805.6"/>
  </r>
  <r>
    <x v="1"/>
    <d v="2022-07-17T00:00:00"/>
    <s v="1054"/>
    <x v="8"/>
    <m/>
    <m/>
    <m/>
    <s v="11001 · Accounts Receivable"/>
    <n v="88.26"/>
  </r>
  <r>
    <x v="1"/>
    <d v="2022-07-18T00:00:00"/>
    <s v="0956"/>
    <x v="8"/>
    <m/>
    <m/>
    <m/>
    <s v="11001 · Accounts Receivable"/>
    <n v="250"/>
  </r>
  <r>
    <x v="1"/>
    <d v="2022-07-19T00:00:00"/>
    <s v="0010/0009"/>
    <x v="8"/>
    <m/>
    <m/>
    <m/>
    <s v="11001 · Accounts Receivable"/>
    <n v="2146.96"/>
  </r>
  <r>
    <x v="1"/>
    <d v="2022-07-20T00:00:00"/>
    <s v="1 WEXFORD"/>
    <x v="9"/>
    <m/>
    <m/>
    <m/>
    <s v="11001 · Accounts Receivable"/>
    <n v="901.52"/>
  </r>
  <r>
    <x v="1"/>
    <d v="2022-07-20T00:00:00"/>
    <s v="1355 ARTISA"/>
    <x v="9"/>
    <m/>
    <m/>
    <m/>
    <s v="11001 · Accounts Receivable"/>
    <n v="535"/>
  </r>
  <r>
    <x v="1"/>
    <d v="2022-07-20T00:00:00"/>
    <s v="0957"/>
    <x v="8"/>
    <m/>
    <m/>
    <m/>
    <s v="11001 · Accounts Receivable"/>
    <n v="1723.45"/>
  </r>
  <r>
    <x v="1"/>
    <d v="2022-07-20T00:00:00"/>
    <s v="0907"/>
    <x v="8"/>
    <m/>
    <m/>
    <m/>
    <s v="11001 · Accounts Receivable"/>
    <n v="508.48"/>
  </r>
  <r>
    <x v="1"/>
    <d v="2022-07-22T00:00:00"/>
    <s v="0901/0902"/>
    <x v="8"/>
    <m/>
    <m/>
    <m/>
    <s v="11001 · Accounts Receivable"/>
    <n v="429.94"/>
  </r>
  <r>
    <x v="1"/>
    <d v="2022-07-25T00:00:00"/>
    <s v="0909"/>
    <x v="8"/>
    <m/>
    <m/>
    <m/>
    <s v="11001 · Accounts Receivable"/>
    <n v="572.04"/>
  </r>
  <r>
    <x v="1"/>
    <d v="2022-07-25T00:00:00"/>
    <s v="0011"/>
    <x v="8"/>
    <m/>
    <m/>
    <m/>
    <s v="11001 · Accounts Receivable"/>
    <n v="3009.5"/>
  </r>
  <r>
    <x v="1"/>
    <d v="2022-07-26T00:00:00"/>
    <s v="7025 MARKHA"/>
    <x v="9"/>
    <m/>
    <m/>
    <m/>
    <s v="11001 · Accounts Receivable"/>
    <n v="467.44"/>
  </r>
  <r>
    <x v="1"/>
    <d v="2022-07-27T00:00:00"/>
    <s v="07-01-25AC"/>
    <x v="7"/>
    <m/>
    <m/>
    <m/>
    <s v="11001 · Accounts Receivable"/>
    <n v="2250"/>
  </r>
  <r>
    <x v="1"/>
    <d v="2022-07-27T00:00:00"/>
    <s v="2979 BLOOR"/>
    <x v="9"/>
    <m/>
    <m/>
    <m/>
    <s v="11001 · Accounts Receivable"/>
    <n v="60"/>
  </r>
  <r>
    <x v="1"/>
    <d v="2022-07-29T00:00:00"/>
    <s v="AC N-2020"/>
    <x v="9"/>
    <m/>
    <m/>
    <m/>
    <s v="11001 · Accounts Receivable"/>
    <n v="343.15"/>
  </r>
  <r>
    <x v="1"/>
    <d v="2022-07-29T00:00:00"/>
    <s v="AC N-2019"/>
    <x v="9"/>
    <m/>
    <m/>
    <m/>
    <s v="11001 · Accounts Receivable"/>
    <n v="772.54"/>
  </r>
  <r>
    <x v="1"/>
    <d v="2022-07-29T00:00:00"/>
    <s v="AC N-1995"/>
    <x v="9"/>
    <m/>
    <m/>
    <m/>
    <s v="11001 · Accounts Receivable"/>
    <n v="761.88"/>
  </r>
  <r>
    <x v="1"/>
    <d v="2022-07-29T00:00:00"/>
    <s v="AC N--891"/>
    <x v="9"/>
    <m/>
    <m/>
    <m/>
    <s v="11001 · Accounts Receivable"/>
    <n v="932.1"/>
  </r>
  <r>
    <x v="1"/>
    <d v="2022-07-29T00:00:00"/>
    <s v="0908"/>
    <x v="8"/>
    <m/>
    <m/>
    <m/>
    <s v="11001 · Accounts Receivable"/>
    <n v="1207.6400000000001"/>
  </r>
  <r>
    <x v="1"/>
    <d v="2022-07-29T00:00:00"/>
    <s v="0650"/>
    <x v="8"/>
    <m/>
    <m/>
    <m/>
    <s v="11001 · Accounts Receivable"/>
    <n v="552.61"/>
  </r>
  <r>
    <x v="1"/>
    <d v="2022-08-01T00:00:00"/>
    <s v="AC L-1005"/>
    <x v="15"/>
    <s v="REPLACE 6 LIGHT SWITCHES WITH COVERS ON WASHROOMS IN THE DRIVER BUILDING"/>
    <m/>
    <m/>
    <s v="11001 · Accounts Receivable"/>
    <n v="0"/>
  </r>
  <r>
    <x v="1"/>
    <d v="2022-08-01T00:00:00"/>
    <s v="AC L-1005"/>
    <x v="15"/>
    <s v="THE COMPANY OUTSIDE SIGN"/>
    <m/>
    <m/>
    <s v="11001 · Accounts Receivable"/>
    <n v="0"/>
  </r>
  <r>
    <x v="1"/>
    <d v="2022-08-01T00:00:00"/>
    <s v="AC L-1005"/>
    <x v="15"/>
    <s v="- REPLACE 8 LAMPS (F96 T8 841/SPX41)"/>
    <m/>
    <m/>
    <s v="11001 · Accounts Receivable"/>
    <n v="0"/>
  </r>
  <r>
    <x v="1"/>
    <d v="2022-08-01T00:00:00"/>
    <s v="AC L-1005"/>
    <x v="15"/>
    <s v="-REPLACE BALAST (T8 347 FLOUR ELE BALLAST)"/>
    <m/>
    <m/>
    <s v="11001 · Accounts Receivable"/>
    <n v="0"/>
  </r>
  <r>
    <x v="1"/>
    <d v="2022-08-01T00:00:00"/>
    <s v="AC L-1005"/>
    <x v="15"/>
    <s v="- SUPPLY AND INSTALL PHOTO CELL"/>
    <m/>
    <m/>
    <s v="11001 · Accounts Receivable"/>
    <n v="0"/>
  </r>
  <r>
    <x v="1"/>
    <d v="2022-08-01T00:00:00"/>
    <s v="AC L-1005"/>
    <x v="15"/>
    <s v="REPLACE TARBIN FAN FOR WASHROOM IN THE BUILDING WITH NEW ONE"/>
    <m/>
    <m/>
    <s v="11001 · Accounts Receivable"/>
    <n v="0"/>
  </r>
  <r>
    <x v="1"/>
    <d v="2022-08-01T00:00:00"/>
    <s v="AC L-1005"/>
    <x v="15"/>
    <m/>
    <m/>
    <m/>
    <s v="11001 · Accounts Receivable"/>
    <n v="1860"/>
  </r>
  <r>
    <x v="1"/>
    <d v="2022-08-02T00:00:00"/>
    <s v="91 PAT"/>
    <x v="9"/>
    <m/>
    <m/>
    <m/>
    <s v="11001 · Accounts Receivable"/>
    <n v="1157.73"/>
  </r>
  <r>
    <x v="1"/>
    <d v="2022-08-02T00:00:00"/>
    <s v="1055"/>
    <x v="8"/>
    <m/>
    <m/>
    <m/>
    <s v="11001 · Accounts Receivable"/>
    <n v="3195.73"/>
  </r>
  <r>
    <x v="1"/>
    <d v="2022-08-03T00:00:00"/>
    <s v="ac22-08-03"/>
    <x v="9"/>
    <m/>
    <m/>
    <m/>
    <s v="11001 · Accounts Receivable"/>
    <n v="838.35"/>
  </r>
  <r>
    <x v="1"/>
    <d v="2022-08-03T00:00:00"/>
    <s v="ac22-08-034"/>
    <x v="9"/>
    <m/>
    <m/>
    <m/>
    <s v="11001 · Accounts Receivable"/>
    <n v="51.3"/>
  </r>
  <r>
    <x v="1"/>
    <d v="2022-08-03T00:00:00"/>
    <s v="ac22-08-038"/>
    <x v="9"/>
    <m/>
    <m/>
    <m/>
    <s v="11001 · Accounts Receivable"/>
    <n v="261"/>
  </r>
  <r>
    <x v="1"/>
    <d v="2022-08-03T00:00:00"/>
    <s v="ac22-08-030"/>
    <x v="9"/>
    <m/>
    <m/>
    <m/>
    <s v="11001 · Accounts Receivable"/>
    <n v="76.95"/>
  </r>
  <r>
    <x v="1"/>
    <d v="2022-08-03T00:00:00"/>
    <s v="ac22-08-031"/>
    <x v="9"/>
    <m/>
    <m/>
    <m/>
    <s v="11001 · Accounts Receivable"/>
    <n v="355.77"/>
  </r>
  <r>
    <x v="1"/>
    <d v="2022-08-03T00:00:00"/>
    <s v="ac22-08-032"/>
    <x v="9"/>
    <m/>
    <m/>
    <m/>
    <s v="11001 · Accounts Receivable"/>
    <n v="401.48"/>
  </r>
  <r>
    <x v="1"/>
    <d v="2022-08-03T00:00:00"/>
    <s v="ac22-08-033"/>
    <x v="9"/>
    <m/>
    <m/>
    <m/>
    <s v="11001 · Accounts Receivable"/>
    <n v="546.29999999999995"/>
  </r>
  <r>
    <x v="1"/>
    <d v="2022-08-03T00:00:00"/>
    <s v="AC N-1052"/>
    <x v="9"/>
    <m/>
    <m/>
    <m/>
    <s v="11001 · Accounts Receivable"/>
    <n v="123.92"/>
  </r>
  <r>
    <x v="1"/>
    <d v="2022-08-03T00:00:00"/>
    <s v="848 BURNHAM"/>
    <x v="9"/>
    <m/>
    <m/>
    <m/>
    <s v="11001 · Accounts Receivable"/>
    <n v="908.35"/>
  </r>
  <r>
    <x v="1"/>
    <d v="2022-08-03T00:00:00"/>
    <s v="0695"/>
    <x v="8"/>
    <m/>
    <m/>
    <m/>
    <s v="11001 · Accounts Receivable"/>
    <n v="2952.76"/>
  </r>
  <r>
    <x v="1"/>
    <d v="2022-08-03T00:00:00"/>
    <s v="0510-2210"/>
    <x v="16"/>
    <s v="SCOPE OF WORK   OPTION 2  * REMOVE THE SKYLIGHT (4) EXISTING FIXTURES  * SUPPLY AND INSTALL 8 ( ..."/>
    <m/>
    <m/>
    <s v="11001 · Accounts Receivable"/>
    <n v="0"/>
  </r>
  <r>
    <x v="1"/>
    <d v="2022-08-03T00:00:00"/>
    <s v="0510-2210"/>
    <x v="16"/>
    <s v="OFFER INCLUDED:  * ALL MATERIAL INCLUDING ADAPTERS AND FITTING PLUS LABOUR.  * SCISSOR LIFT FEES..."/>
    <m/>
    <m/>
    <s v="11001 · Accounts Receivable"/>
    <n v="3410"/>
  </r>
  <r>
    <x v="1"/>
    <d v="2022-08-03T00:00:00"/>
    <s v="498 APPLEBY"/>
    <x v="17"/>
    <s v="INSTALL 4' -2 LAMP FIXTURES."/>
    <m/>
    <m/>
    <s v="11001 · Accounts Receivable"/>
    <n v="0"/>
  </r>
  <r>
    <x v="1"/>
    <d v="2022-08-03T00:00:00"/>
    <s v="498 APPLEBY"/>
    <x v="17"/>
    <s v="SUPPLY CHAINS AND FITTING TO SET THE FIXTURES ON 18' HEIGHT."/>
    <m/>
    <m/>
    <s v="11001 · Accounts Receivable"/>
    <n v="0"/>
  </r>
  <r>
    <x v="1"/>
    <d v="2022-08-03T00:00:00"/>
    <s v="498 APPLEBY"/>
    <x v="17"/>
    <s v="INSTALL THE POWER CABLES."/>
    <m/>
    <m/>
    <s v="11001 · Accounts Receivable"/>
    <n v="0"/>
  </r>
  <r>
    <x v="1"/>
    <d v="2022-08-03T00:00:00"/>
    <s v="498 APPLEBY"/>
    <x v="17"/>
    <m/>
    <m/>
    <m/>
    <s v="11001 · Accounts Receivable"/>
    <n v="1300"/>
  </r>
  <r>
    <x v="1"/>
    <d v="2022-08-03T00:00:00"/>
    <s v="316 BURNHAM"/>
    <x v="9"/>
    <m/>
    <m/>
    <m/>
    <s v="11001 · Accounts Receivable"/>
    <n v="891.52"/>
  </r>
  <r>
    <x v="1"/>
    <d v="2022-08-03T00:00:00"/>
    <s v="377 BURNHAM"/>
    <x v="9"/>
    <m/>
    <m/>
    <m/>
    <s v="11001 · Accounts Receivable"/>
    <n v="495.47"/>
  </r>
  <r>
    <x v="1"/>
    <d v="2022-08-04T00:00:00"/>
    <s v="0696"/>
    <x v="8"/>
    <m/>
    <m/>
    <m/>
    <s v="11001 · Accounts Receivable"/>
    <n v="1102"/>
  </r>
  <r>
    <x v="1"/>
    <d v="2022-08-05T00:00:00"/>
    <s v="41 MAIN"/>
    <x v="9"/>
    <m/>
    <m/>
    <m/>
    <s v="11001 · Accounts Receivable"/>
    <n v="687.5"/>
  </r>
  <r>
    <x v="1"/>
    <d v="2022-08-05T00:00:00"/>
    <s v="2185 STAVE"/>
    <x v="9"/>
    <m/>
    <m/>
    <m/>
    <s v="11001 · Accounts Receivable"/>
    <n v="966.81"/>
  </r>
  <r>
    <x v="1"/>
    <d v="2022-08-05T00:00:00"/>
    <s v="106 SAUND"/>
    <x v="9"/>
    <m/>
    <m/>
    <m/>
    <s v="11001 · Accounts Receivable"/>
    <n v="913.78"/>
  </r>
  <r>
    <x v="1"/>
    <d v="2022-08-05T00:00:00"/>
    <s v="18 AUTO"/>
    <x v="9"/>
    <m/>
    <m/>
    <m/>
    <s v="11001 · Accounts Receivable"/>
    <n v="880.53"/>
  </r>
  <r>
    <x v="1"/>
    <d v="2022-08-05T00:00:00"/>
    <s v="306 KING"/>
    <x v="9"/>
    <m/>
    <m/>
    <m/>
    <s v="11001 · Accounts Receivable"/>
    <n v="338.14"/>
  </r>
  <r>
    <x v="1"/>
    <d v="2022-08-05T00:00:00"/>
    <s v="33B MCIN"/>
    <x v="9"/>
    <m/>
    <m/>
    <m/>
    <s v="11001 · Accounts Receivable"/>
    <n v="860.54"/>
  </r>
  <r>
    <x v="1"/>
    <d v="2022-08-05T00:00:00"/>
    <s v="252 NORS"/>
    <x v="9"/>
    <m/>
    <m/>
    <m/>
    <s v="11001 · Accounts Receivable"/>
    <n v="943.29"/>
  </r>
  <r>
    <x v="1"/>
    <d v="2022-08-05T00:00:00"/>
    <s v="727 QUEEN"/>
    <x v="9"/>
    <m/>
    <m/>
    <m/>
    <s v="11001 · Accounts Receivable"/>
    <n v="116.95"/>
  </r>
  <r>
    <x v="1"/>
    <d v="2022-08-05T00:00:00"/>
    <s v="1250 S SERV"/>
    <x v="9"/>
    <m/>
    <m/>
    <m/>
    <s v="11001 · Accounts Receivable"/>
    <n v="116.95"/>
  </r>
  <r>
    <x v="1"/>
    <d v="2022-08-05T00:00:00"/>
    <s v="1900 FOWLER"/>
    <x v="9"/>
    <m/>
    <m/>
    <m/>
    <s v="11001 · Accounts Receivable"/>
    <n v="91.3"/>
  </r>
  <r>
    <x v="1"/>
    <d v="2022-08-05T00:00:00"/>
    <s v="33A MCIN"/>
    <x v="9"/>
    <m/>
    <m/>
    <m/>
    <s v="11001 · Accounts Receivable"/>
    <n v="849.88"/>
  </r>
  <r>
    <x v="1"/>
    <d v="2022-08-05T00:00:00"/>
    <s v="393 DONALDS"/>
    <x v="9"/>
    <m/>
    <m/>
    <m/>
    <s v="11001 · Accounts Receivable"/>
    <n v="168.25"/>
  </r>
  <r>
    <x v="1"/>
    <d v="2022-08-05T00:00:00"/>
    <s v="1210 CALED"/>
    <x v="9"/>
    <m/>
    <m/>
    <m/>
    <s v="11001 · Accounts Receivable"/>
    <n v="702.55"/>
  </r>
  <r>
    <x v="1"/>
    <d v="2022-08-05T00:00:00"/>
    <s v="964 WESTPO"/>
    <x v="9"/>
    <m/>
    <m/>
    <m/>
    <s v="11001 · Accounts Receivable"/>
    <n v="575"/>
  </r>
  <r>
    <x v="1"/>
    <d v="2022-08-05T00:00:00"/>
    <s v="1119 FENNE"/>
    <x v="9"/>
    <m/>
    <m/>
    <m/>
    <s v="11001 · Accounts Receivable"/>
    <n v="310"/>
  </r>
  <r>
    <x v="1"/>
    <d v="2022-08-05T00:00:00"/>
    <s v="740 BEAVER"/>
    <x v="9"/>
    <m/>
    <m/>
    <m/>
    <s v="11001 · Accounts Receivable"/>
    <n v="1020.1"/>
  </r>
  <r>
    <x v="1"/>
    <d v="2022-08-05T00:00:00"/>
    <s v="545 STEELES"/>
    <x v="9"/>
    <m/>
    <m/>
    <m/>
    <s v="11001 · Accounts Receivable"/>
    <n v="729.6"/>
  </r>
  <r>
    <x v="1"/>
    <d v="2022-08-05T00:00:00"/>
    <s v="253 SUMMER"/>
    <x v="9"/>
    <m/>
    <m/>
    <m/>
    <s v="11001 · Accounts Receivable"/>
    <n v="606.29999999999995"/>
  </r>
  <r>
    <x v="1"/>
    <d v="2022-08-05T00:00:00"/>
    <s v="1104 CANNON"/>
    <x v="9"/>
    <m/>
    <m/>
    <m/>
    <s v="11001 · Accounts Receivable"/>
    <n v="933.45"/>
  </r>
  <r>
    <x v="1"/>
    <d v="2022-08-05T00:00:00"/>
    <s v="5353 LAKESH"/>
    <x v="9"/>
    <m/>
    <m/>
    <m/>
    <s v="11001 · Accounts Receivable"/>
    <n v="831.52"/>
  </r>
  <r>
    <x v="1"/>
    <d v="2022-08-05T00:00:00"/>
    <s v="0013"/>
    <x v="8"/>
    <m/>
    <m/>
    <m/>
    <s v="11001 · Accounts Receivable"/>
    <n v="44.13"/>
  </r>
  <r>
    <x v="1"/>
    <d v="2022-08-05T00:00:00"/>
    <s v="7025 UPS"/>
    <x v="9"/>
    <m/>
    <m/>
    <m/>
    <s v="11001 · Accounts Receivable"/>
    <n v="507.41"/>
  </r>
  <r>
    <x v="1"/>
    <d v="2022-08-07T00:00:00"/>
    <s v="149 WEST"/>
    <x v="9"/>
    <m/>
    <m/>
    <m/>
    <s v="11001 · Accounts Receivable"/>
    <n v="596.95000000000005"/>
  </r>
  <r>
    <x v="1"/>
    <d v="2022-08-07T00:00:00"/>
    <s v="3105 WINSTO"/>
    <x v="9"/>
    <m/>
    <m/>
    <m/>
    <s v="11001 · Accounts Receivable"/>
    <n v="580.65"/>
  </r>
  <r>
    <x v="1"/>
    <d v="2022-08-09T00:00:00"/>
    <s v="1261 SHAW"/>
    <x v="9"/>
    <m/>
    <m/>
    <m/>
    <s v="11001 · Accounts Receivable"/>
    <n v="1663.06"/>
  </r>
  <r>
    <x v="1"/>
    <d v="2022-08-09T00:00:00"/>
    <s v="5230 DUNDAS"/>
    <x v="9"/>
    <m/>
    <m/>
    <m/>
    <s v="11001 · Accounts Receivable"/>
    <n v="420.42"/>
  </r>
  <r>
    <x v="1"/>
    <d v="2022-08-09T00:00:00"/>
    <s v="6710 LUNDY"/>
    <x v="9"/>
    <m/>
    <m/>
    <m/>
    <s v="11001 · Accounts Receivable"/>
    <n v="595"/>
  </r>
  <r>
    <x v="1"/>
    <d v="2022-08-09T00:00:00"/>
    <s v="1582 KING"/>
    <x v="9"/>
    <m/>
    <m/>
    <m/>
    <s v="11001 · Accounts Receivable"/>
    <n v="765.56"/>
  </r>
  <r>
    <x v="1"/>
    <d v="2022-08-09T00:00:00"/>
    <s v="120 ERINGAT"/>
    <x v="9"/>
    <m/>
    <m/>
    <m/>
    <s v="11001 · Accounts Receivable"/>
    <n v="961.52"/>
  </r>
  <r>
    <x v="1"/>
    <d v="2022-08-09T00:00:00"/>
    <s v="0910"/>
    <x v="8"/>
    <m/>
    <m/>
    <m/>
    <s v="11001 · Accounts Receivable"/>
    <n v="95"/>
  </r>
  <r>
    <x v="1"/>
    <d v="2022-08-10T00:00:00"/>
    <s v="0911"/>
    <x v="8"/>
    <m/>
    <m/>
    <m/>
    <s v="11001 · Accounts Receivable"/>
    <n v="750"/>
  </r>
  <r>
    <x v="1"/>
    <d v="2022-08-10T00:00:00"/>
    <s v="0958"/>
    <x v="8"/>
    <m/>
    <m/>
    <m/>
    <s v="11001 · Accounts Receivable"/>
    <n v="250"/>
  </r>
  <r>
    <x v="1"/>
    <d v="2022-08-11T00:00:00"/>
    <s v="775 PACIFIC"/>
    <x v="9"/>
    <m/>
    <m/>
    <m/>
    <s v="11001 · Accounts Receivable"/>
    <n v="765.95"/>
  </r>
  <r>
    <x v="1"/>
    <d v="2022-08-11T00:00:00"/>
    <s v="12101 AIRPO"/>
    <x v="9"/>
    <m/>
    <m/>
    <m/>
    <s v="11001 · Accounts Receivable"/>
    <n v="743.52"/>
  </r>
  <r>
    <x v="1"/>
    <d v="2022-08-11T00:00:00"/>
    <s v="562 KIPLING"/>
    <x v="9"/>
    <m/>
    <m/>
    <m/>
    <s v="11001 · Accounts Receivable"/>
    <n v="236.35"/>
  </r>
  <r>
    <x v="1"/>
    <d v="2022-08-11T00:00:00"/>
    <s v="4060A SLADV"/>
    <x v="9"/>
    <m/>
    <m/>
    <m/>
    <s v="11001 · Accounts Receivable"/>
    <n v="944.62"/>
  </r>
  <r>
    <x v="1"/>
    <d v="2022-08-11T00:00:00"/>
    <s v="0016"/>
    <x v="8"/>
    <m/>
    <m/>
    <m/>
    <s v="11001 · Accounts Receivable"/>
    <n v="1017.5"/>
  </r>
  <r>
    <x v="1"/>
    <d v="2022-08-11T00:00:00"/>
    <s v="0959 12101"/>
    <x v="8"/>
    <m/>
    <m/>
    <m/>
    <s v="11001 · Accounts Receivable"/>
    <n v="237.56"/>
  </r>
  <r>
    <x v="1"/>
    <d v="2022-08-11T00:00:00"/>
    <s v="222 ESPLAND"/>
    <x v="9"/>
    <m/>
    <m/>
    <m/>
    <s v="11001 · Accounts Receivable"/>
    <n v="60"/>
  </r>
  <r>
    <x v="1"/>
    <d v="2022-08-11T00:00:00"/>
    <s v="1646 BLOOR"/>
    <x v="9"/>
    <m/>
    <m/>
    <m/>
    <s v="11001 · Accounts Receivable"/>
    <n v="70"/>
  </r>
  <r>
    <x v="1"/>
    <d v="2022-08-12T00:00:00"/>
    <s v="0017"/>
    <x v="8"/>
    <m/>
    <m/>
    <m/>
    <s v="11001 · Accounts Receivable"/>
    <n v="372.47"/>
  </r>
  <r>
    <x v="1"/>
    <d v="2022-08-12T00:00:00"/>
    <s v="0510-2217"/>
    <x v="18"/>
    <s v="ALL ELECTRIC WORK ACCORDING TO THE DRAWING"/>
    <m/>
    <m/>
    <s v="11001 · Accounts Receivable"/>
    <n v="22500"/>
  </r>
  <r>
    <x v="1"/>
    <d v="2022-08-14T00:00:00"/>
    <s v="0970"/>
    <x v="16"/>
    <m/>
    <m/>
    <m/>
    <s v="11001 · Accounts Receivable"/>
    <n v="17200"/>
  </r>
  <r>
    <x v="1"/>
    <d v="2022-08-15T00:00:00"/>
    <s v="AC L-1015"/>
    <x v="9"/>
    <m/>
    <m/>
    <m/>
    <s v="11001 · Accounts Receivable"/>
    <n v="1653.08"/>
  </r>
  <r>
    <x v="1"/>
    <d v="2022-08-15T00:00:00"/>
    <s v="AC L-1016"/>
    <x v="9"/>
    <m/>
    <m/>
    <m/>
    <s v="11001 · Accounts Receivable"/>
    <n v="927.17"/>
  </r>
  <r>
    <x v="1"/>
    <d v="2022-08-15T00:00:00"/>
    <s v="AC L-1017"/>
    <x v="9"/>
    <m/>
    <m/>
    <m/>
    <s v="11001 · Accounts Receivable"/>
    <n v="426.42"/>
  </r>
  <r>
    <x v="1"/>
    <d v="2022-08-15T00:00:00"/>
    <s v="AC L-1018"/>
    <x v="9"/>
    <m/>
    <m/>
    <m/>
    <s v="11001 · Accounts Receivable"/>
    <n v="1142.58"/>
  </r>
  <r>
    <x v="1"/>
    <d v="2022-08-15T00:00:00"/>
    <s v="AC L-1019"/>
    <x v="9"/>
    <m/>
    <m/>
    <m/>
    <s v="11001 · Accounts Receivable"/>
    <n v="1003.75"/>
  </r>
  <r>
    <x v="1"/>
    <d v="2022-08-15T00:00:00"/>
    <s v="AC L-1020"/>
    <x v="9"/>
    <m/>
    <m/>
    <m/>
    <s v="11001 · Accounts Receivable"/>
    <n v="936.14"/>
  </r>
  <r>
    <x v="1"/>
    <d v="2022-08-15T00:00:00"/>
    <s v="AC L-1021"/>
    <x v="9"/>
    <m/>
    <m/>
    <m/>
    <s v="11001 · Accounts Receivable"/>
    <n v="955.44"/>
  </r>
  <r>
    <x v="1"/>
    <d v="2022-08-15T00:00:00"/>
    <s v="AC L-1022"/>
    <x v="9"/>
    <m/>
    <m/>
    <m/>
    <s v="11001 · Accounts Receivable"/>
    <n v="1412.9"/>
  </r>
  <r>
    <x v="1"/>
    <d v="2022-08-15T00:00:00"/>
    <s v="AC L-1023"/>
    <x v="9"/>
    <m/>
    <m/>
    <m/>
    <s v="11001 · Accounts Receivable"/>
    <n v="123.4"/>
  </r>
  <r>
    <x v="1"/>
    <d v="2022-08-15T00:00:00"/>
    <s v="AC L-1024"/>
    <x v="9"/>
    <m/>
    <m/>
    <m/>
    <s v="11001 · Accounts Receivable"/>
    <n v="775.9"/>
  </r>
  <r>
    <x v="1"/>
    <d v="2022-08-15T00:00:00"/>
    <s v="0912"/>
    <x v="8"/>
    <m/>
    <m/>
    <m/>
    <s v="11001 · Accounts Receivable"/>
    <n v="254.24"/>
  </r>
  <r>
    <x v="1"/>
    <d v="2022-08-16T00:00:00"/>
    <s v="0913"/>
    <x v="8"/>
    <m/>
    <m/>
    <m/>
    <s v="11001 · Accounts Receivable"/>
    <n v="370.2"/>
  </r>
  <r>
    <x v="1"/>
    <d v="2022-08-17T00:00:00"/>
    <s v="0226"/>
    <x v="8"/>
    <m/>
    <m/>
    <m/>
    <s v="11001 · Accounts Receivable"/>
    <n v="902.25"/>
  </r>
  <r>
    <x v="1"/>
    <d v="2022-08-22T00:00:00"/>
    <s v="797 MINLER"/>
    <x v="9"/>
    <m/>
    <m/>
    <m/>
    <s v="11001 · Accounts Receivable"/>
    <n v="618.54"/>
  </r>
  <r>
    <x v="1"/>
    <d v="2022-08-22T00:00:00"/>
    <s v="4060B SLAD"/>
    <x v="9"/>
    <m/>
    <m/>
    <m/>
    <s v="11001 · Accounts Receivable"/>
    <n v="896.46"/>
  </r>
  <r>
    <x v="1"/>
    <d v="2022-08-22T00:00:00"/>
    <s v="3438 SHEPP"/>
    <x v="9"/>
    <m/>
    <m/>
    <m/>
    <s v="11001 · Accounts Receivable"/>
    <n v="604.45000000000005"/>
  </r>
  <r>
    <x v="1"/>
    <d v="2022-08-22T00:00:00"/>
    <s v="4525 EBENE"/>
    <x v="9"/>
    <m/>
    <m/>
    <m/>
    <s v="11001 · Accounts Receivable"/>
    <n v="743.52"/>
  </r>
  <r>
    <x v="1"/>
    <d v="2022-08-22T00:00:00"/>
    <s v="49 FERRIS"/>
    <x v="9"/>
    <m/>
    <m/>
    <m/>
    <s v="11001 · Accounts Receivable"/>
    <n v="1024.4000000000001"/>
  </r>
  <r>
    <x v="1"/>
    <d v="2022-08-22T00:00:00"/>
    <s v="371 BRADW"/>
    <x v="9"/>
    <m/>
    <m/>
    <m/>
    <s v="11001 · Accounts Receivable"/>
    <n v="686.3"/>
  </r>
  <r>
    <x v="1"/>
    <d v="2022-08-22T00:00:00"/>
    <s v="670 HWY 7"/>
    <x v="9"/>
    <m/>
    <m/>
    <m/>
    <s v="11001 · Accounts Receivable"/>
    <n v="340.95"/>
  </r>
  <r>
    <x v="1"/>
    <d v="2022-08-22T00:00:00"/>
    <s v="45 CARLTON"/>
    <x v="9"/>
    <m/>
    <m/>
    <m/>
    <s v="11001 · Accounts Receivable"/>
    <n v="70"/>
  </r>
  <r>
    <x v="1"/>
    <d v="2022-08-22T00:00:00"/>
    <s v="531 PARLIA"/>
    <x v="9"/>
    <m/>
    <m/>
    <m/>
    <s v="11001 · Accounts Receivable"/>
    <n v="101"/>
  </r>
  <r>
    <x v="1"/>
    <d v="2022-08-22T00:00:00"/>
    <s v="670 HWY7 G2"/>
    <x v="9"/>
    <m/>
    <m/>
    <m/>
    <s v="11001 · Accounts Receivable"/>
    <n v="908.35"/>
  </r>
  <r>
    <x v="1"/>
    <d v="2022-08-22T00:00:00"/>
    <s v="0914"/>
    <x v="8"/>
    <m/>
    <m/>
    <m/>
    <s v="11001 · Accounts Receivable"/>
    <n v="1888.97"/>
  </r>
  <r>
    <x v="1"/>
    <d v="2022-08-22T00:00:00"/>
    <s v="1053"/>
    <x v="8"/>
    <m/>
    <m/>
    <m/>
    <s v="11001 · Accounts Receivable"/>
    <n v="286"/>
  </r>
  <r>
    <x v="1"/>
    <d v="2022-08-23T00:00:00"/>
    <s v="2644 DAN"/>
    <x v="9"/>
    <m/>
    <m/>
    <m/>
    <s v="11001 · Accounts Receivable"/>
    <n v="659.51"/>
  </r>
  <r>
    <x v="1"/>
    <d v="2022-08-23T00:00:00"/>
    <s v="251 NORS"/>
    <x v="9"/>
    <m/>
    <m/>
    <m/>
    <s v="11001 · Accounts Receivable"/>
    <n v="666.98"/>
  </r>
  <r>
    <x v="1"/>
    <d v="2022-08-23T00:00:00"/>
    <s v="850 MAIN"/>
    <x v="9"/>
    <m/>
    <m/>
    <m/>
    <s v="11001 · Accounts Receivable"/>
    <n v="70"/>
  </r>
  <r>
    <x v="1"/>
    <d v="2022-08-23T00:00:00"/>
    <s v="14 OXFORD"/>
    <x v="9"/>
    <m/>
    <m/>
    <m/>
    <s v="11001 · Accounts Receivable"/>
    <n v="440"/>
  </r>
  <r>
    <x v="1"/>
    <d v="2022-08-23T00:00:00"/>
    <s v="0238"/>
    <x v="8"/>
    <m/>
    <m/>
    <m/>
    <s v="11001 · Accounts Receivable"/>
    <n v="566"/>
  </r>
  <r>
    <x v="1"/>
    <d v="2022-08-24T00:00:00"/>
    <s v="363 YOUNG"/>
    <x v="9"/>
    <m/>
    <m/>
    <m/>
    <s v="11001 · Accounts Receivable"/>
    <n v="553"/>
  </r>
  <r>
    <x v="1"/>
    <d v="2022-08-24T00:00:00"/>
    <s v="106 SAUN"/>
    <x v="9"/>
    <m/>
    <m/>
    <m/>
    <s v="11001 · Accounts Receivable"/>
    <n v="906.02"/>
  </r>
  <r>
    <x v="1"/>
    <d v="2022-08-24T00:00:00"/>
    <s v="253 NORS"/>
    <x v="9"/>
    <m/>
    <m/>
    <m/>
    <s v="11001 · Accounts Receivable"/>
    <n v="586.29999999999995"/>
  </r>
  <r>
    <x v="1"/>
    <d v="2022-08-24T00:00:00"/>
    <s v="5155 SPECT"/>
    <x v="9"/>
    <m/>
    <m/>
    <m/>
    <s v="11001 · Accounts Receivable"/>
    <n v="997.95"/>
  </r>
  <r>
    <x v="1"/>
    <d v="2022-08-24T00:00:00"/>
    <s v="2455 CAWTHR"/>
    <x v="9"/>
    <m/>
    <m/>
    <m/>
    <s v="11001 · Accounts Receivable"/>
    <n v="627.55999999999995"/>
  </r>
  <r>
    <x v="1"/>
    <d v="2022-08-24T00:00:00"/>
    <s v="6350 TOMKEN"/>
    <x v="9"/>
    <m/>
    <m/>
    <m/>
    <s v="11001 · Accounts Receivable"/>
    <n v="763.1"/>
  </r>
  <r>
    <x v="1"/>
    <d v="2022-08-24T00:00:00"/>
    <s v="26A REXDALE"/>
    <x v="9"/>
    <m/>
    <m/>
    <m/>
    <s v="11001 · Accounts Receivable"/>
    <n v="808.75"/>
  </r>
  <r>
    <x v="1"/>
    <d v="2022-08-24T00:00:00"/>
    <s v="361 JACKSON"/>
    <x v="9"/>
    <m/>
    <m/>
    <m/>
    <s v="11001 · Accounts Receivable"/>
    <n v="457.75"/>
  </r>
  <r>
    <x v="1"/>
    <d v="2022-08-24T00:00:00"/>
    <s v="0239"/>
    <x v="8"/>
    <m/>
    <m/>
    <m/>
    <s v="11001 · Accounts Receivable"/>
    <n v="1260.56"/>
  </r>
  <r>
    <x v="1"/>
    <d v="2022-08-24T00:00:00"/>
    <s v="1056"/>
    <x v="8"/>
    <m/>
    <m/>
    <m/>
    <s v="11001 · Accounts Receivable"/>
    <n v="254.24"/>
  </r>
  <r>
    <x v="1"/>
    <d v="2022-08-24T00:00:00"/>
    <s v="25 HERITAGE"/>
    <x v="9"/>
    <m/>
    <m/>
    <m/>
    <s v="11001 · Accounts Receivable"/>
    <n v="863.83"/>
  </r>
  <r>
    <x v="1"/>
    <d v="2022-08-24T00:00:00"/>
    <s v="1154 RYMAL"/>
    <x v="9"/>
    <m/>
    <m/>
    <m/>
    <s v="11001 · Accounts Receivable"/>
    <n v="1079.05"/>
  </r>
  <r>
    <x v="1"/>
    <d v="2022-08-25T00:00:00"/>
    <s v="1051"/>
    <x v="8"/>
    <m/>
    <m/>
    <m/>
    <s v="11001 · Accounts Receivable"/>
    <n v="5177.28"/>
  </r>
  <r>
    <x v="1"/>
    <d v="2022-08-25T00:00:00"/>
    <s v="0697"/>
    <x v="8"/>
    <m/>
    <m/>
    <m/>
    <s v="11001 · Accounts Receivable"/>
    <n v="118"/>
  </r>
  <r>
    <x v="1"/>
    <d v="2022-08-25T00:00:00"/>
    <s v="1131 GORHAM"/>
    <x v="9"/>
    <m/>
    <m/>
    <m/>
    <s v="11001 · Accounts Receivable"/>
    <n v="1079.05"/>
  </r>
  <r>
    <x v="1"/>
    <d v="2022-08-26T00:00:00"/>
    <s v="901 VICTOR"/>
    <x v="9"/>
    <m/>
    <m/>
    <m/>
    <s v="11001 · Accounts Receivable"/>
    <n v="388.82"/>
  </r>
  <r>
    <x v="1"/>
    <d v="2022-08-26T00:00:00"/>
    <s v="4040 STEEL"/>
    <x v="9"/>
    <m/>
    <m/>
    <m/>
    <s v="11001 · Accounts Receivable"/>
    <n v="877.2"/>
  </r>
  <r>
    <x v="1"/>
    <d v="2022-08-26T00:00:00"/>
    <s v="16 KING"/>
    <x v="9"/>
    <m/>
    <m/>
    <m/>
    <s v="11001 · Accounts Receivable"/>
    <n v="426.5"/>
  </r>
  <r>
    <x v="1"/>
    <d v="2022-08-26T00:00:00"/>
    <s v="842 VICTOR"/>
    <x v="9"/>
    <m/>
    <m/>
    <m/>
    <s v="11001 · Accounts Receivable"/>
    <n v="839.56"/>
  </r>
  <r>
    <x v="1"/>
    <d v="2022-08-27T00:00:00"/>
    <s v="14810 YOUNG"/>
    <x v="9"/>
    <m/>
    <m/>
    <m/>
    <s v="11001 · Accounts Receivable"/>
    <n v="324.74"/>
  </r>
  <r>
    <x v="1"/>
    <d v="2022-08-30T00:00:00"/>
    <s v="1420 BAYLY"/>
    <x v="9"/>
    <m/>
    <m/>
    <m/>
    <s v="11001 · Accounts Receivable"/>
    <n v="920.81"/>
  </r>
  <r>
    <x v="1"/>
    <d v="2022-08-30T00:00:00"/>
    <s v="255 INDUSTR"/>
    <x v="9"/>
    <m/>
    <m/>
    <m/>
    <s v="11001 · Accounts Receivable"/>
    <n v="640.78"/>
  </r>
  <r>
    <x v="1"/>
    <d v="2022-08-30T00:00:00"/>
    <s v="1170 RYMAL"/>
    <x v="9"/>
    <m/>
    <m/>
    <m/>
    <s v="11001 · Accounts Receivable"/>
    <n v="515"/>
  </r>
  <r>
    <x v="1"/>
    <d v="2022-08-30T00:00:00"/>
    <s v="1065"/>
    <x v="8"/>
    <m/>
    <m/>
    <m/>
    <s v="11001 · Accounts Receivable"/>
    <n v="1106"/>
  </r>
  <r>
    <x v="1"/>
    <d v="2022-08-31T00:00:00"/>
    <s v="418 HOR"/>
    <x v="9"/>
    <m/>
    <m/>
    <m/>
    <s v="11001 · Accounts Receivable"/>
    <n v="163.92"/>
  </r>
  <r>
    <x v="1"/>
    <d v="2022-08-31T00:00:00"/>
    <s v="4060A SLAD"/>
    <x v="9"/>
    <m/>
    <m/>
    <m/>
    <s v="11001 · Accounts Receivable"/>
    <n v="1100.71"/>
  </r>
  <r>
    <x v="1"/>
    <d v="2022-08-31T00:00:00"/>
    <s v="122 FORTI"/>
    <x v="9"/>
    <m/>
    <m/>
    <m/>
    <s v="11001 · Accounts Receivable"/>
    <n v="409.3"/>
  </r>
  <r>
    <x v="1"/>
    <d v="2022-08-31T00:00:00"/>
    <s v="2584 DANFOR"/>
    <x v="9"/>
    <m/>
    <m/>
    <m/>
    <s v="11001 · Accounts Receivable"/>
    <n v="31"/>
  </r>
  <r>
    <x v="1"/>
    <d v="2022-08-31T00:00:00"/>
    <s v="813 O'CONN"/>
    <x v="9"/>
    <m/>
    <m/>
    <m/>
    <s v="11001 · Accounts Receivable"/>
    <n v="709.93"/>
  </r>
  <r>
    <x v="1"/>
    <d v="2022-08-31T00:00:00"/>
    <s v="948 QUEEN"/>
    <x v="9"/>
    <m/>
    <m/>
    <m/>
    <s v="11001 · Accounts Receivable"/>
    <n v="55.65"/>
  </r>
  <r>
    <x v="1"/>
    <d v="2022-08-31T00:00:00"/>
    <s v="0916"/>
    <x v="8"/>
    <m/>
    <m/>
    <m/>
    <s v="11001 · Accounts Receivable"/>
    <n v="612"/>
  </r>
  <r>
    <x v="1"/>
    <d v="2022-09-02T00:00:00"/>
    <s v="400 BAYFILE"/>
    <x v="9"/>
    <m/>
    <m/>
    <m/>
    <s v="11001 · Accounts Receivable"/>
    <n v="901.52"/>
  </r>
  <r>
    <x v="1"/>
    <d v="2022-09-02T00:00:00"/>
    <s v="1453 KING"/>
    <x v="9"/>
    <m/>
    <m/>
    <m/>
    <s v="11001 · Accounts Receivable"/>
    <n v="400.38"/>
  </r>
  <r>
    <x v="1"/>
    <d v="2022-09-02T00:00:00"/>
    <s v="79 ELIGIN"/>
    <x v="9"/>
    <m/>
    <m/>
    <m/>
    <s v="11001 · Accounts Receivable"/>
    <n v="284.5"/>
  </r>
  <r>
    <x v="1"/>
    <d v="2022-09-02T00:00:00"/>
    <s v="18 CONCESSI"/>
    <x v="9"/>
    <m/>
    <m/>
    <m/>
    <s v="11001 · Accounts Receivable"/>
    <n v="729.25"/>
  </r>
  <r>
    <x v="1"/>
    <d v="2022-09-02T00:00:00"/>
    <s v="200 FRANKLI"/>
    <x v="9"/>
    <m/>
    <m/>
    <m/>
    <s v="11001 · Accounts Receivable"/>
    <n v="256.86"/>
  </r>
  <r>
    <x v="1"/>
    <d v="2022-09-02T00:00:00"/>
    <s v="262 KING"/>
    <x v="9"/>
    <m/>
    <m/>
    <m/>
    <s v="11001 · Accounts Receivable"/>
    <n v="683.29"/>
  </r>
  <r>
    <x v="1"/>
    <d v="2022-09-02T00:00:00"/>
    <s v="36 NORTHFIE"/>
    <x v="9"/>
    <m/>
    <m/>
    <m/>
    <s v="11001 · Accounts Receivable"/>
    <n v="220.55"/>
  </r>
  <r>
    <x v="1"/>
    <d v="2022-09-02T00:00:00"/>
    <s v="338 ROSSLAN"/>
    <x v="9"/>
    <m/>
    <m/>
    <m/>
    <s v="11001 · Accounts Receivable"/>
    <n v="504.7"/>
  </r>
  <r>
    <x v="1"/>
    <d v="2022-09-02T00:00:00"/>
    <s v="1383 WILSON"/>
    <x v="9"/>
    <m/>
    <m/>
    <m/>
    <s v="11001 · Accounts Receivable"/>
    <n v="140"/>
  </r>
  <r>
    <x v="1"/>
    <d v="2022-09-02T00:00:00"/>
    <s v="2887 BLOOR"/>
    <x v="9"/>
    <m/>
    <m/>
    <m/>
    <s v="11001 · Accounts Receivable"/>
    <n v="321.47000000000003"/>
  </r>
  <r>
    <x v="1"/>
    <d v="2022-09-02T00:00:00"/>
    <s v="21 ESSA RD"/>
    <x v="9"/>
    <m/>
    <m/>
    <m/>
    <s v="11001 · Accounts Receivable"/>
    <n v="1035.07"/>
  </r>
  <r>
    <x v="1"/>
    <d v="2022-09-02T00:00:00"/>
    <s v="371 WILSON"/>
    <x v="9"/>
    <m/>
    <m/>
    <m/>
    <s v="11001 · Accounts Receivable"/>
    <n v="507.5"/>
  </r>
  <r>
    <x v="1"/>
    <d v="2022-09-02T00:00:00"/>
    <s v="179 UNION"/>
    <x v="9"/>
    <m/>
    <m/>
    <m/>
    <s v="11001 · Accounts Receivable"/>
    <n v="737.95"/>
  </r>
  <r>
    <x v="1"/>
    <d v="2022-09-02T00:00:00"/>
    <s v="0917"/>
    <x v="8"/>
    <m/>
    <m/>
    <m/>
    <s v="11001 · Accounts Receivable"/>
    <n v="1271.2"/>
  </r>
  <r>
    <x v="1"/>
    <d v="2022-09-06T00:00:00"/>
    <s v="241 DUNS"/>
    <x v="9"/>
    <m/>
    <m/>
    <m/>
    <s v="11001 · Accounts Receivable"/>
    <n v="251.53"/>
  </r>
  <r>
    <x v="1"/>
    <d v="2022-09-07T00:00:00"/>
    <s v="10671 CHING"/>
    <x v="9"/>
    <m/>
    <m/>
    <m/>
    <s v="11001 · Accounts Receivable"/>
    <n v="96.63"/>
  </r>
  <r>
    <x v="1"/>
    <d v="2022-09-07T00:00:00"/>
    <s v="975 BROCK"/>
    <x v="9"/>
    <m/>
    <m/>
    <m/>
    <s v="11001 · Accounts Receivable"/>
    <n v="838.77"/>
  </r>
  <r>
    <x v="1"/>
    <d v="2022-09-08T00:00:00"/>
    <s v="SEP 8,22"/>
    <x v="19"/>
    <s v="FIRST PAYMENT FOR SUPPLYING MATERIALS FOR (SG-422-20/21-9, CHINGUACOUSY SS , AS PER Z22-4759. TO..."/>
    <m/>
    <m/>
    <s v="11001 · Accounts Receivable"/>
    <n v="220000"/>
  </r>
  <r>
    <x v="1"/>
    <d v="2022-09-08T00:00:00"/>
    <s v="84 WATER ST"/>
    <x v="9"/>
    <m/>
    <m/>
    <m/>
    <s v="11001 · Accounts Receivable"/>
    <n v="580.88"/>
  </r>
  <r>
    <x v="1"/>
    <d v="2022-09-08T00:00:00"/>
    <s v="20 KINGSTON"/>
    <x v="9"/>
    <m/>
    <m/>
    <m/>
    <s v="11001 · Accounts Receivable"/>
    <n v="553"/>
  </r>
  <r>
    <x v="1"/>
    <d v="2022-09-08T00:00:00"/>
    <s v="0014"/>
    <x v="8"/>
    <m/>
    <m/>
    <m/>
    <s v="11001 · Accounts Receivable"/>
    <n v="572.04"/>
  </r>
  <r>
    <x v="1"/>
    <d v="2022-09-12T00:00:00"/>
    <s v="49 WAYNE"/>
    <x v="9"/>
    <m/>
    <m/>
    <m/>
    <s v="11001 · Accounts Receivable"/>
    <n v="887.15"/>
  </r>
  <r>
    <x v="1"/>
    <d v="2022-09-12T00:00:00"/>
    <s v="0960"/>
    <x v="8"/>
    <m/>
    <m/>
    <m/>
    <s v="11001 · Accounts Receivable"/>
    <n v="176.52"/>
  </r>
  <r>
    <x v="1"/>
    <d v="2022-09-13T00:00:00"/>
    <s v="AC 09/13/22"/>
    <x v="20"/>
    <s v="MATERIALS:  -LED FIXTURE ,220W ,120V QTY 9 .  -CHAIN .  -BX COIL.   -SCISSOR LIFT .    "/>
    <m/>
    <m/>
    <s v="11001 · Accounts Receivable"/>
    <n v="0"/>
  </r>
  <r>
    <x v="1"/>
    <d v="2022-09-13T00:00:00"/>
    <s v="AC 09/13/22"/>
    <x v="20"/>
    <s v="SCOPE OF WORK   -REPLACE AND RELOCATE 9 LED HIGHBAY FIXTURE IN THE INDUSTRIAL AREA .  -USING CHA..."/>
    <m/>
    <m/>
    <s v="11001 · Accounts Receivable"/>
    <n v="0"/>
  </r>
  <r>
    <x v="1"/>
    <d v="2022-09-13T00:00:00"/>
    <s v="AC 09/13/22"/>
    <x v="20"/>
    <s v="*PRICE INCLUDED   SCISSOR LIFT FEES   ESA INSPECTION FEES AND CERTIFICATE .    "/>
    <m/>
    <m/>
    <s v="11001 · Accounts Receivable"/>
    <n v="0"/>
  </r>
  <r>
    <x v="1"/>
    <d v="2022-09-13T00:00:00"/>
    <s v="AC 09/13/22"/>
    <x v="20"/>
    <s v="*PRICE EXCLUDED   TURBINE FANS (QTY 2), TO BE CHECKED AND QUOTED SEPARETIY."/>
    <m/>
    <m/>
    <s v="11001 · Accounts Receivable"/>
    <n v="4860"/>
  </r>
  <r>
    <x v="1"/>
    <d v="2022-09-14T00:00:00"/>
    <s v="0918"/>
    <x v="8"/>
    <m/>
    <m/>
    <m/>
    <s v="11001 · Accounts Receivable"/>
    <n v="158"/>
  </r>
  <r>
    <x v="1"/>
    <d v="2022-09-14T00:00:00"/>
    <s v="1062"/>
    <x v="8"/>
    <m/>
    <m/>
    <m/>
    <s v="11001 · Accounts Receivable"/>
    <n v="220.65"/>
  </r>
  <r>
    <x v="1"/>
    <d v="2022-09-15T00:00:00"/>
    <s v="1052"/>
    <x v="8"/>
    <m/>
    <m/>
    <m/>
    <s v="11001 · Accounts Receivable"/>
    <n v="3068.35"/>
  </r>
  <r>
    <x v="1"/>
    <d v="2022-09-15T00:00:00"/>
    <s v="0965"/>
    <x v="21"/>
    <s v="SCOPE OF WORK:    *SUPPLY AND INSTALL LED HIGHBAY FIXTURES SELECTABLE WATTS AND COLOR TEMP."/>
    <m/>
    <m/>
    <s v="11001 · Accounts Receivable"/>
    <n v="5600"/>
  </r>
  <r>
    <x v="1"/>
    <d v="2022-09-15T00:00:00"/>
    <s v="0965"/>
    <x v="21"/>
    <s v="  PRICE INCLUDE:  *SCISSOR LIFT FEES .  *ESA INSPECTION .  *ACCESSORIES AND FITTING.  *REMOVE AN..."/>
    <m/>
    <m/>
    <s v="11001 · Accounts Receivable"/>
    <n v="0"/>
  </r>
  <r>
    <x v="1"/>
    <d v="2022-09-15T00:00:00"/>
    <s v="0965"/>
    <x v="21"/>
    <s v="PAYMENT TERMS:  * FIRST PAYMENT: 20% UPON APPROVAL.  * SECOND PAYMENT : 40% UPON RECEIVING MATER..."/>
    <m/>
    <m/>
    <s v="11001 · Accounts Receivable"/>
    <n v="0"/>
  </r>
  <r>
    <x v="1"/>
    <d v="2022-09-15T00:00:00"/>
    <s v="0966"/>
    <x v="6"/>
    <s v="-Installation of 7 RAB projectors.  -Pvc pipes, boxes wp(weather proof), T 90 wires, breakers.  ..."/>
    <m/>
    <m/>
    <s v="11001 · Accounts Receivable"/>
    <n v="7286.18"/>
  </r>
  <r>
    <x v="1"/>
    <d v="2022-09-15T00:00:00"/>
    <s v="0966"/>
    <x v="6"/>
    <s v="10% DISCOUNT"/>
    <m/>
    <m/>
    <s v="11001 · Accounts Receivable"/>
    <n v="-728.62"/>
  </r>
  <r>
    <x v="1"/>
    <d v="2022-09-16T00:00:00"/>
    <s v="31 RAILSIDE"/>
    <x v="9"/>
    <m/>
    <m/>
    <m/>
    <s v="11001 · Accounts Receivable"/>
    <n v="941.78"/>
  </r>
  <r>
    <x v="1"/>
    <d v="2022-09-16T00:00:00"/>
    <s v="1794 DANFOR"/>
    <x v="9"/>
    <m/>
    <m/>
    <m/>
    <s v="11001 · Accounts Receivable"/>
    <n v="580.85"/>
  </r>
  <r>
    <x v="1"/>
    <d v="2022-09-16T00:00:00"/>
    <s v="270 EGLINTO"/>
    <x v="9"/>
    <m/>
    <m/>
    <m/>
    <s v="11001 · Accounts Receivable"/>
    <n v="374.51"/>
  </r>
  <r>
    <x v="1"/>
    <d v="2022-09-16T00:00:00"/>
    <s v="162 LIME ST"/>
    <x v="9"/>
    <m/>
    <m/>
    <m/>
    <s v="11001 · Accounts Receivable"/>
    <n v="699.75"/>
  </r>
  <r>
    <x v="1"/>
    <d v="2022-09-16T00:00:00"/>
    <s v="280 GUELPH"/>
    <x v="9"/>
    <m/>
    <m/>
    <m/>
    <s v="11001 · Accounts Receivable"/>
    <n v="454.8"/>
  </r>
  <r>
    <x v="1"/>
    <d v="2022-09-16T00:00:00"/>
    <s v="2873 KINGST"/>
    <x v="9"/>
    <m/>
    <m/>
    <m/>
    <s v="11001 · Accounts Receivable"/>
    <n v="412.4"/>
  </r>
  <r>
    <x v="1"/>
    <d v="2022-09-16T00:00:00"/>
    <s v="3250 FINCH"/>
    <x v="9"/>
    <m/>
    <m/>
    <m/>
    <s v="11001 · Accounts Receivable"/>
    <n v="1006.92"/>
  </r>
  <r>
    <x v="1"/>
    <d v="2022-09-19T00:00:00"/>
    <s v="0919"/>
    <x v="8"/>
    <m/>
    <m/>
    <m/>
    <s v="11001 · Accounts Receivable"/>
    <n v="381.36"/>
  </r>
  <r>
    <x v="1"/>
    <d v="2022-09-19T00:00:00"/>
    <s v="460 RENFORT"/>
    <x v="9"/>
    <m/>
    <m/>
    <m/>
    <s v="11001 · Accounts Receivable"/>
    <n v="545.35"/>
  </r>
  <r>
    <x v="1"/>
    <d v="2022-09-19T00:00:00"/>
    <s v="1110 FINCH"/>
    <x v="9"/>
    <m/>
    <m/>
    <m/>
    <s v="11001 · Accounts Receivable"/>
    <n v="626.86"/>
  </r>
  <r>
    <x v="1"/>
    <d v="2022-09-19T00:00:00"/>
    <s v="1061"/>
    <x v="8"/>
    <m/>
    <m/>
    <m/>
    <s v="11001 · Accounts Receivable"/>
    <n v="444.92"/>
  </r>
  <r>
    <x v="1"/>
    <d v="2022-09-20T00:00:00"/>
    <s v="248 STIRLIN"/>
    <x v="9"/>
    <m/>
    <m/>
    <m/>
    <s v="11001 · Accounts Receivable"/>
    <n v="896.19"/>
  </r>
  <r>
    <x v="1"/>
    <d v="2022-09-20T00:00:00"/>
    <s v="2203 DUNWIN"/>
    <x v="9"/>
    <m/>
    <m/>
    <m/>
    <s v="11001 · Accounts Receivable"/>
    <n v="956.33"/>
  </r>
  <r>
    <x v="1"/>
    <d v="2022-09-20T00:00:00"/>
    <s v="0961"/>
    <x v="8"/>
    <m/>
    <m/>
    <m/>
    <s v="11001 · Accounts Receivable"/>
    <n v="232"/>
  </r>
  <r>
    <x v="1"/>
    <d v="2022-09-20T00:00:00"/>
    <s v="0964"/>
    <x v="22"/>
    <s v="SCOPE OF WORK :"/>
    <m/>
    <m/>
    <s v="11001 · Accounts Receivable"/>
    <n v="45000"/>
  </r>
  <r>
    <x v="1"/>
    <d v="2022-09-20T00:00:00"/>
    <s v="0964"/>
    <x v="22"/>
    <s v="PRICE INCLUDED :"/>
    <m/>
    <m/>
    <s v="11001 · Accounts Receivable"/>
    <n v="0"/>
  </r>
  <r>
    <x v="1"/>
    <d v="2022-09-20T00:00:00"/>
    <s v="0964"/>
    <x v="22"/>
    <s v="PAYMENT TERMS:  * FIRST PAYMENT: 20% UPON APPROVAL.  * SECOND PAYMENT : 40% UPON RECEIVING  MATE..."/>
    <m/>
    <m/>
    <s v="11001 · Accounts Receivable"/>
    <n v="0"/>
  </r>
  <r>
    <x v="1"/>
    <d v="2022-09-23T00:00:00"/>
    <s v="71 GLEN CAM"/>
    <x v="9"/>
    <m/>
    <m/>
    <m/>
    <s v="11001 · Accounts Receivable"/>
    <n v="955.44"/>
  </r>
  <r>
    <x v="1"/>
    <d v="2022-09-23T00:00:00"/>
    <s v="1288 RITSON"/>
    <x v="9"/>
    <m/>
    <m/>
    <m/>
    <s v="11001 · Accounts Receivable"/>
    <n v="474.4"/>
  </r>
  <r>
    <x v="1"/>
    <d v="2022-09-23T00:00:00"/>
    <s v="487 CORNWAL"/>
    <x v="9"/>
    <m/>
    <m/>
    <m/>
    <s v="11001 · Accounts Receivable"/>
    <n v="355"/>
  </r>
  <r>
    <x v="1"/>
    <d v="2022-09-23T00:00:00"/>
    <s v="491 APPLEBY"/>
    <x v="9"/>
    <m/>
    <m/>
    <m/>
    <s v="11001 · Accounts Receivable"/>
    <n v="220"/>
  </r>
  <r>
    <x v="1"/>
    <d v="2022-09-27T00:00:00"/>
    <s v="80 CARLAUR"/>
    <x v="9"/>
    <m/>
    <m/>
    <m/>
    <s v="11001 · Accounts Receivable"/>
    <n v="535"/>
  </r>
  <r>
    <x v="1"/>
    <d v="2022-09-29T00:00:00"/>
    <s v="0962"/>
    <x v="8"/>
    <m/>
    <m/>
    <m/>
    <s v="11001 · Accounts Receivable"/>
    <n v="800.65"/>
  </r>
  <r>
    <x v="1"/>
    <d v="2022-09-30T00:00:00"/>
    <s v="300 GUELPH"/>
    <x v="9"/>
    <m/>
    <m/>
    <m/>
    <s v="11001 · Accounts Receivable"/>
    <n v="825.19"/>
  </r>
  <r>
    <x v="1"/>
    <d v="2022-09-30T00:00:00"/>
    <s v="4580 EASTGA"/>
    <x v="9"/>
    <m/>
    <m/>
    <m/>
    <s v="11001 · Accounts Receivable"/>
    <n v="538.91999999999996"/>
  </r>
  <r>
    <x v="1"/>
    <d v="2022-09-30T00:00:00"/>
    <s v="1063 MCNICO"/>
    <x v="9"/>
    <m/>
    <m/>
    <m/>
    <s v="11001 · Accounts Receivable"/>
    <n v="769.56"/>
  </r>
  <r>
    <x v="1"/>
    <d v="2022-09-30T00:00:00"/>
    <s v="94 DUNDAS"/>
    <x v="9"/>
    <m/>
    <m/>
    <m/>
    <s v="11001 · Accounts Receivable"/>
    <n v="219.55"/>
  </r>
  <r>
    <x v="1"/>
    <d v="2022-09-30T00:00:00"/>
    <s v="280 DERRY"/>
    <x v="9"/>
    <m/>
    <m/>
    <m/>
    <s v="11001 · Accounts Receivable"/>
    <n v="70"/>
  </r>
  <r>
    <x v="1"/>
    <d v="2022-09-30T00:00:00"/>
    <s v="23546 WOOD"/>
    <x v="9"/>
    <m/>
    <m/>
    <m/>
    <s v="11001 · Accounts Receivable"/>
    <n v="920.55"/>
  </r>
  <r>
    <x v="1"/>
    <d v="2022-10-05T00:00:00"/>
    <s v="270 KINGSWA"/>
    <x v="9"/>
    <m/>
    <m/>
    <m/>
    <s v="11001 · Accounts Receivable"/>
    <n v="352.1"/>
  </r>
  <r>
    <x v="1"/>
    <d v="2022-10-11T00:00:00"/>
    <s v="UNIT 201B"/>
    <x v="9"/>
    <m/>
    <m/>
    <m/>
    <s v="11001 · Accounts Receivable"/>
    <n v="971.52"/>
  </r>
  <r>
    <x v="1"/>
    <d v="2022-10-11T00:00:00"/>
    <s v="UNIT 201B F"/>
    <x v="9"/>
    <m/>
    <m/>
    <m/>
    <s v="11001 · Accounts Receivable"/>
    <n v="971.52"/>
  </r>
  <r>
    <x v="1"/>
    <d v="2022-10-13T00:00:00"/>
    <s v="0961"/>
    <x v="23"/>
    <s v="20% ADVANCED PAYMENT FOR THE JOB # 0510-2225 DATED(10/06-2022)"/>
    <m/>
    <m/>
    <s v="11001 · Accounts Receivable"/>
    <n v="1970"/>
  </r>
  <r>
    <x v="1"/>
    <d v="2022-10-13T00:00:00"/>
    <s v="0962"/>
    <x v="6"/>
    <s v="SCOPE OF WORK :  OPTION 1:    SUPPLY AND INSTALL(2'X4') LED FLAT PANELS 5000K COLOR TEMP.  INCLU..."/>
    <m/>
    <m/>
    <s v="11001 · Accounts Receivable"/>
    <n v="4350"/>
  </r>
  <r>
    <x v="1"/>
    <d v="2022-10-13T00:00:00"/>
    <s v="0962"/>
    <x v="6"/>
    <s v="PAYMENT TERMS:  * FIRST PAYMENT: 20% UPON APPROVAL.  * SECOND PAYMENT : 40% UPON RECEIVING  MATE..."/>
    <m/>
    <m/>
    <s v="11001 · Accounts Receivable"/>
    <n v="0"/>
  </r>
  <r>
    <x v="1"/>
    <d v="2022-10-13T00:00:00"/>
    <s v="51 LEBOVIC"/>
    <x v="9"/>
    <m/>
    <m/>
    <m/>
    <s v="11001 · Accounts Receivable"/>
    <n v="220"/>
  </r>
  <r>
    <x v="1"/>
    <d v="2022-10-13T00:00:00"/>
    <s v="2105 MIDLAN"/>
    <x v="9"/>
    <m/>
    <m/>
    <m/>
    <s v="11001 · Accounts Receivable"/>
    <n v="1686.51"/>
  </r>
  <r>
    <x v="1"/>
    <d v="2022-10-17T00:00:00"/>
    <s v="0963"/>
    <x v="22"/>
    <s v="BASED ON THE ESTIMATE #0510-2223 THERE IS A 20% AMOUNT DUE THAT NEEDS TO BE PAID"/>
    <m/>
    <m/>
    <s v="11001 · Accounts Receivable"/>
    <n v="9000"/>
  </r>
  <r>
    <x v="1"/>
    <d v="2022-10-17T00:00:00"/>
    <s v="0964"/>
    <x v="4"/>
    <s v="BASED ON ESTIMATE #0510-2212 THERE IS A 40% AMOUNT DUE ( MATERIAL RECEIVED ) FOR THE SECOND PAYM..."/>
    <m/>
    <m/>
    <s v="11001 · Accounts Receivable"/>
    <n v="6400"/>
  </r>
  <r>
    <x v="1"/>
    <d v="2022-10-17T00:00:00"/>
    <s v="0700"/>
    <x v="8"/>
    <m/>
    <m/>
    <m/>
    <s v="11001 · Accounts Receivable"/>
    <n v="185.1"/>
  </r>
  <r>
    <x v="1"/>
    <d v="2022-10-17T00:00:00"/>
    <s v="0510-2222"/>
    <x v="24"/>
    <m/>
    <m/>
    <m/>
    <s v="11001 · Accounts Receivable"/>
    <n v="185.09"/>
  </r>
  <r>
    <x v="1"/>
    <d v="2022-10-24T00:00:00"/>
    <s v="AC80004-22"/>
    <x v="1"/>
    <s v="Electrical installation as per drawings"/>
    <m/>
    <m/>
    <s v="11001 · Accounts Receivable"/>
    <n v="16000"/>
  </r>
  <r>
    <x v="1"/>
    <d v="2022-10-24T00:00:00"/>
    <s v="AC80004-22"/>
    <x v="1"/>
    <s v="Automatic door w/c"/>
    <m/>
    <m/>
    <s v="11001 · Accounts Receivable"/>
    <n v="2750"/>
  </r>
  <r>
    <x v="1"/>
    <d v="2022-10-24T00:00:00"/>
    <s v="AC80004-22"/>
    <x v="1"/>
    <s v="Automatic front door"/>
    <m/>
    <m/>
    <s v="11001 · Accounts Receivable"/>
    <n v="1600"/>
  </r>
  <r>
    <x v="1"/>
    <d v="2022-10-24T00:00:00"/>
    <s v="AC80004-22"/>
    <x v="1"/>
    <s v="1 Hand dryer"/>
    <m/>
    <m/>
    <s v="11001 · Accounts Receivable"/>
    <n v="500"/>
  </r>
  <r>
    <x v="1"/>
    <d v="2022-10-24T00:00:00"/>
    <s v="AC80004-22"/>
    <x v="1"/>
    <s v="E.S.A. Permit included"/>
    <m/>
    <m/>
    <s v="11001 · Accounts Receivable"/>
    <n v="0"/>
  </r>
  <r>
    <x v="1"/>
    <d v="2022-11-01T00:00:00"/>
    <s v="9-27-22AC1"/>
    <x v="21"/>
    <s v="FIRST PAYMENT: 20% UPON APPROVAL."/>
    <m/>
    <m/>
    <s v="11001 · Accounts Receivable"/>
    <n v="1120"/>
  </r>
  <r>
    <x v="1"/>
    <d v="2022-11-01T00:00:00"/>
    <s v="0963"/>
    <x v="1"/>
    <s v="FINAL PAYMENT DUE FOR BICTON LOCATION"/>
    <m/>
    <m/>
    <s v="11001 · Accounts Receivable"/>
    <n v="11100"/>
  </r>
  <r>
    <x v="1"/>
    <d v="2022-11-01T00:00:00"/>
    <s v="0974"/>
    <x v="19"/>
    <s v="SUPPLYING MATERIALS / EQUIPMENT 20%"/>
    <m/>
    <m/>
    <s v="11001 · Accounts Receivable"/>
    <n v="40000"/>
  </r>
  <r>
    <x v="1"/>
    <d v="2022-11-01T00:00:00"/>
    <s v="0974"/>
    <x v="19"/>
    <s v="LABOUR 20%"/>
    <m/>
    <m/>
    <s v="11001 · Accounts Receivable"/>
    <n v="24000"/>
  </r>
  <r>
    <x v="1"/>
    <d v="2022-11-01T00:00:00"/>
    <s v="0974"/>
    <x v="19"/>
    <s v="WARRANTY / ACCESS 100%"/>
    <m/>
    <m/>
    <s v="11001 · Accounts Receivable"/>
    <n v="15000"/>
  </r>
  <r>
    <x v="1"/>
    <d v="2022-11-01T00:00:00"/>
    <s v="0974"/>
    <x v="19"/>
    <s v="DEMOLITION 43%"/>
    <m/>
    <m/>
    <s v="11001 · Accounts Receivable"/>
    <n v="15000"/>
  </r>
  <r>
    <x v="1"/>
    <d v="2022-11-01T00:00:00"/>
    <s v="0974"/>
    <x v="19"/>
    <s v="RECYCLING 33%"/>
    <m/>
    <m/>
    <s v="11001 · Accounts Receivable"/>
    <n v="3000"/>
  </r>
  <r>
    <x v="1"/>
    <d v="2022-11-01T00:00:00"/>
    <s v="0974"/>
    <x v="19"/>
    <s v="CEILING MATERIALS 100%"/>
    <m/>
    <m/>
    <s v="11001 · Accounts Receivable"/>
    <n v="16000"/>
  </r>
  <r>
    <x v="1"/>
    <d v="2022-11-01T00:00:00"/>
    <s v="0974"/>
    <x v="19"/>
    <s v="10%"/>
    <m/>
    <m/>
    <s v="11001 · Accounts Receivable"/>
    <n v="-11300"/>
  </r>
  <r>
    <x v="1"/>
    <d v="2022-11-02T00:00:00"/>
    <s v="0973"/>
    <x v="23"/>
    <s v="FINAL PAYMENT  80% UPON FINISHING"/>
    <m/>
    <m/>
    <s v="11001 · Accounts Receivable"/>
    <n v="7880"/>
  </r>
  <r>
    <x v="1"/>
    <d v="2022-11-04T00:00:00"/>
    <s v="0510-2228"/>
    <x v="16"/>
    <s v="SCOPE OF WORK   OPTION 2  * REMOVE THE SKYLIGHT (4) EXISTING FIXTURES  * SUPPLY AND INSTALL 8 ( ..."/>
    <m/>
    <m/>
    <s v="11001 · Accounts Receivable"/>
    <n v="0"/>
  </r>
  <r>
    <x v="1"/>
    <d v="2022-11-04T00:00:00"/>
    <s v="0510-2228"/>
    <x v="16"/>
    <s v="OFFER INCLUDED:  * ALL MATERIAL INCLUDING ADAPTERS AND FITTING PLUS LABOUR.  * SCISSOR LIFT FEES..."/>
    <m/>
    <m/>
    <s v="11001 · Accounts Receivable"/>
    <n v="3410"/>
  </r>
  <r>
    <x v="1"/>
    <d v="2022-11-04T00:00:00"/>
    <s v="0510-2229"/>
    <x v="18"/>
    <s v="SCOPE OF WORK :"/>
    <m/>
    <m/>
    <s v="11001 · Accounts Receivable"/>
    <n v="0"/>
  </r>
  <r>
    <x v="1"/>
    <d v="2022-11-04T00:00:00"/>
    <s v="0510-2229"/>
    <x v="18"/>
    <s v="1- SUPPLY AND INSTALL 14*2 CABLE IN THE PLAZA (45M)"/>
    <m/>
    <m/>
    <s v="11001 · Accounts Receivable"/>
    <n v="1125"/>
  </r>
  <r>
    <x v="2"/>
    <d v="2022-11-07T00:00:00"/>
    <s v="0975c"/>
    <x v="25"/>
    <s v="credit memo against Invoice dated August 3, 2022"/>
    <m/>
    <m/>
    <s v="11001 · Accounts Receivable"/>
    <n v="26000"/>
  </r>
  <r>
    <x v="2"/>
    <d v="2022-11-07T00:00:00"/>
    <s v="0977c"/>
    <x v="26"/>
    <s v="credit memo to adjust Bar Burrito revenue vs. Manar revenue to actual"/>
    <m/>
    <m/>
    <s v="11001 · Accounts Receivable"/>
    <n v="5000"/>
  </r>
  <r>
    <x v="2"/>
    <d v="2022-11-07T00:00:00"/>
    <s v="0978c"/>
    <x v="4"/>
    <m/>
    <m/>
    <m/>
    <s v="11001 · Accounts Receivable"/>
    <n v="8150.44"/>
  </r>
  <r>
    <x v="2"/>
    <d v="2022-11-07T00:00:00"/>
    <s v="0979c"/>
    <x v="16"/>
    <s v="SCOPE OF WORK   OPTION 2  * REMOVE THE SKYLIGHT (4) EXISTING FIXTURES  * SUPPLY AND INSTALL 8 ( ..."/>
    <m/>
    <m/>
    <s v="11001 · Accounts Receivable"/>
    <n v="0"/>
  </r>
  <r>
    <x v="2"/>
    <d v="2022-11-07T00:00:00"/>
    <s v="0979c"/>
    <x v="16"/>
    <s v="OFFER INCLUDED:  * ALL MATERIAL INCLUDING ADAPTERS AND FITTING PLUS LABOUR.  * SCISSOR LIFT FEES..."/>
    <m/>
    <m/>
    <s v="11001 · Accounts Receivable"/>
    <n v="3410"/>
  </r>
  <r>
    <x v="2"/>
    <d v="2022-11-07T00:00:00"/>
    <s v="0980c"/>
    <x v="16"/>
    <m/>
    <m/>
    <m/>
    <s v="11001 · Accounts Receivable"/>
    <n v="17200"/>
  </r>
  <r>
    <x v="2"/>
    <d v="2022-11-07T00:00:00"/>
    <s v="0981c"/>
    <x v="4"/>
    <s v="SCOPE OF WORK:   ELECTRICAL INSTALLATION AS PER THE DRAWINGS   THE OFFER EXCLUDES:   "/>
    <m/>
    <m/>
    <s v="11001 · Accounts Receivable"/>
    <n v="0"/>
  </r>
  <r>
    <x v="2"/>
    <d v="2022-11-07T00:00:00"/>
    <s v="0981c"/>
    <x v="4"/>
    <s v="1- AUTOMATIC DOORS INSTALLATION   2- COMPUTER CABLES INSTALLATION  3- MAIN TRANSFORMER"/>
    <m/>
    <m/>
    <s v="11001 · Accounts Receivable"/>
    <n v="0"/>
  </r>
  <r>
    <x v="2"/>
    <d v="2022-11-07T00:00:00"/>
    <s v="0981c"/>
    <x v="4"/>
    <m/>
    <m/>
    <m/>
    <s v="11001 · Accounts Receivable"/>
    <n v="20000"/>
  </r>
  <r>
    <x v="2"/>
    <d v="2022-11-07T00:00:00"/>
    <s v="0982c"/>
    <x v="1"/>
    <m/>
    <m/>
    <m/>
    <s v="11001 · Accounts Receivable"/>
    <n v="21750"/>
  </r>
  <r>
    <x v="2"/>
    <d v="2022-11-07T00:00:00"/>
    <s v="0983c"/>
    <x v="22"/>
    <s v="SCOPE OF WORK :"/>
    <m/>
    <m/>
    <s v="11001 · Accounts Receivable"/>
    <n v="45000"/>
  </r>
  <r>
    <x v="2"/>
    <d v="2022-11-07T00:00:00"/>
    <s v="0983c"/>
    <x v="22"/>
    <s v="PRICE INCLUDED :"/>
    <m/>
    <m/>
    <s v="11001 · Accounts Receivable"/>
    <n v="0"/>
  </r>
  <r>
    <x v="2"/>
    <d v="2022-11-07T00:00:00"/>
    <s v="0983c"/>
    <x v="22"/>
    <s v="PAYMENT TERMS:  * FIRST PAYMENT: 20% UPON APPROVAL.  * SECOND PAYMENT : 40% UPON RECEIVING  MATE..."/>
    <m/>
    <m/>
    <s v="11001 · Accounts Receivable"/>
    <n v="0"/>
  </r>
  <r>
    <x v="2"/>
    <d v="2022-11-07T00:00:00"/>
    <s v="0984c"/>
    <x v="13"/>
    <s v="-ARRANGING ALL CABLES AND PANELS  -REMOVING AND RECYCLING ALL UNWANTED WIRES AND RECEPTACLES.  -..."/>
    <m/>
    <m/>
    <s v="11001 · Accounts Receivable"/>
    <n v="0"/>
  </r>
  <r>
    <x v="2"/>
    <d v="2022-11-07T00:00:00"/>
    <s v="0984c"/>
    <x v="13"/>
    <s v="-2 DAYS WORKING LABOUR AND MATERIAL   -OPTIONS ( NOT INCLUDED IN THE ORIGINAL OFFER ).  -REMOVE ..."/>
    <m/>
    <m/>
    <s v="11001 · Accounts Receivable"/>
    <n v="1600"/>
  </r>
  <r>
    <x v="2"/>
    <d v="2022-11-07T00:00:00"/>
    <s v="0984c"/>
    <x v="13"/>
    <s v="-REMOVING FLUORESCENT 8' FIXTURES IN THE BACK AREA ( NO JUNK ). LABOUR AND MATERIAL ."/>
    <m/>
    <m/>
    <s v="11001 · Accounts Receivable"/>
    <n v="400"/>
  </r>
  <r>
    <x v="2"/>
    <d v="2022-11-07T00:00:00"/>
    <s v="0984c"/>
    <x v="13"/>
    <s v="-REPLACING ALL SWITCHES AND RECEPTACLES IN THE OFFICES AREA. LABOUR AND MATERIAL."/>
    <m/>
    <m/>
    <s v="11001 · Accounts Receivable"/>
    <n v="600"/>
  </r>
  <r>
    <x v="2"/>
    <d v="2022-11-07T00:00:00"/>
    <s v="0984c"/>
    <x v="13"/>
    <s v="-EXIT SIGNS AND EMERGENCY LIGHTS IN THE WHOLE AREA ACCORDING TO THE ELECTRICAL BUILDING CODE IN ..."/>
    <m/>
    <m/>
    <s v="11001 · Accounts Receivable"/>
    <n v="2500"/>
  </r>
  <r>
    <x v="1"/>
    <d v="2022-11-07T00:00:00"/>
    <s v="0985c"/>
    <x v="1"/>
    <s v="PRICE DIFFERENCE IN AUTOMATIC DOOR W/C AND AUTOMATIC FRONT DOOR"/>
    <m/>
    <m/>
    <s v="11001 · Accounts Receivable"/>
    <n v="650"/>
  </r>
  <r>
    <x v="1"/>
    <d v="2022-11-08T00:00:00"/>
    <s v="0510-2214"/>
    <x v="18"/>
    <s v="SCOPE OF WORK :"/>
    <m/>
    <m/>
    <s v="11001 · Accounts Receivable"/>
    <n v="0"/>
  </r>
  <r>
    <x v="1"/>
    <d v="2022-11-08T00:00:00"/>
    <s v="0510-2214"/>
    <x v="18"/>
    <s v="1- SUPPLY AND INSTALL 14*2 CABLE IN THE PLAZA (45M)"/>
    <m/>
    <m/>
    <s v="11001 · Accounts Receivable"/>
    <n v="1125"/>
  </r>
  <r>
    <x v="1"/>
    <d v="2022-11-11T00:00:00"/>
    <s v="0510-2215"/>
    <x v="27"/>
    <s v="SCOPE OF WORK:  EXTRA RECEPTACLES AND ELECTRICAL WORK"/>
    <m/>
    <m/>
    <s v="11001 · Accounts Receivable"/>
    <n v="3500"/>
  </r>
  <r>
    <x v="1"/>
    <d v="2022-11-14T00:00:00"/>
    <s v="0510-2220"/>
    <x v="18"/>
    <s v="ALL ELECTRIC WORK ACCORDING TO THE DRAWING"/>
    <m/>
    <m/>
    <s v="11001 · Accounts Receivable"/>
    <n v="19500"/>
  </r>
  <r>
    <x v="1"/>
    <d v="2022-11-17T00:00:00"/>
    <s v="0510-2216"/>
    <x v="28"/>
    <s v="1- SUPPLY AND INSTALL 9-8' LED- 90W - 5000K LIGHT FIXTURES IN DIFFERENT AREAS INSIDE THE WAREHOU..."/>
    <m/>
    <m/>
    <s v="11001 · Accounts Receivable"/>
    <n v="5400"/>
  </r>
  <r>
    <x v="1"/>
    <d v="2022-11-17T00:00:00"/>
    <s v="0510-2216"/>
    <x v="28"/>
    <s v="OFFER INCLUDES :    * SCISSOR LIFT    * ESA INSPECTION     * LABOUR AND MATERIAL PLUS ACCESSORIE..."/>
    <m/>
    <m/>
    <s v="11001 · Accounts Receivable"/>
    <n v="0"/>
  </r>
  <r>
    <x v="1"/>
    <d v="2022-11-21T00:00:00"/>
    <s v="0510-2218"/>
    <x v="18"/>
    <s v="SUPPLY &amp; INSTALL AUTOMATIC DOOR"/>
    <m/>
    <m/>
    <s v="11001 · Accounts Receivable"/>
    <n v="3100"/>
  </r>
  <r>
    <x v="1"/>
    <d v="2022-12-02T00:00:00"/>
    <s v="0510-2221"/>
    <x v="29"/>
    <s v="REMOVAL"/>
    <m/>
    <m/>
    <s v="11001 · Accounts Receivable"/>
    <n v="1200"/>
  </r>
  <r>
    <x v="1"/>
    <d v="2022-12-06T00:00:00"/>
    <s v="0510-2224"/>
    <x v="30"/>
    <s v="FIRST PAYMENT"/>
    <m/>
    <m/>
    <s v="11001 · Accounts Receivable"/>
    <n v="5752.21"/>
  </r>
  <r>
    <x v="1"/>
    <d v="2022-12-07T00:00:00"/>
    <s v="0510-2226"/>
    <x v="31"/>
    <m/>
    <m/>
    <m/>
    <s v="11001 · Accounts Receivable"/>
    <n v="300"/>
  </r>
  <r>
    <x v="1"/>
    <d v="2022-12-07T00:00:00"/>
    <s v="0510-2227"/>
    <x v="32"/>
    <s v="SUPPLY AND INSTALL (2*4) LED FLAT PANELS 4000K"/>
    <m/>
    <m/>
    <s v="11001 · Accounts Receivable"/>
    <n v="2220"/>
  </r>
  <r>
    <x v="1"/>
    <d v="2022-12-09T00:00:00"/>
    <s v="0510-2223"/>
    <x v="33"/>
    <s v="FIRST PAYMENT"/>
    <m/>
    <m/>
    <s v="11001 · Accounts Receivable"/>
    <n v="1769.91"/>
  </r>
  <r>
    <x v="1"/>
    <d v="2022-12-09T00:00:00"/>
    <s v="0510-2225"/>
    <x v="30"/>
    <s v="FINAL PAYMENT"/>
    <m/>
    <m/>
    <s v="11001 · Accounts Receivable"/>
    <n v="5247.69"/>
  </r>
  <r>
    <x v="1"/>
    <d v="2022-12-15T00:00:00"/>
    <s v="0510-2230"/>
    <x v="4"/>
    <s v="SECOND PAYMENT FOR THIS JOB"/>
    <m/>
    <m/>
    <s v="11001 · Accounts Receivable"/>
    <n v="6500"/>
  </r>
  <r>
    <x v="1"/>
    <d v="2022-12-16T00:00:00"/>
    <s v="0510-2231"/>
    <x v="4"/>
    <s v="AUTOMATION PANEL AS PER THE QUOTATION"/>
    <m/>
    <m/>
    <s v="11001 · Accounts Receivable"/>
    <n v="1200"/>
  </r>
  <r>
    <x v="1"/>
    <d v="2022-12-16T00:00:00"/>
    <s v="0510-2232"/>
    <x v="1"/>
    <s v="FINAL PAYMENT"/>
    <m/>
    <m/>
    <s v="11001 · Accounts Receivable"/>
    <n v="9376.11"/>
  </r>
  <r>
    <x v="1"/>
    <d v="2022-12-17T00:00:00"/>
    <s v="0510-2233"/>
    <x v="30"/>
    <s v="SCOPE OF WORK :  ALL ELECTRICAL WORK ACCORDING TO THE DRAWING .  "/>
    <m/>
    <m/>
    <s v="11001 · Accounts Receivable"/>
    <n v="20000"/>
  </r>
  <r>
    <x v="1"/>
    <d v="2022-12-17T00:00:00"/>
    <s v="0510-2233"/>
    <x v="30"/>
    <s v="PAYMENT TERMS:  * FIRST PAYMENT: 20% UPON APPROVAL.  * SECOND PAYMENT : 40% UPON RECEIVING  MATE..."/>
    <m/>
    <m/>
    <s v="11001 · Accounts Receivable"/>
    <n v="0"/>
  </r>
  <r>
    <x v="1"/>
    <d v="2022-12-30T00:00:00"/>
    <s v="0510-2234"/>
    <x v="4"/>
    <s v="FINAL PAYMENT FOR LONDON JOB LOCATED AT ( 170 ADELAIDE ST ) LONDON ONTARIO"/>
    <m/>
    <m/>
    <s v="11001 · Accounts Receivable"/>
    <n v="7100"/>
  </r>
  <r>
    <x v="0"/>
    <m/>
    <m/>
    <x v="0"/>
    <m/>
    <m/>
    <m/>
    <m/>
    <m/>
  </r>
  <r>
    <x v="0"/>
    <m/>
    <m/>
    <x v="0"/>
    <m/>
    <m/>
    <m/>
    <m/>
    <m/>
  </r>
  <r>
    <x v="1"/>
    <d v="2022-07-26T00:00:00"/>
    <s v="40"/>
    <x v="34"/>
    <s v="deposit for ev charge marketing"/>
    <m/>
    <m/>
    <s v="11800 · CIBC"/>
    <n v="1364.63"/>
  </r>
  <r>
    <x v="1"/>
    <d v="2022-08-12T00:00:00"/>
    <s v="44"/>
    <x v="34"/>
    <s v="MISC. DEPOSIT FROM URBAND ENVIROMENT CENTRE"/>
    <m/>
    <m/>
    <s v="11800 · CIBC"/>
    <n v="2657.58"/>
  </r>
  <r>
    <x v="1"/>
    <d v="2022-08-24T00:00:00"/>
    <s v="46"/>
    <x v="34"/>
    <s v="TRANSFER FROM VALENTIN HAROON"/>
    <m/>
    <m/>
    <s v="11800 · CIBC"/>
    <n v="350"/>
  </r>
  <r>
    <x v="1"/>
    <d v="2022-10-19T00:00:00"/>
    <s v="61"/>
    <x v="34"/>
    <m/>
    <m/>
    <m/>
    <s v="11800 · CIBC"/>
    <n v="2542.5"/>
  </r>
  <r>
    <x v="0"/>
    <m/>
    <m/>
    <x v="0"/>
    <m/>
    <m/>
    <m/>
    <m/>
    <n v="6914.71"/>
  </r>
  <r>
    <x v="0"/>
    <m/>
    <m/>
    <x v="0"/>
    <m/>
    <m/>
    <m/>
    <m/>
    <m/>
  </r>
  <r>
    <x v="3"/>
    <d v="2022-06-25T00:00:00"/>
    <m/>
    <x v="0"/>
    <m/>
    <m/>
    <m/>
    <s v="CIBC VISA"/>
    <n v="-166.94"/>
  </r>
  <r>
    <x v="0"/>
    <m/>
    <m/>
    <x v="0"/>
    <m/>
    <m/>
    <m/>
    <m/>
    <n v="-166.94"/>
  </r>
  <r>
    <x v="0"/>
    <m/>
    <m/>
    <x v="0"/>
    <m/>
    <m/>
    <m/>
    <m/>
    <n v="6747.77"/>
  </r>
  <r>
    <x v="0"/>
    <m/>
    <m/>
    <x v="0"/>
    <m/>
    <m/>
    <m/>
    <m/>
    <m/>
  </r>
  <r>
    <x v="4"/>
    <s v="Date"/>
    <s v="Num"/>
    <x v="35"/>
    <s v="Memo"/>
    <s v="Class"/>
    <s v="Clr"/>
    <s v="Split"/>
    <s v="Amount"/>
  </r>
  <r>
    <x v="5"/>
    <d v="2022-04-22T00:00:00"/>
    <s v="4792779"/>
    <x v="36"/>
    <m/>
    <m/>
    <m/>
    <s v="20000 · Accounts Payable"/>
    <n v="2900.1"/>
  </r>
  <r>
    <x v="5"/>
    <d v="2022-05-12T00:00:00"/>
    <s v="105482"/>
    <x v="37"/>
    <m/>
    <m/>
    <m/>
    <s v="20000 · Accounts Payable"/>
    <n v="3855"/>
  </r>
  <r>
    <x v="5"/>
    <d v="2022-05-12T00:00:00"/>
    <m/>
    <x v="38"/>
    <m/>
    <m/>
    <m/>
    <s v="CIBC VISA"/>
    <n v="1559.5"/>
  </r>
  <r>
    <x v="5"/>
    <d v="2022-05-17T00:00:00"/>
    <m/>
    <x v="38"/>
    <m/>
    <m/>
    <m/>
    <s v="21000 · RBC Visa Avion"/>
    <m/>
  </r>
  <r>
    <x v="5"/>
    <d v="2022-05-18T00:00:00"/>
    <m/>
    <x v="38"/>
    <m/>
    <m/>
    <m/>
    <s v="21000 · RBC Visa Avion"/>
    <m/>
  </r>
  <r>
    <x v="5"/>
    <d v="2022-05-26T00:00:00"/>
    <m/>
    <x v="39"/>
    <s v="PAID FROM DIAA PERSONAL ACCOUNT"/>
    <m/>
    <m/>
    <s v="11800 · CIBC"/>
    <n v="425.47"/>
  </r>
  <r>
    <x v="5"/>
    <d v="2022-05-27T00:00:00"/>
    <m/>
    <x v="40"/>
    <m/>
    <m/>
    <m/>
    <s v="20000 · Accounts Payable"/>
    <n v="158"/>
  </r>
  <r>
    <x v="5"/>
    <d v="2022-05-27T00:00:00"/>
    <m/>
    <x v="40"/>
    <m/>
    <m/>
    <m/>
    <s v="20000 · Accounts Payable"/>
    <n v="760.71"/>
  </r>
  <r>
    <x v="5"/>
    <d v="2022-07-05T00:00:00"/>
    <s v="1684"/>
    <x v="41"/>
    <m/>
    <m/>
    <m/>
    <s v="11800 · CIBC"/>
    <n v="260.7"/>
  </r>
  <r>
    <x v="5"/>
    <d v="2022-07-12T00:00:00"/>
    <m/>
    <x v="42"/>
    <m/>
    <m/>
    <m/>
    <s v="20000 · Accounts Payable"/>
    <n v="5815"/>
  </r>
  <r>
    <x v="5"/>
    <d v="2022-07-14T00:00:00"/>
    <m/>
    <x v="39"/>
    <m/>
    <m/>
    <m/>
    <s v="11800 · CIBC"/>
    <n v="311.93"/>
  </r>
  <r>
    <x v="5"/>
    <d v="2022-08-04T00:00:00"/>
    <s v="492153-00"/>
    <x v="43"/>
    <m/>
    <m/>
    <m/>
    <s v="20000 · Accounts Payable"/>
    <n v="2071.66"/>
  </r>
  <r>
    <x v="5"/>
    <d v="2022-09-16T00:00:00"/>
    <m/>
    <x v="44"/>
    <m/>
    <m/>
    <m/>
    <s v="20000 · Accounts Payable"/>
    <n v="728.83"/>
  </r>
  <r>
    <x v="5"/>
    <d v="2022-09-26T00:00:00"/>
    <m/>
    <x v="44"/>
    <m/>
    <m/>
    <m/>
    <s v="11800 · CIBC"/>
    <n v="572.38"/>
  </r>
  <r>
    <x v="5"/>
    <d v="2022-09-26T00:00:00"/>
    <m/>
    <x v="44"/>
    <m/>
    <m/>
    <m/>
    <s v="11800 · CIBC"/>
    <n v="823.58"/>
  </r>
  <r>
    <x v="5"/>
    <d v="2022-09-29T00:00:00"/>
    <m/>
    <x v="45"/>
    <m/>
    <m/>
    <m/>
    <s v="20000 · Accounts Payable"/>
    <n v="17377.27"/>
  </r>
  <r>
    <x v="5"/>
    <d v="2022-10-04T00:00:00"/>
    <m/>
    <x v="44"/>
    <m/>
    <m/>
    <m/>
    <s v="20000 · Accounts Payable"/>
    <n v="2212.39"/>
  </r>
  <r>
    <x v="5"/>
    <d v="2022-11-04T00:00:00"/>
    <s v="66"/>
    <x v="0"/>
    <s v="NU-TECH FREIGHT"/>
    <m/>
    <m/>
    <s v="11800 · CIBC"/>
    <n v="324.87"/>
  </r>
  <r>
    <x v="5"/>
    <d v="2022-11-09T00:00:00"/>
    <m/>
    <x v="46"/>
    <m/>
    <m/>
    <m/>
    <s v="20000 · Accounts Payable"/>
    <n v="271.08"/>
  </r>
  <r>
    <x v="5"/>
    <d v="2022-11-09T00:00:00"/>
    <m/>
    <x v="40"/>
    <m/>
    <m/>
    <m/>
    <s v="20000 · Accounts Payable"/>
    <n v="2212.39"/>
  </r>
  <r>
    <x v="5"/>
    <d v="2022-11-10T00:00:00"/>
    <m/>
    <x v="47"/>
    <m/>
    <m/>
    <m/>
    <s v="20000 · Accounts Payable"/>
    <n v="350.07"/>
  </r>
  <r>
    <x v="5"/>
    <d v="2022-11-10T00:00:00"/>
    <m/>
    <x v="48"/>
    <m/>
    <m/>
    <m/>
    <s v="20000 · Accounts Payable"/>
    <n v="197.56"/>
  </r>
  <r>
    <x v="5"/>
    <d v="2022-11-11T00:00:00"/>
    <m/>
    <x v="49"/>
    <m/>
    <m/>
    <m/>
    <s v="20000 · Accounts Payable"/>
    <n v="371.3"/>
  </r>
  <r>
    <x v="5"/>
    <d v="2022-11-18T00:00:00"/>
    <m/>
    <x v="50"/>
    <m/>
    <m/>
    <m/>
    <s v="20000 · Accounts Payable"/>
    <n v="3939.6"/>
  </r>
  <r>
    <x v="5"/>
    <d v="2022-11-21T00:00:00"/>
    <m/>
    <x v="51"/>
    <s v="FOR PEEL DISTRICT SCHOOL"/>
    <m/>
    <m/>
    <s v="20000 · Accounts Payable"/>
    <n v="10062"/>
  </r>
  <r>
    <x v="5"/>
    <d v="2022-11-24T00:00:00"/>
    <m/>
    <x v="52"/>
    <m/>
    <m/>
    <m/>
    <s v="11800 · CIBC"/>
    <n v="63945.73"/>
  </r>
  <r>
    <x v="5"/>
    <d v="2022-11-30T00:00:00"/>
    <m/>
    <x v="48"/>
    <m/>
    <m/>
    <m/>
    <s v="20000 · Accounts Payable"/>
    <n v="421.2"/>
  </r>
  <r>
    <x v="5"/>
    <d v="2022-12-05T00:00:00"/>
    <m/>
    <x v="53"/>
    <s v="SUBWAY TOTTENHAM"/>
    <m/>
    <m/>
    <s v="20000 · Accounts Payable"/>
    <n v="4310"/>
  </r>
  <r>
    <x v="5"/>
    <d v="2022-12-05T00:00:00"/>
    <m/>
    <x v="53"/>
    <s v="SUBWAY TOTTENHAM"/>
    <m/>
    <m/>
    <s v="11800 · CIBC"/>
    <n v="884.96"/>
  </r>
  <r>
    <x v="5"/>
    <d v="2022-12-06T00:00:00"/>
    <m/>
    <x v="53"/>
    <m/>
    <m/>
    <m/>
    <s v="11800 · CIBC"/>
    <n v="3425.04"/>
  </r>
  <r>
    <x v="5"/>
    <d v="2022-12-08T00:00:00"/>
    <m/>
    <x v="54"/>
    <s v="VIA CANADA HOLDING GROUP WAREHOUSE ARES ( PAID TO DIAA BY CHQ )"/>
    <m/>
    <m/>
    <s v="20000 · Accounts Payable"/>
    <n v="157.96"/>
  </r>
  <r>
    <x v="5"/>
    <d v="2022-12-08T00:00:00"/>
    <m/>
    <x v="54"/>
    <s v="VIA CANADA HOLDING GROUP WAREHOUSE ARES ( PAID TO DIAA BY CHQ )"/>
    <m/>
    <m/>
    <s v="20000 · Accounts Payable"/>
    <n v="188.95"/>
  </r>
  <r>
    <x v="5"/>
    <d v="2022-12-08T00:00:00"/>
    <m/>
    <x v="54"/>
    <s v="VIA CANADA HOLDING GROUP WAREHOUSE ARES ( PAID TO DIAA BY CHQ )"/>
    <m/>
    <m/>
    <s v="20000 · Accounts Payable"/>
    <n v="35.979999999999997"/>
  </r>
  <r>
    <x v="5"/>
    <d v="2022-12-08T00:00:00"/>
    <m/>
    <x v="54"/>
    <s v="VIA CANADA HOLDING GROUP WAREHOUSE ARES ( PAID TO DIAA BY CHQ )"/>
    <m/>
    <m/>
    <s v="20000 · Accounts Payable"/>
    <n v="171.54"/>
  </r>
  <r>
    <x v="5"/>
    <d v="2022-12-08T00:00:00"/>
    <m/>
    <x v="39"/>
    <m/>
    <m/>
    <m/>
    <s v="11800 · CIBC"/>
    <n v="626.5"/>
  </r>
  <r>
    <x v="5"/>
    <d v="2022-12-08T00:00:00"/>
    <s v="1854"/>
    <x v="44"/>
    <m/>
    <m/>
    <m/>
    <s v="11800 · CIBC"/>
    <n v="2355.27"/>
  </r>
  <r>
    <x v="5"/>
    <d v="2022-12-13T00:00:00"/>
    <m/>
    <x v="55"/>
    <s v="(42.67) GRAINGER , (309.35) RONA , (821.26) RONA , (1061.05) HOME DEPOT , (121.41) FUEL"/>
    <m/>
    <m/>
    <s v="11800 · CIBC"/>
    <n v="2084.6799999999998"/>
  </r>
  <r>
    <x v="5"/>
    <d v="2022-12-13T00:00:00"/>
    <m/>
    <x v="56"/>
    <s v="(368.73) ONEIL , (38.14) GERRIE , (61.28) GERRIE , (192.93) GAS , (68.48) GAS , (160.46) GAS , (..."/>
    <m/>
    <m/>
    <s v="11800 · CIBC"/>
    <n v="1065.08"/>
  </r>
  <r>
    <x v="5"/>
    <d v="2022-12-21T00:00:00"/>
    <m/>
    <x v="57"/>
    <s v="ROLLER SKATING ORILLIA"/>
    <m/>
    <m/>
    <s v="20000 · Accounts Payable"/>
    <n v="2320"/>
  </r>
  <r>
    <x v="5"/>
    <d v="2022-12-21T00:00:00"/>
    <m/>
    <x v="40"/>
    <m/>
    <m/>
    <m/>
    <s v="20000 · Accounts Payable"/>
    <n v="5268.92"/>
  </r>
  <r>
    <x v="5"/>
    <d v="2022-12-29T00:00:00"/>
    <m/>
    <x v="49"/>
    <s v="paid for Diaa"/>
    <m/>
    <m/>
    <s v="11800 · CIBC"/>
    <n v="33.380000000000003"/>
  </r>
  <r>
    <x v="5"/>
    <d v="2022-12-29T00:00:00"/>
    <m/>
    <x v="47"/>
    <s v="paid for Diaa"/>
    <m/>
    <m/>
    <s v="11800 · CIBC"/>
    <n v="24.05"/>
  </r>
  <r>
    <x v="5"/>
    <d v="2022-12-29T00:00:00"/>
    <m/>
    <x v="58"/>
    <s v="paid for Diaa"/>
    <m/>
    <m/>
    <s v="11800 · CIBC"/>
    <n v="31.47"/>
  </r>
  <r>
    <x v="0"/>
    <m/>
    <m/>
    <x v="0"/>
    <m/>
    <m/>
    <m/>
    <m/>
    <n v="144912.1"/>
  </r>
  <r>
    <x v="0"/>
    <m/>
    <m/>
    <x v="0"/>
    <m/>
    <m/>
    <m/>
    <m/>
    <m/>
  </r>
  <r>
    <x v="6"/>
    <d v="2022-04-14T00:00:00"/>
    <s v="March30-April8"/>
    <x v="59"/>
    <m/>
    <m/>
    <m/>
    <s v="20000 · Accounts Payable"/>
    <n v="1376"/>
  </r>
  <r>
    <x v="6"/>
    <d v="2022-04-28T00:00:00"/>
    <m/>
    <x v="59"/>
    <m/>
    <m/>
    <m/>
    <s v="20000 · Accounts Payable"/>
    <n v="768"/>
  </r>
  <r>
    <x v="6"/>
    <d v="2022-04-30T00:00:00"/>
    <s v="MARCH 30 TO APRIL 30"/>
    <x v="56"/>
    <m/>
    <m/>
    <m/>
    <s v="20000 · Accounts Payable"/>
    <n v="10000"/>
  </r>
  <r>
    <x v="6"/>
    <d v="2022-05-12T00:00:00"/>
    <s v="april 28 -may6"/>
    <x v="59"/>
    <m/>
    <m/>
    <m/>
    <s v="20000 · Accounts Payable"/>
    <n v="1792"/>
  </r>
  <r>
    <x v="6"/>
    <d v="2022-05-26T00:00:00"/>
    <s v="MAY 10 -MAY 19"/>
    <x v="59"/>
    <m/>
    <m/>
    <m/>
    <s v="20000 · Accounts Payable"/>
    <n v="2048"/>
  </r>
  <r>
    <x v="6"/>
    <d v="2022-06-01T00:00:00"/>
    <s v="may1st -june1st"/>
    <x v="56"/>
    <m/>
    <m/>
    <m/>
    <s v="20000 · Accounts Payable"/>
    <n v="10000"/>
  </r>
  <r>
    <x v="6"/>
    <d v="2022-06-09T00:00:00"/>
    <s v="MAY 24 TO JUNE 3"/>
    <x v="59"/>
    <m/>
    <m/>
    <m/>
    <s v="20000 · Accounts Payable"/>
    <n v="2048"/>
  </r>
  <r>
    <x v="6"/>
    <d v="2022-06-09T00:00:00"/>
    <s v="MAY 31-JUNE 9"/>
    <x v="60"/>
    <m/>
    <m/>
    <m/>
    <s v="20000 · Accounts Payable"/>
    <n v="1390"/>
  </r>
  <r>
    <x v="6"/>
    <d v="2022-06-22T00:00:00"/>
    <m/>
    <x v="56"/>
    <m/>
    <m/>
    <m/>
    <s v="20000 · Accounts Payable"/>
    <n v="6825.45"/>
  </r>
  <r>
    <x v="6"/>
    <d v="2022-06-30T00:00:00"/>
    <s v="24 JUNE -30 JUNE"/>
    <x v="60"/>
    <m/>
    <m/>
    <m/>
    <s v="20000 · Accounts Payable"/>
    <n v="880"/>
  </r>
  <r>
    <x v="6"/>
    <d v="2022-06-30T00:00:00"/>
    <s v="JUNE PAYSLIP"/>
    <x v="55"/>
    <m/>
    <m/>
    <m/>
    <s v="20000 · Accounts Payable"/>
    <n v="8000"/>
  </r>
  <r>
    <x v="6"/>
    <d v="2022-07-07T00:00:00"/>
    <s v="june 9- june 23"/>
    <x v="60"/>
    <m/>
    <m/>
    <m/>
    <s v="20000 · Accounts Payable"/>
    <n v="1846"/>
  </r>
  <r>
    <x v="6"/>
    <d v="2022-07-07T00:00:00"/>
    <s v="june3-june17"/>
    <x v="59"/>
    <m/>
    <m/>
    <m/>
    <s v="20000 · Accounts Payable"/>
    <n v="2024.04"/>
  </r>
  <r>
    <x v="6"/>
    <d v="2022-07-07T00:00:00"/>
    <s v="JUNE20-JUNE30"/>
    <x v="59"/>
    <m/>
    <m/>
    <m/>
    <s v="20000 · Accounts Payable"/>
    <n v="2304"/>
  </r>
  <r>
    <x v="6"/>
    <d v="2022-07-11T00:00:00"/>
    <s v="july 4-july 8"/>
    <x v="61"/>
    <m/>
    <m/>
    <m/>
    <s v="20000 · Accounts Payable"/>
    <n v="1475"/>
  </r>
  <r>
    <x v="6"/>
    <d v="2022-07-21T00:00:00"/>
    <m/>
    <x v="59"/>
    <m/>
    <m/>
    <m/>
    <s v="20000 · Accounts Payable"/>
    <n v="2304"/>
  </r>
  <r>
    <x v="6"/>
    <d v="2022-07-21T00:00:00"/>
    <m/>
    <x v="61"/>
    <m/>
    <m/>
    <m/>
    <s v="20000 · Accounts Payable"/>
    <n v="1641.26"/>
  </r>
  <r>
    <x v="6"/>
    <d v="2022-07-30T00:00:00"/>
    <s v="JULY PAYSLIP"/>
    <x v="55"/>
    <m/>
    <m/>
    <m/>
    <s v="20000 · Accounts Payable"/>
    <n v="8000"/>
  </r>
  <r>
    <x v="6"/>
    <d v="2022-08-04T00:00:00"/>
    <s v="JULY 18-JULY 29"/>
    <x v="59"/>
    <m/>
    <m/>
    <m/>
    <s v="20000 · Accounts Payable"/>
    <n v="2560"/>
  </r>
  <r>
    <x v="6"/>
    <d v="2022-08-04T00:00:00"/>
    <m/>
    <x v="56"/>
    <m/>
    <m/>
    <m/>
    <s v="20000 · Accounts Payable"/>
    <n v="6827.22"/>
  </r>
  <r>
    <x v="6"/>
    <d v="2022-08-04T00:00:00"/>
    <s v="july 21-august 04"/>
    <x v="61"/>
    <m/>
    <m/>
    <m/>
    <s v="20000 · Accounts Payable"/>
    <n v="1725"/>
  </r>
  <r>
    <x v="6"/>
    <d v="2022-08-04T00:00:00"/>
    <s v="july 21- august 04"/>
    <x v="61"/>
    <m/>
    <m/>
    <m/>
    <s v="20000 · Accounts Payable"/>
    <n v="1725"/>
  </r>
  <r>
    <x v="6"/>
    <d v="2022-08-18T00:00:00"/>
    <s v="AUG2-AUG12"/>
    <x v="59"/>
    <m/>
    <m/>
    <m/>
    <s v="20000 · Accounts Payable"/>
    <n v="2304"/>
  </r>
  <r>
    <x v="6"/>
    <d v="2022-08-18T00:00:00"/>
    <s v="AUG5TH-AUG18TH"/>
    <x v="61"/>
    <m/>
    <m/>
    <m/>
    <s v="20000 · Accounts Payable"/>
    <n v="1168.75"/>
  </r>
  <r>
    <x v="6"/>
    <d v="2022-09-01T00:00:00"/>
    <s v="AUG15-AUG26"/>
    <x v="59"/>
    <m/>
    <m/>
    <m/>
    <s v="20000 · Accounts Payable"/>
    <n v="2560"/>
  </r>
  <r>
    <x v="6"/>
    <d v="2022-09-01T00:00:00"/>
    <s v="AUG19-SEP1"/>
    <x v="60"/>
    <m/>
    <m/>
    <m/>
    <s v="20000 · Accounts Payable"/>
    <n v="1486"/>
  </r>
  <r>
    <x v="6"/>
    <d v="2022-09-04T00:00:00"/>
    <m/>
    <x v="56"/>
    <m/>
    <m/>
    <m/>
    <s v="20000 · Accounts Payable"/>
    <n v="6826.55"/>
  </r>
  <r>
    <x v="6"/>
    <d v="2022-09-15T00:00:00"/>
    <s v="AUG29TH-SEPT9TH"/>
    <x v="59"/>
    <m/>
    <m/>
    <m/>
    <s v="20000 · Accounts Payable"/>
    <n v="2048"/>
  </r>
  <r>
    <x v="6"/>
    <d v="2022-09-15T00:00:00"/>
    <s v="SEP2 -SEP15"/>
    <x v="60"/>
    <m/>
    <m/>
    <m/>
    <s v="20000 · Accounts Payable"/>
    <n v="1533.63"/>
  </r>
  <r>
    <x v="6"/>
    <d v="2022-09-29T00:00:00"/>
    <m/>
    <x v="59"/>
    <m/>
    <m/>
    <m/>
    <s v="20000 · Accounts Payable"/>
    <n v="2560"/>
  </r>
  <r>
    <x v="6"/>
    <d v="2022-10-04T00:00:00"/>
    <m/>
    <x v="62"/>
    <m/>
    <m/>
    <m/>
    <s v="20000 · Accounts Payable"/>
    <n v="4500"/>
  </r>
  <r>
    <x v="6"/>
    <d v="2022-10-06T00:00:00"/>
    <m/>
    <x v="62"/>
    <m/>
    <m/>
    <m/>
    <s v="20000 · Accounts Payable"/>
    <n v="4500"/>
  </r>
  <r>
    <x v="6"/>
    <d v="2022-10-13T00:00:00"/>
    <s v="SEP 24-OCT8"/>
    <x v="59"/>
    <m/>
    <m/>
    <m/>
    <s v="20000 · Accounts Payable"/>
    <n v="2670.4"/>
  </r>
  <r>
    <x v="6"/>
    <d v="2022-10-13T00:00:00"/>
    <s v="SEP30-OCT13"/>
    <x v="61"/>
    <m/>
    <m/>
    <m/>
    <s v="20000 · Accounts Payable"/>
    <n v="1835.74"/>
  </r>
  <r>
    <x v="6"/>
    <d v="2022-10-17T00:00:00"/>
    <s v="TILL 5TH OF OCT 2022"/>
    <x v="62"/>
    <m/>
    <m/>
    <m/>
    <s v="20000 · Accounts Payable"/>
    <n v="4820"/>
  </r>
  <r>
    <x v="6"/>
    <d v="2022-10-27T00:00:00"/>
    <s v="OCT9-OCT23"/>
    <x v="59"/>
    <m/>
    <m/>
    <m/>
    <s v="20000 · Accounts Payable"/>
    <n v="2453.33"/>
  </r>
  <r>
    <x v="6"/>
    <d v="2022-10-27T00:00:00"/>
    <s v="OCT14-OCT26"/>
    <x v="61"/>
    <m/>
    <m/>
    <m/>
    <s v="20000 · Accounts Payable"/>
    <n v="1318"/>
  </r>
  <r>
    <x v="6"/>
    <d v="2022-10-27T00:00:00"/>
    <m/>
    <x v="61"/>
    <m/>
    <m/>
    <m/>
    <s v="20000 · Accounts Payable"/>
    <n v="489.74"/>
  </r>
  <r>
    <x v="6"/>
    <d v="2022-10-27T00:00:00"/>
    <s v="OCT 11 -OCT21"/>
    <x v="59"/>
    <m/>
    <m/>
    <m/>
    <s v="20000 · Accounts Payable"/>
    <n v="2670.4"/>
  </r>
  <r>
    <x v="6"/>
    <d v="2022-11-04T00:00:00"/>
    <m/>
    <x v="62"/>
    <m/>
    <m/>
    <m/>
    <s v="11800 · CIBC"/>
    <n v="6295"/>
  </r>
  <r>
    <x v="6"/>
    <d v="2022-11-04T00:00:00"/>
    <m/>
    <x v="63"/>
    <m/>
    <m/>
    <m/>
    <s v="11800 · CIBC"/>
    <n v="4885"/>
  </r>
  <r>
    <x v="6"/>
    <d v="2022-11-07T00:00:00"/>
    <m/>
    <x v="64"/>
    <m/>
    <m/>
    <m/>
    <s v="11800 · CIBC"/>
    <n v="5000"/>
  </r>
  <r>
    <x v="6"/>
    <d v="2022-11-09T00:00:00"/>
    <s v="oct 24-nov 04"/>
    <x v="59"/>
    <m/>
    <m/>
    <m/>
    <s v="20000 · Accounts Payable"/>
    <n v="2268.8000000000002"/>
  </r>
  <r>
    <x v="6"/>
    <d v="2022-11-09T00:00:00"/>
    <s v="oct 27- nov 09"/>
    <x v="61"/>
    <m/>
    <m/>
    <m/>
    <s v="20000 · Accounts Payable"/>
    <n v="1164.5"/>
  </r>
  <r>
    <x v="6"/>
    <d v="2022-11-11T00:00:00"/>
    <m/>
    <x v="56"/>
    <m/>
    <m/>
    <m/>
    <s v="11800 · CIBC"/>
    <n v="6826.78"/>
  </r>
  <r>
    <x v="6"/>
    <d v="2022-11-24T00:00:00"/>
    <m/>
    <x v="59"/>
    <m/>
    <m/>
    <m/>
    <s v="11800 · CIBC"/>
    <n v="1793.91"/>
  </r>
  <r>
    <x v="6"/>
    <d v="2022-12-02T00:00:00"/>
    <m/>
    <x v="59"/>
    <m/>
    <m/>
    <m/>
    <s v="11800 · CIBC"/>
    <n v="2240"/>
  </r>
  <r>
    <x v="6"/>
    <d v="2022-12-08T00:00:00"/>
    <s v="1847"/>
    <x v="59"/>
    <m/>
    <m/>
    <m/>
    <s v="11800 · CIBC"/>
    <n v="2560"/>
  </r>
  <r>
    <x v="6"/>
    <d v="2022-12-08T00:00:00"/>
    <m/>
    <x v="56"/>
    <m/>
    <m/>
    <m/>
    <s v="11800 · CIBC"/>
    <n v="6825.45"/>
  </r>
  <r>
    <x v="6"/>
    <d v="2022-12-22T00:00:00"/>
    <m/>
    <x v="59"/>
    <s v="DEC 5 - DEC 17"/>
    <m/>
    <m/>
    <s v="11800 · CIBC"/>
    <n v="2530.88"/>
  </r>
  <r>
    <x v="6"/>
    <d v="2022-12-22T00:00:00"/>
    <m/>
    <x v="61"/>
    <m/>
    <m/>
    <m/>
    <s v="11800 · CIBC"/>
    <n v="387.25"/>
  </r>
  <r>
    <x v="0"/>
    <m/>
    <m/>
    <x v="0"/>
    <m/>
    <m/>
    <m/>
    <m/>
    <n v="166081.07999999999"/>
  </r>
  <r>
    <x v="0"/>
    <m/>
    <m/>
    <x v="0"/>
    <m/>
    <m/>
    <m/>
    <m/>
    <n v="310993.18"/>
  </r>
  <r>
    <x v="0"/>
    <m/>
    <m/>
    <x v="0"/>
    <m/>
    <m/>
    <m/>
    <m/>
    <n v="-304245.40999999997"/>
  </r>
  <r>
    <x v="0"/>
    <m/>
    <m/>
    <x v="0"/>
    <m/>
    <m/>
    <m/>
    <m/>
    <m/>
  </r>
  <r>
    <x v="0"/>
    <m/>
    <m/>
    <x v="0"/>
    <m/>
    <m/>
    <m/>
    <m/>
    <m/>
  </r>
  <r>
    <x v="7"/>
    <d v="2022-06-21T00:00:00"/>
    <s v="27"/>
    <x v="65"/>
    <s v="accounting fee for corporate setup and purchase"/>
    <m/>
    <m/>
    <s v="20000 · Accounts Payable"/>
    <n v="15000"/>
  </r>
  <r>
    <x v="8"/>
    <d v="2022-09-29T00:00:00"/>
    <m/>
    <x v="45"/>
    <m/>
    <m/>
    <m/>
    <s v="20000 · Accounts Payable"/>
    <n v="9275"/>
  </r>
  <r>
    <x v="0"/>
    <m/>
    <m/>
    <x v="0"/>
    <m/>
    <m/>
    <m/>
    <m/>
    <n v="24275"/>
  </r>
  <r>
    <x v="0"/>
    <m/>
    <m/>
    <x v="0"/>
    <m/>
    <m/>
    <m/>
    <m/>
    <m/>
  </r>
  <r>
    <x v="9"/>
    <d v="2022-05-18T00:00:00"/>
    <m/>
    <x v="66"/>
    <m/>
    <m/>
    <m/>
    <s v="20000 · Accounts Payable"/>
    <n v="144.86000000000001"/>
  </r>
  <r>
    <x v="9"/>
    <d v="2022-06-07T00:00:00"/>
    <m/>
    <x v="67"/>
    <s v="EXTENDED WARRANTY ON THE NEW VAN"/>
    <m/>
    <m/>
    <s v="CIBC VISA"/>
    <n v="1696.23"/>
  </r>
  <r>
    <x v="9"/>
    <d v="2022-07-06T00:00:00"/>
    <m/>
    <x v="66"/>
    <m/>
    <m/>
    <m/>
    <s v="20000 · Accounts Payable"/>
    <n v="278.3"/>
  </r>
  <r>
    <x v="9"/>
    <d v="2022-07-14T00:00:00"/>
    <m/>
    <x v="39"/>
    <m/>
    <m/>
    <m/>
    <s v="11800 · CIBC"/>
    <n v="886.51"/>
  </r>
  <r>
    <x v="9"/>
    <d v="2022-07-29T00:00:00"/>
    <m/>
    <x v="66"/>
    <m/>
    <m/>
    <m/>
    <s v="11800 · CIBC"/>
    <n v="272.41000000000003"/>
  </r>
  <r>
    <x v="9"/>
    <d v="2022-08-03T00:00:00"/>
    <s v="1787"/>
    <x v="39"/>
    <m/>
    <m/>
    <m/>
    <s v="11800 · CIBC"/>
    <n v="2332.66"/>
  </r>
  <r>
    <x v="9"/>
    <d v="2022-09-08T00:00:00"/>
    <m/>
    <x v="66"/>
    <m/>
    <m/>
    <m/>
    <s v="20000 · Accounts Payable"/>
    <n v="111.5"/>
  </r>
  <r>
    <x v="9"/>
    <d v="2022-09-29T00:00:00"/>
    <m/>
    <x v="45"/>
    <m/>
    <m/>
    <m/>
    <s v="20000 · Accounts Payable"/>
    <n v="5578.37"/>
  </r>
  <r>
    <x v="9"/>
    <d v="2022-10-10T00:00:00"/>
    <m/>
    <x v="66"/>
    <m/>
    <m/>
    <m/>
    <s v="20000 · Accounts Payable"/>
    <n v="309.67"/>
  </r>
  <r>
    <x v="9"/>
    <d v="2022-11-10T00:00:00"/>
    <m/>
    <x v="66"/>
    <m/>
    <m/>
    <m/>
    <s v="20000 · Accounts Payable"/>
    <n v="356.12"/>
  </r>
  <r>
    <x v="9"/>
    <d v="2022-12-10T00:00:00"/>
    <m/>
    <x v="66"/>
    <m/>
    <m/>
    <m/>
    <s v="11800 · CIBC"/>
    <n v="470.27"/>
  </r>
  <r>
    <x v="0"/>
    <m/>
    <m/>
    <x v="0"/>
    <m/>
    <m/>
    <m/>
    <m/>
    <n v="12436.9"/>
  </r>
  <r>
    <x v="0"/>
    <m/>
    <m/>
    <x v="0"/>
    <m/>
    <m/>
    <m/>
    <m/>
    <m/>
  </r>
  <r>
    <x v="10"/>
    <d v="2022-08-03T00:00:00"/>
    <s v="43"/>
    <x v="0"/>
    <s v="E-TRANSFER FOR MARKETING PER ASSAMA"/>
    <m/>
    <m/>
    <s v="11800 · CIBC"/>
    <n v="800"/>
  </r>
  <r>
    <x v="11"/>
    <d v="2022-09-29T00:00:00"/>
    <m/>
    <x v="45"/>
    <m/>
    <m/>
    <m/>
    <s v="20000 · Accounts Payable"/>
    <n v="4714"/>
  </r>
  <r>
    <x v="0"/>
    <m/>
    <m/>
    <x v="0"/>
    <m/>
    <m/>
    <m/>
    <m/>
    <n v="5514"/>
  </r>
  <r>
    <x v="0"/>
    <m/>
    <m/>
    <x v="0"/>
    <m/>
    <m/>
    <m/>
    <m/>
    <m/>
  </r>
  <r>
    <x v="9"/>
    <d v="2022-05-10T00:00:00"/>
    <m/>
    <x v="68"/>
    <m/>
    <m/>
    <m/>
    <s v="20000 · Accounts Payable"/>
    <n v="360"/>
  </r>
  <r>
    <x v="9"/>
    <d v="2022-05-27T00:00:00"/>
    <m/>
    <x v="68"/>
    <m/>
    <m/>
    <m/>
    <s v="20000 · Accounts Payable"/>
    <n v="400"/>
  </r>
  <r>
    <x v="9"/>
    <d v="2022-11-02T00:00:00"/>
    <m/>
    <x v="69"/>
    <s v="WINSH REPAIR"/>
    <m/>
    <m/>
    <s v="20000 · Accounts Payable"/>
    <n v="132.74"/>
  </r>
  <r>
    <x v="0"/>
    <m/>
    <m/>
    <x v="0"/>
    <m/>
    <m/>
    <m/>
    <m/>
    <n v="892.74"/>
  </r>
  <r>
    <x v="0"/>
    <m/>
    <m/>
    <x v="0"/>
    <m/>
    <m/>
    <m/>
    <m/>
    <m/>
  </r>
  <r>
    <x v="12"/>
    <d v="2022-04-12T00:00:00"/>
    <m/>
    <x v="70"/>
    <m/>
    <m/>
    <m/>
    <s v="11800 · CIBC"/>
    <n v="135.5"/>
  </r>
  <r>
    <x v="12"/>
    <d v="2022-04-21T00:00:00"/>
    <s v="1665"/>
    <x v="71"/>
    <m/>
    <m/>
    <m/>
    <s v="11800 · CIBC"/>
    <n v="88.5"/>
  </r>
  <r>
    <x v="12"/>
    <d v="2022-04-21T00:00:00"/>
    <s v="1667"/>
    <x v="39"/>
    <m/>
    <m/>
    <m/>
    <s v="11800 · CIBC"/>
    <n v="109.73"/>
  </r>
  <r>
    <x v="12"/>
    <d v="2022-05-03T00:00:00"/>
    <m/>
    <x v="70"/>
    <m/>
    <m/>
    <m/>
    <s v="11800 · CIBC"/>
    <n v="279.77999999999997"/>
  </r>
  <r>
    <x v="12"/>
    <d v="2022-07-05T00:00:00"/>
    <m/>
    <x v="70"/>
    <m/>
    <m/>
    <m/>
    <s v="11800 · CIBC"/>
    <n v="1578.41"/>
  </r>
  <r>
    <x v="12"/>
    <d v="2022-07-14T00:00:00"/>
    <m/>
    <x v="39"/>
    <m/>
    <m/>
    <m/>
    <s v="11800 · CIBC"/>
    <n v="420.49"/>
  </r>
  <r>
    <x v="12"/>
    <d v="2022-08-04T00:00:00"/>
    <m/>
    <x v="70"/>
    <m/>
    <m/>
    <m/>
    <s v="11800 · CIBC"/>
    <n v="860.35"/>
  </r>
  <r>
    <x v="12"/>
    <d v="2022-10-06T00:00:00"/>
    <m/>
    <x v="70"/>
    <m/>
    <m/>
    <m/>
    <s v="20000 · Accounts Payable"/>
    <n v="2586.4499999999998"/>
  </r>
  <r>
    <x v="12"/>
    <d v="2022-10-28T00:00:00"/>
    <m/>
    <x v="70"/>
    <m/>
    <m/>
    <m/>
    <s v="20000 · Accounts Payable"/>
    <n v="153.83000000000001"/>
  </r>
  <r>
    <x v="12"/>
    <d v="2022-11-01T00:00:00"/>
    <m/>
    <x v="70"/>
    <m/>
    <m/>
    <m/>
    <s v="20000 · Accounts Payable"/>
    <n v="115.39"/>
  </r>
  <r>
    <x v="12"/>
    <d v="2022-11-02T00:00:00"/>
    <m/>
    <x v="70"/>
    <m/>
    <m/>
    <m/>
    <s v="20000 · Accounts Payable"/>
    <n v="176.99"/>
  </r>
  <r>
    <x v="12"/>
    <d v="2022-11-03T00:00:00"/>
    <m/>
    <x v="70"/>
    <m/>
    <m/>
    <m/>
    <s v="20000 · Accounts Payable"/>
    <n v="107.96"/>
  </r>
  <r>
    <x v="12"/>
    <d v="2022-11-04T00:00:00"/>
    <m/>
    <x v="70"/>
    <m/>
    <m/>
    <m/>
    <s v="20000 · Accounts Payable"/>
    <n v="143.69999999999999"/>
  </r>
  <r>
    <x v="12"/>
    <d v="2022-11-08T00:00:00"/>
    <m/>
    <x v="70"/>
    <m/>
    <m/>
    <m/>
    <s v="20000 · Accounts Payable"/>
    <n v="166.59"/>
  </r>
  <r>
    <x v="12"/>
    <d v="2022-11-14T00:00:00"/>
    <m/>
    <x v="70"/>
    <m/>
    <m/>
    <m/>
    <s v="20000 · Accounts Payable"/>
    <n v="128.5"/>
  </r>
  <r>
    <x v="12"/>
    <d v="2022-11-16T00:00:00"/>
    <m/>
    <x v="70"/>
    <m/>
    <m/>
    <m/>
    <s v="20000 · Accounts Payable"/>
    <n v="163.28"/>
  </r>
  <r>
    <x v="12"/>
    <d v="2022-11-29T00:00:00"/>
    <s v="1849"/>
    <x v="70"/>
    <m/>
    <m/>
    <m/>
    <s v="11800 · CIBC"/>
    <n v="2261.9499999999998"/>
  </r>
  <r>
    <x v="12"/>
    <d v="2022-12-07T00:00:00"/>
    <m/>
    <x v="70"/>
    <m/>
    <m/>
    <m/>
    <s v="20000 · Accounts Payable"/>
    <n v="105"/>
  </r>
  <r>
    <x v="12"/>
    <d v="2022-12-20T00:00:00"/>
    <m/>
    <x v="70"/>
    <m/>
    <m/>
    <m/>
    <s v="20000 · Accounts Payable"/>
    <n v="96.97"/>
  </r>
  <r>
    <x v="12"/>
    <d v="2022-12-21T00:00:00"/>
    <m/>
    <x v="70"/>
    <m/>
    <m/>
    <m/>
    <s v="20000 · Accounts Payable"/>
    <n v="96.35"/>
  </r>
  <r>
    <x v="12"/>
    <d v="2022-12-21T00:00:00"/>
    <m/>
    <x v="70"/>
    <m/>
    <m/>
    <m/>
    <s v="20000 · Accounts Payable"/>
    <n v="100.35"/>
  </r>
  <r>
    <x v="12"/>
    <d v="2022-12-22T00:00:00"/>
    <m/>
    <x v="70"/>
    <m/>
    <m/>
    <m/>
    <s v="20000 · Accounts Payable"/>
    <n v="131.65"/>
  </r>
  <r>
    <x v="0"/>
    <m/>
    <m/>
    <x v="0"/>
    <m/>
    <m/>
    <m/>
    <m/>
    <n v="10007.719999999999"/>
  </r>
  <r>
    <x v="0"/>
    <m/>
    <m/>
    <x v="0"/>
    <m/>
    <m/>
    <m/>
    <m/>
    <m/>
  </r>
  <r>
    <x v="13"/>
    <d v="2022-04-30T00:00:00"/>
    <m/>
    <x v="0"/>
    <m/>
    <m/>
    <m/>
    <s v="11800 · CIBC"/>
    <n v="204.62"/>
  </r>
  <r>
    <x v="13"/>
    <d v="2022-05-25T00:00:00"/>
    <s v="41"/>
    <x v="0"/>
    <s v="new 2020 RAM 3500 financed 84 months. total financing charges over term 19,094.42"/>
    <m/>
    <m/>
    <s v="15400 · Vehicles"/>
    <n v="124.11"/>
  </r>
  <r>
    <x v="13"/>
    <d v="2022-05-31T00:00:00"/>
    <m/>
    <x v="0"/>
    <m/>
    <m/>
    <m/>
    <s v="11800 · CIBC"/>
    <n v="145.31"/>
  </r>
  <r>
    <x v="13"/>
    <d v="2022-06-27T00:00:00"/>
    <m/>
    <x v="0"/>
    <m/>
    <m/>
    <m/>
    <s v="11800 · CIBC"/>
    <n v="331.55"/>
  </r>
  <r>
    <x v="13"/>
    <d v="2022-07-01T00:00:00"/>
    <m/>
    <x v="0"/>
    <s v="Service Charge"/>
    <m/>
    <m/>
    <s v="11800 · CIBC"/>
    <n v="573.23"/>
  </r>
  <r>
    <x v="13"/>
    <d v="2022-07-04T00:00:00"/>
    <s v="34"/>
    <x v="0"/>
    <m/>
    <m/>
    <m/>
    <s v="11800 · CIBC"/>
    <n v="2"/>
  </r>
  <r>
    <x v="13"/>
    <d v="2022-08-01T00:00:00"/>
    <m/>
    <x v="0"/>
    <s v="Service Charge"/>
    <m/>
    <m/>
    <s v="11800 · CIBC"/>
    <n v="1064.25"/>
  </r>
  <r>
    <x v="13"/>
    <d v="2022-09-01T00:00:00"/>
    <m/>
    <x v="0"/>
    <s v="Service Charge"/>
    <m/>
    <m/>
    <s v="11800 · CIBC"/>
    <n v="842.03"/>
  </r>
  <r>
    <x v="13"/>
    <d v="2022-09-29T00:00:00"/>
    <m/>
    <x v="45"/>
    <m/>
    <m/>
    <m/>
    <s v="20000 · Accounts Payable"/>
    <n v="970.73"/>
  </r>
  <r>
    <x v="13"/>
    <d v="2022-10-01T00:00:00"/>
    <m/>
    <x v="0"/>
    <s v="Service Charge"/>
    <m/>
    <m/>
    <s v="11800 · CIBC"/>
    <n v="1726.5"/>
  </r>
  <r>
    <x v="13"/>
    <d v="2022-11-01T00:00:00"/>
    <m/>
    <x v="0"/>
    <s v="Service Charge"/>
    <m/>
    <m/>
    <s v="11800 · CIBC"/>
    <n v="298.55"/>
  </r>
  <r>
    <x v="13"/>
    <d v="2022-11-14T00:00:00"/>
    <s v="67"/>
    <x v="0"/>
    <s v="INTENDED PAYEE NOT PAID"/>
    <m/>
    <m/>
    <s v="11800 · CIBC"/>
    <n v="558.24"/>
  </r>
  <r>
    <x v="13"/>
    <d v="2022-11-14T00:00:00"/>
    <s v="68"/>
    <x v="0"/>
    <s v="RETUR"/>
    <m/>
    <m/>
    <s v="11800 · CIBC"/>
    <n v="7"/>
  </r>
  <r>
    <x v="13"/>
    <d v="2022-12-01T00:00:00"/>
    <m/>
    <x v="0"/>
    <s v="Service Charge"/>
    <m/>
    <m/>
    <s v="11800 · CIBC"/>
    <n v="1195.1600000000001"/>
  </r>
  <r>
    <x v="0"/>
    <m/>
    <m/>
    <x v="0"/>
    <m/>
    <m/>
    <m/>
    <m/>
    <n v="8043.28"/>
  </r>
  <r>
    <x v="0"/>
    <m/>
    <m/>
    <x v="0"/>
    <m/>
    <m/>
    <m/>
    <m/>
    <m/>
  </r>
  <r>
    <x v="14"/>
    <d v="2022-09-13T00:00:00"/>
    <s v="53"/>
    <x v="0"/>
    <s v="PERMIT PAYMENTS"/>
    <m/>
    <m/>
    <s v="-SPLIT-"/>
    <n v="678"/>
  </r>
  <r>
    <x v="14"/>
    <d v="2022-09-13T00:00:00"/>
    <s v="53"/>
    <x v="0"/>
    <s v="PERMIT PAYMENTS"/>
    <m/>
    <m/>
    <s v="61000 · Business Licenses and Permits"/>
    <n v="678"/>
  </r>
  <r>
    <x v="0"/>
    <m/>
    <m/>
    <x v="0"/>
    <m/>
    <m/>
    <m/>
    <m/>
    <n v="1356"/>
  </r>
  <r>
    <x v="0"/>
    <m/>
    <m/>
    <x v="0"/>
    <m/>
    <m/>
    <m/>
    <m/>
    <m/>
  </r>
  <r>
    <x v="15"/>
    <d v="2022-06-13T00:00:00"/>
    <m/>
    <x v="0"/>
    <s v="new white truck"/>
    <m/>
    <m/>
    <s v="11800 · CIBC"/>
    <n v="402.22"/>
  </r>
  <r>
    <x v="15"/>
    <d v="2022-06-27T00:00:00"/>
    <m/>
    <x v="0"/>
    <m/>
    <m/>
    <m/>
    <s v="11800 · CIBC"/>
    <n v="402.22"/>
  </r>
  <r>
    <x v="15"/>
    <d v="2022-11-25T00:00:00"/>
    <s v="65"/>
    <x v="0"/>
    <m/>
    <m/>
    <m/>
    <s v="11800 · CIBC"/>
    <n v="1091.5899999999999"/>
  </r>
  <r>
    <x v="0"/>
    <m/>
    <m/>
    <x v="0"/>
    <m/>
    <m/>
    <m/>
    <m/>
    <n v="1896.03"/>
  </r>
  <r>
    <x v="0"/>
    <m/>
    <m/>
    <x v="0"/>
    <m/>
    <m/>
    <m/>
    <m/>
    <m/>
  </r>
  <r>
    <x v="16"/>
    <d v="2022-04-04T00:00:00"/>
    <s v="26"/>
    <x v="0"/>
    <s v="PAYING THE QBS ON BEHAIF OF THE COMOANY"/>
    <m/>
    <m/>
    <s v="-SPLIT-"/>
    <n v="593.27"/>
  </r>
  <r>
    <x v="0"/>
    <m/>
    <m/>
    <x v="0"/>
    <m/>
    <m/>
    <m/>
    <m/>
    <n v="593.27"/>
  </r>
  <r>
    <x v="0"/>
    <m/>
    <m/>
    <x v="0"/>
    <m/>
    <m/>
    <m/>
    <m/>
    <m/>
  </r>
  <r>
    <x v="17"/>
    <d v="2022-05-20T00:00:00"/>
    <m/>
    <x v="72"/>
    <m/>
    <m/>
    <m/>
    <s v="11800 · CIBC"/>
    <n v="6257.66"/>
  </r>
  <r>
    <x v="17"/>
    <d v="2022-06-20T00:00:00"/>
    <m/>
    <x v="72"/>
    <m/>
    <m/>
    <m/>
    <s v="11800 · CIBC"/>
    <n v="3487.68"/>
  </r>
  <r>
    <x v="17"/>
    <d v="2022-07-20T00:00:00"/>
    <m/>
    <x v="72"/>
    <m/>
    <m/>
    <m/>
    <s v="20000 · Accounts Payable"/>
    <n v="3940.95"/>
  </r>
  <r>
    <x v="17"/>
    <d v="2022-08-22T00:00:00"/>
    <m/>
    <x v="72"/>
    <m/>
    <m/>
    <m/>
    <s v="20000 · Accounts Payable"/>
    <n v="3487.57"/>
  </r>
  <r>
    <x v="17"/>
    <d v="2022-09-20T00:00:00"/>
    <m/>
    <x v="72"/>
    <m/>
    <m/>
    <m/>
    <s v="11800 · CIBC"/>
    <n v="4212.46"/>
  </r>
  <r>
    <x v="17"/>
    <d v="2022-10-20T00:00:00"/>
    <s v="1842"/>
    <x v="72"/>
    <m/>
    <m/>
    <m/>
    <s v="11800 · CIBC"/>
    <n v="3478.29"/>
  </r>
  <r>
    <x v="17"/>
    <d v="2022-11-21T00:00:00"/>
    <m/>
    <x v="72"/>
    <m/>
    <m/>
    <m/>
    <s v="20000 · Accounts Payable"/>
    <n v="3732.9"/>
  </r>
  <r>
    <x v="17"/>
    <d v="2022-12-20T00:00:00"/>
    <m/>
    <x v="72"/>
    <m/>
    <m/>
    <m/>
    <s v="20000 · Accounts Payable"/>
    <n v="3732.89"/>
  </r>
  <r>
    <x v="0"/>
    <m/>
    <m/>
    <x v="0"/>
    <m/>
    <m/>
    <m/>
    <m/>
    <n v="32330.400000000001"/>
  </r>
  <r>
    <x v="0"/>
    <m/>
    <m/>
    <x v="0"/>
    <m/>
    <m/>
    <m/>
    <m/>
    <m/>
  </r>
  <r>
    <x v="18"/>
    <d v="2022-04-30T00:00:00"/>
    <m/>
    <x v="73"/>
    <m/>
    <m/>
    <m/>
    <s v="20000 · Accounts Payable"/>
    <n v="198.43"/>
  </r>
  <r>
    <x v="18"/>
    <d v="2022-06-10T00:00:00"/>
    <m/>
    <x v="73"/>
    <m/>
    <m/>
    <m/>
    <s v="20000 · Accounts Payable"/>
    <n v="206.23"/>
  </r>
  <r>
    <x v="18"/>
    <d v="2022-07-29T00:00:00"/>
    <m/>
    <x v="73"/>
    <m/>
    <m/>
    <m/>
    <s v="11800 · CIBC"/>
    <n v="414.9"/>
  </r>
  <r>
    <x v="18"/>
    <d v="2022-09-30T00:00:00"/>
    <m/>
    <x v="73"/>
    <m/>
    <m/>
    <m/>
    <s v="20000 · Accounts Payable"/>
    <n v="223.42"/>
  </r>
  <r>
    <x v="18"/>
    <d v="2022-10-31T00:00:00"/>
    <m/>
    <x v="73"/>
    <m/>
    <m/>
    <m/>
    <s v="20000 · Accounts Payable"/>
    <n v="235.11"/>
  </r>
  <r>
    <x v="18"/>
    <d v="2022-11-30T00:00:00"/>
    <m/>
    <x v="73"/>
    <m/>
    <m/>
    <m/>
    <s v="20000 · Accounts Payable"/>
    <n v="277.18"/>
  </r>
  <r>
    <x v="18"/>
    <d v="2022-12-31T00:00:00"/>
    <m/>
    <x v="73"/>
    <m/>
    <m/>
    <m/>
    <s v="20000 · Accounts Payable"/>
    <n v="225.9"/>
  </r>
  <r>
    <x v="0"/>
    <m/>
    <m/>
    <x v="0"/>
    <m/>
    <m/>
    <m/>
    <m/>
    <n v="1781.17"/>
  </r>
  <r>
    <x v="0"/>
    <m/>
    <m/>
    <x v="0"/>
    <m/>
    <m/>
    <m/>
    <m/>
    <m/>
  </r>
  <r>
    <x v="19"/>
    <d v="2022-05-09T00:00:00"/>
    <m/>
    <x v="74"/>
    <m/>
    <m/>
    <m/>
    <s v="11800 · CIBC"/>
    <n v="377.68"/>
  </r>
  <r>
    <x v="19"/>
    <d v="2022-06-01T00:00:00"/>
    <m/>
    <x v="0"/>
    <m/>
    <m/>
    <m/>
    <s v="11800 · CIBC"/>
    <n v="88"/>
  </r>
  <r>
    <x v="19"/>
    <d v="2022-07-04T00:00:00"/>
    <m/>
    <x v="75"/>
    <m/>
    <m/>
    <m/>
    <s v="20000 · Accounts Payable"/>
    <n v="88"/>
  </r>
  <r>
    <x v="19"/>
    <d v="2022-07-04T00:00:00"/>
    <m/>
    <x v="75"/>
    <m/>
    <m/>
    <m/>
    <s v="20000 · Accounts Payable"/>
    <n v="88"/>
  </r>
  <r>
    <x v="19"/>
    <d v="2022-07-05T00:00:00"/>
    <s v="38"/>
    <x v="0"/>
    <m/>
    <m/>
    <m/>
    <s v="11800 · CIBC"/>
    <n v="-99.44"/>
  </r>
  <r>
    <x v="19"/>
    <d v="2022-08-02T00:00:00"/>
    <m/>
    <x v="75"/>
    <m/>
    <m/>
    <m/>
    <s v="20000 · Accounts Payable"/>
    <n v="88"/>
  </r>
  <r>
    <x v="19"/>
    <d v="2022-09-01T00:00:00"/>
    <m/>
    <x v="74"/>
    <m/>
    <m/>
    <m/>
    <s v="11800 · CIBC"/>
    <n v="88"/>
  </r>
  <r>
    <x v="19"/>
    <d v="2022-10-03T00:00:00"/>
    <m/>
    <x v="75"/>
    <m/>
    <m/>
    <m/>
    <s v="20000 · Accounts Payable"/>
    <n v="88"/>
  </r>
  <r>
    <x v="19"/>
    <d v="2022-11-02T00:00:00"/>
    <m/>
    <x v="74"/>
    <m/>
    <m/>
    <m/>
    <s v="20000 · Accounts Payable"/>
    <n v="88"/>
  </r>
  <r>
    <x v="19"/>
    <d v="2022-12-01T00:00:00"/>
    <m/>
    <x v="75"/>
    <m/>
    <m/>
    <m/>
    <s v="20000 · Accounts Payable"/>
    <n v="88"/>
  </r>
  <r>
    <x v="0"/>
    <m/>
    <m/>
    <x v="0"/>
    <m/>
    <m/>
    <m/>
    <m/>
    <n v="982.24"/>
  </r>
  <r>
    <x v="0"/>
    <m/>
    <m/>
    <x v="0"/>
    <m/>
    <m/>
    <m/>
    <m/>
    <m/>
  </r>
  <r>
    <x v="20"/>
    <d v="2022-09-29T00:00:00"/>
    <m/>
    <x v="45"/>
    <m/>
    <m/>
    <m/>
    <s v="20000 · Accounts Payable"/>
    <n v="1145.07"/>
  </r>
  <r>
    <x v="0"/>
    <m/>
    <m/>
    <x v="0"/>
    <m/>
    <m/>
    <m/>
    <m/>
    <n v="1145.07"/>
  </r>
  <r>
    <x v="0"/>
    <m/>
    <m/>
    <x v="0"/>
    <m/>
    <m/>
    <m/>
    <m/>
    <m/>
  </r>
  <r>
    <x v="21"/>
    <d v="2022-04-21T00:00:00"/>
    <m/>
    <x v="76"/>
    <m/>
    <m/>
    <m/>
    <s v="11800 · CIBC"/>
    <n v="40"/>
  </r>
  <r>
    <x v="21"/>
    <d v="2022-05-02T00:00:00"/>
    <m/>
    <x v="76"/>
    <m/>
    <m/>
    <m/>
    <s v="11800 · CIBC"/>
    <n v="40"/>
  </r>
  <r>
    <x v="21"/>
    <d v="2022-06-02T00:00:00"/>
    <m/>
    <x v="76"/>
    <m/>
    <m/>
    <m/>
    <s v="11800 · CIBC"/>
    <n v="40"/>
  </r>
  <r>
    <x v="21"/>
    <d v="2022-07-04T00:00:00"/>
    <m/>
    <x v="76"/>
    <m/>
    <m/>
    <m/>
    <s v="20000 · Accounts Payable"/>
    <n v="40"/>
  </r>
  <r>
    <x v="21"/>
    <d v="2022-08-03T00:00:00"/>
    <m/>
    <x v="76"/>
    <m/>
    <m/>
    <m/>
    <s v="20000 · Accounts Payable"/>
    <n v="40"/>
  </r>
  <r>
    <x v="21"/>
    <d v="2022-09-02T00:00:00"/>
    <m/>
    <x v="76"/>
    <m/>
    <m/>
    <m/>
    <s v="11800 · CIBC"/>
    <n v="40"/>
  </r>
  <r>
    <x v="21"/>
    <d v="2022-10-03T00:00:00"/>
    <m/>
    <x v="76"/>
    <m/>
    <m/>
    <m/>
    <s v="20000 · Accounts Payable"/>
    <n v="40"/>
  </r>
  <r>
    <x v="21"/>
    <d v="2022-11-02T00:00:00"/>
    <m/>
    <x v="76"/>
    <m/>
    <m/>
    <m/>
    <s v="20000 · Accounts Payable"/>
    <n v="40"/>
  </r>
  <r>
    <x v="21"/>
    <d v="2022-12-02T00:00:00"/>
    <m/>
    <x v="76"/>
    <m/>
    <m/>
    <m/>
    <s v="20000 · Accounts Payable"/>
    <n v="40"/>
  </r>
  <r>
    <x v="0"/>
    <m/>
    <m/>
    <x v="0"/>
    <m/>
    <m/>
    <m/>
    <m/>
    <n v="360"/>
  </r>
  <r>
    <x v="0"/>
    <m/>
    <m/>
    <x v="0"/>
    <m/>
    <m/>
    <m/>
    <m/>
    <m/>
  </r>
  <r>
    <x v="22"/>
    <d v="2022-04-20T00:00:00"/>
    <s v="5268"/>
    <x v="77"/>
    <m/>
    <m/>
    <m/>
    <s v="20000 · Accounts Payable"/>
    <n v="210"/>
  </r>
  <r>
    <x v="22"/>
    <d v="2022-05-09T00:00:00"/>
    <m/>
    <x v="77"/>
    <m/>
    <m/>
    <m/>
    <s v="20000 · Accounts Payable"/>
    <n v="210"/>
  </r>
  <r>
    <x v="22"/>
    <d v="2022-05-17T00:00:00"/>
    <m/>
    <x v="77"/>
    <m/>
    <m/>
    <m/>
    <s v="20000 · Accounts Payable"/>
    <n v="210"/>
  </r>
  <r>
    <x v="22"/>
    <d v="2022-06-20T00:00:00"/>
    <m/>
    <x v="77"/>
    <m/>
    <m/>
    <m/>
    <s v="11800 · CIBC"/>
    <n v="420"/>
  </r>
  <r>
    <x v="22"/>
    <d v="2022-07-06T00:00:00"/>
    <m/>
    <x v="77"/>
    <m/>
    <m/>
    <m/>
    <s v="20000 · Accounts Payable"/>
    <n v="105"/>
  </r>
  <r>
    <x v="22"/>
    <d v="2022-07-11T00:00:00"/>
    <m/>
    <x v="77"/>
    <m/>
    <m/>
    <m/>
    <s v="20000 · Accounts Payable"/>
    <n v="105"/>
  </r>
  <r>
    <x v="22"/>
    <d v="2022-08-08T00:00:00"/>
    <m/>
    <x v="77"/>
    <m/>
    <m/>
    <m/>
    <s v="20000 · Accounts Payable"/>
    <n v="420"/>
  </r>
  <r>
    <x v="22"/>
    <d v="2022-08-09T00:00:00"/>
    <m/>
    <x v="77"/>
    <m/>
    <m/>
    <m/>
    <s v="20000 · Accounts Payable"/>
    <n v="420"/>
  </r>
  <r>
    <x v="22"/>
    <d v="2022-08-19T00:00:00"/>
    <m/>
    <x v="77"/>
    <m/>
    <m/>
    <m/>
    <s v="20000 · Accounts Payable"/>
    <n v="210"/>
  </r>
  <r>
    <x v="22"/>
    <d v="2022-09-07T00:00:00"/>
    <s v="55"/>
    <x v="0"/>
    <m/>
    <m/>
    <m/>
    <s v="11800 · CIBC"/>
    <n v="-474.6"/>
  </r>
  <r>
    <x v="22"/>
    <d v="2022-09-14T00:00:00"/>
    <m/>
    <x v="77"/>
    <m/>
    <m/>
    <m/>
    <s v="11800 · CIBC"/>
    <n v="355.95"/>
  </r>
  <r>
    <x v="22"/>
    <d v="2022-10-25T00:00:00"/>
    <m/>
    <x v="77"/>
    <m/>
    <m/>
    <m/>
    <s v="20000 · Accounts Payable"/>
    <n v="630"/>
  </r>
  <r>
    <x v="0"/>
    <m/>
    <m/>
    <x v="0"/>
    <m/>
    <m/>
    <m/>
    <m/>
    <n v="2821.35"/>
  </r>
  <r>
    <x v="0"/>
    <m/>
    <m/>
    <x v="0"/>
    <m/>
    <m/>
    <m/>
    <m/>
    <m/>
  </r>
  <r>
    <x v="23"/>
    <d v="2022-04-19T00:00:00"/>
    <s v="1662"/>
    <x v="78"/>
    <s v="paid from personal credit card fpr supplies"/>
    <m/>
    <m/>
    <s v="11800 · CIBC"/>
    <n v="815.07"/>
  </r>
  <r>
    <x v="23"/>
    <d v="2022-05-03T00:00:00"/>
    <m/>
    <x v="78"/>
    <s v="PRINT OUT FROM STAPLES PAID PERSONLLY"/>
    <m/>
    <m/>
    <s v="11800 · CIBC"/>
    <n v="114.53"/>
  </r>
  <r>
    <x v="23"/>
    <d v="2022-05-05T00:00:00"/>
    <m/>
    <x v="79"/>
    <m/>
    <m/>
    <m/>
    <s v="20000 · Accounts Payable"/>
    <n v="500"/>
  </r>
  <r>
    <x v="23"/>
    <d v="2022-05-17T00:00:00"/>
    <m/>
    <x v="80"/>
    <m/>
    <m/>
    <m/>
    <s v="CIBC VISA"/>
    <n v="634.24"/>
  </r>
  <r>
    <x v="23"/>
    <d v="2022-05-18T00:00:00"/>
    <m/>
    <x v="79"/>
    <m/>
    <m/>
    <m/>
    <s v="20000 · Accounts Payable"/>
    <n v="2990.82"/>
  </r>
  <r>
    <x v="23"/>
    <d v="2022-05-18T00:00:00"/>
    <m/>
    <x v="81"/>
    <m/>
    <m/>
    <m/>
    <s v="CIBC VISA"/>
    <n v="41.18"/>
  </r>
  <r>
    <x v="23"/>
    <d v="2022-05-20T00:00:00"/>
    <s v="1678"/>
    <x v="82"/>
    <m/>
    <m/>
    <m/>
    <s v="11800 · CIBC"/>
    <n v="3805.31"/>
  </r>
  <r>
    <x v="23"/>
    <d v="2022-05-24T00:00:00"/>
    <m/>
    <x v="80"/>
    <m/>
    <m/>
    <m/>
    <s v="CIBC VISA"/>
    <n v="-299.99"/>
  </r>
  <r>
    <x v="23"/>
    <d v="2022-06-13T00:00:00"/>
    <s v="1723"/>
    <x v="83"/>
    <s v="assama paid from his personal account"/>
    <m/>
    <m/>
    <s v="11800 · CIBC"/>
    <n v="3258.34"/>
  </r>
  <r>
    <x v="23"/>
    <d v="2022-06-13T00:00:00"/>
    <s v="1724"/>
    <x v="39"/>
    <m/>
    <m/>
    <m/>
    <s v="11800 · CIBC"/>
    <n v="573.21"/>
  </r>
  <r>
    <x v="23"/>
    <d v="2022-06-13T00:00:00"/>
    <s v="1725"/>
    <x v="83"/>
    <s v="assama paid from his personal account for lawyer and office needs"/>
    <m/>
    <m/>
    <s v="11800 · CIBC"/>
    <n v="4096.82"/>
  </r>
  <r>
    <x v="23"/>
    <d v="2022-06-13T00:00:00"/>
    <s v="1726"/>
    <x v="78"/>
    <s v="haneen paid from personal account"/>
    <m/>
    <m/>
    <s v="11800 · CIBC"/>
    <n v="549.46"/>
  </r>
  <r>
    <x v="23"/>
    <d v="2022-06-21T00:00:00"/>
    <s v="27"/>
    <x v="65"/>
    <m/>
    <m/>
    <m/>
    <s v="20000 · Accounts Payable"/>
    <n v="1816.51"/>
  </r>
  <r>
    <x v="23"/>
    <d v="2022-06-22T00:00:00"/>
    <s v="011-16849"/>
    <x v="79"/>
    <m/>
    <m/>
    <m/>
    <s v="20000 · Accounts Payable"/>
    <n v="2400"/>
  </r>
  <r>
    <x v="23"/>
    <d v="2022-06-27T00:00:00"/>
    <m/>
    <x v="78"/>
    <m/>
    <m/>
    <m/>
    <s v="11800 · CIBC"/>
    <n v="943.48"/>
  </r>
  <r>
    <x v="23"/>
    <d v="2022-07-06T00:00:00"/>
    <m/>
    <x v="73"/>
    <m/>
    <m/>
    <m/>
    <s v="20000 · Accounts Payable"/>
    <n v="206.23"/>
  </r>
  <r>
    <x v="23"/>
    <d v="2022-07-14T00:00:00"/>
    <m/>
    <x v="39"/>
    <m/>
    <m/>
    <m/>
    <s v="11800 · CIBC"/>
    <n v="379.32"/>
  </r>
  <r>
    <x v="23"/>
    <d v="2022-07-31T00:00:00"/>
    <m/>
    <x v="73"/>
    <m/>
    <m/>
    <m/>
    <s v="20000 · Accounts Payable"/>
    <n v="230.25"/>
  </r>
  <r>
    <x v="23"/>
    <d v="2022-08-11T00:00:00"/>
    <m/>
    <x v="84"/>
    <m/>
    <m/>
    <m/>
    <s v="20000 · Accounts Payable"/>
    <n v="535"/>
  </r>
  <r>
    <x v="23"/>
    <d v="2022-08-26T00:00:00"/>
    <m/>
    <x v="73"/>
    <m/>
    <m/>
    <m/>
    <s v="11800 · CIBC"/>
    <n v="438.92"/>
  </r>
  <r>
    <x v="23"/>
    <d v="2022-08-26T00:00:00"/>
    <s v="48"/>
    <x v="0"/>
    <s v="MISCELLANEOUS E-TRANSFER PER ASSAMA"/>
    <m/>
    <m/>
    <s v="11800 · CIBC"/>
    <n v="20"/>
  </r>
  <r>
    <x v="23"/>
    <d v="2022-09-09T00:00:00"/>
    <m/>
    <x v="85"/>
    <s v="office supplies paid from haneen credit card"/>
    <m/>
    <m/>
    <s v="20000 · Accounts Payable"/>
    <n v="452.59"/>
  </r>
  <r>
    <x v="23"/>
    <d v="2022-09-29T00:00:00"/>
    <m/>
    <x v="45"/>
    <m/>
    <m/>
    <m/>
    <s v="20000 · Accounts Payable"/>
    <n v="481.75"/>
  </r>
  <r>
    <x v="23"/>
    <d v="2022-10-13T00:00:00"/>
    <m/>
    <x v="85"/>
    <m/>
    <m/>
    <m/>
    <s v="20000 · Accounts Payable"/>
    <n v="1197.72"/>
  </r>
  <r>
    <x v="23"/>
    <d v="2022-10-21T00:00:00"/>
    <m/>
    <x v="85"/>
    <m/>
    <m/>
    <m/>
    <s v="20000 · Accounts Payable"/>
    <n v="2162.25"/>
  </r>
  <r>
    <x v="23"/>
    <d v="2022-10-24T00:00:00"/>
    <m/>
    <x v="86"/>
    <m/>
    <m/>
    <m/>
    <s v="20000 · Accounts Payable"/>
    <n v="341.81"/>
  </r>
  <r>
    <x v="23"/>
    <d v="2022-11-21T00:00:00"/>
    <s v="1831"/>
    <x v="39"/>
    <s v="auto repair paid from diaa"/>
    <m/>
    <m/>
    <s v="11800 · CIBC"/>
    <n v="7782.3"/>
  </r>
  <r>
    <x v="0"/>
    <m/>
    <m/>
    <x v="0"/>
    <m/>
    <m/>
    <m/>
    <m/>
    <n v="36467.120000000003"/>
  </r>
  <r>
    <x v="0"/>
    <m/>
    <m/>
    <x v="0"/>
    <m/>
    <m/>
    <m/>
    <m/>
    <m/>
  </r>
  <r>
    <x v="24"/>
    <d v="2022-04-13T00:00:00"/>
    <s v="1658"/>
    <x v="39"/>
    <m/>
    <m/>
    <m/>
    <s v="11800 · CIBC"/>
    <n v="1920"/>
  </r>
  <r>
    <x v="24"/>
    <d v="2022-04-13T00:00:00"/>
    <s v="1658"/>
    <x v="39"/>
    <m/>
    <m/>
    <m/>
    <s v="11800 · CIBC"/>
    <n v="101.77"/>
  </r>
  <r>
    <x v="24"/>
    <d v="2022-04-13T00:00:00"/>
    <s v="1658"/>
    <x v="39"/>
    <m/>
    <m/>
    <m/>
    <s v="11800 · CIBC"/>
    <n v="42.48"/>
  </r>
  <r>
    <x v="24"/>
    <d v="2022-04-13T00:00:00"/>
    <s v="1658"/>
    <x v="39"/>
    <m/>
    <m/>
    <m/>
    <s v="11800 · CIBC"/>
    <n v="76.8"/>
  </r>
  <r>
    <x v="24"/>
    <d v="2022-04-13T00:00:00"/>
    <s v="1659"/>
    <x v="78"/>
    <m/>
    <m/>
    <m/>
    <s v="11800 · CIBC"/>
    <n v="2400"/>
  </r>
  <r>
    <x v="24"/>
    <d v="2022-04-13T00:00:00"/>
    <s v="1659"/>
    <x v="78"/>
    <m/>
    <m/>
    <m/>
    <s v="11800 · CIBC"/>
    <n v="129.13"/>
  </r>
  <r>
    <x v="24"/>
    <d v="2022-04-13T00:00:00"/>
    <s v="1659"/>
    <x v="78"/>
    <m/>
    <m/>
    <m/>
    <s v="11800 · CIBC"/>
    <n v="53.09"/>
  </r>
  <r>
    <x v="24"/>
    <d v="2022-04-13T00:00:00"/>
    <s v="1659"/>
    <x v="78"/>
    <m/>
    <m/>
    <m/>
    <s v="11800 · CIBC"/>
    <n v="96"/>
  </r>
  <r>
    <x v="24"/>
    <d v="2022-04-13T00:00:00"/>
    <s v="1660"/>
    <x v="87"/>
    <m/>
    <m/>
    <m/>
    <s v="11800 · CIBC"/>
    <n v="567"/>
  </r>
  <r>
    <x v="24"/>
    <d v="2022-04-13T00:00:00"/>
    <s v="1660"/>
    <x v="87"/>
    <m/>
    <m/>
    <m/>
    <s v="11800 · CIBC"/>
    <n v="24.65"/>
  </r>
  <r>
    <x v="24"/>
    <d v="2022-04-13T00:00:00"/>
    <s v="1660"/>
    <x v="87"/>
    <m/>
    <m/>
    <m/>
    <s v="11800 · CIBC"/>
    <n v="12.54"/>
  </r>
  <r>
    <x v="24"/>
    <d v="2022-04-13T00:00:00"/>
    <s v="1660"/>
    <x v="87"/>
    <m/>
    <m/>
    <m/>
    <s v="11800 · CIBC"/>
    <n v="22.68"/>
  </r>
  <r>
    <x v="24"/>
    <d v="2022-04-28T00:00:00"/>
    <s v="1669"/>
    <x v="39"/>
    <m/>
    <m/>
    <m/>
    <s v="11800 · CIBC"/>
    <n v="1600"/>
  </r>
  <r>
    <x v="24"/>
    <d v="2022-04-28T00:00:00"/>
    <s v="1669"/>
    <x v="39"/>
    <m/>
    <m/>
    <m/>
    <s v="11800 · CIBC"/>
    <n v="83.53"/>
  </r>
  <r>
    <x v="24"/>
    <d v="2022-04-28T00:00:00"/>
    <s v="1669"/>
    <x v="39"/>
    <m/>
    <m/>
    <m/>
    <s v="11800 · CIBC"/>
    <n v="35.39"/>
  </r>
  <r>
    <x v="24"/>
    <d v="2022-04-28T00:00:00"/>
    <s v="1669"/>
    <x v="39"/>
    <m/>
    <m/>
    <m/>
    <s v="11800 · CIBC"/>
    <n v="64"/>
  </r>
  <r>
    <x v="24"/>
    <d v="2022-04-28T00:00:00"/>
    <s v="1670"/>
    <x v="78"/>
    <m/>
    <m/>
    <m/>
    <s v="11800 · CIBC"/>
    <n v="2000"/>
  </r>
  <r>
    <x v="24"/>
    <d v="2022-04-28T00:00:00"/>
    <s v="1670"/>
    <x v="78"/>
    <m/>
    <m/>
    <m/>
    <s v="11800 · CIBC"/>
    <n v="106.33"/>
  </r>
  <r>
    <x v="24"/>
    <d v="2022-04-28T00:00:00"/>
    <s v="1670"/>
    <x v="78"/>
    <m/>
    <m/>
    <m/>
    <s v="11800 · CIBC"/>
    <n v="44.24"/>
  </r>
  <r>
    <x v="24"/>
    <d v="2022-04-28T00:00:00"/>
    <s v="1670"/>
    <x v="78"/>
    <m/>
    <m/>
    <m/>
    <s v="11800 · CIBC"/>
    <n v="80"/>
  </r>
  <r>
    <x v="24"/>
    <d v="2022-05-12T00:00:00"/>
    <s v="1673"/>
    <x v="39"/>
    <m/>
    <m/>
    <m/>
    <s v="11800 · CIBC"/>
    <n v="1600"/>
  </r>
  <r>
    <x v="24"/>
    <d v="2022-05-12T00:00:00"/>
    <s v="1673"/>
    <x v="39"/>
    <m/>
    <m/>
    <m/>
    <s v="11800 · CIBC"/>
    <n v="83.53"/>
  </r>
  <r>
    <x v="24"/>
    <d v="2022-05-12T00:00:00"/>
    <s v="1673"/>
    <x v="39"/>
    <m/>
    <m/>
    <m/>
    <s v="11800 · CIBC"/>
    <n v="35.39"/>
  </r>
  <r>
    <x v="24"/>
    <d v="2022-05-12T00:00:00"/>
    <s v="1673"/>
    <x v="39"/>
    <m/>
    <m/>
    <m/>
    <s v="11800 · CIBC"/>
    <n v="64"/>
  </r>
  <r>
    <x v="24"/>
    <d v="2022-05-12T00:00:00"/>
    <s v="1674"/>
    <x v="78"/>
    <m/>
    <m/>
    <m/>
    <s v="11800 · CIBC"/>
    <n v="2000"/>
  </r>
  <r>
    <x v="24"/>
    <d v="2022-05-12T00:00:00"/>
    <s v="1674"/>
    <x v="78"/>
    <m/>
    <m/>
    <m/>
    <s v="11800 · CIBC"/>
    <n v="106.33"/>
  </r>
  <r>
    <x v="24"/>
    <d v="2022-05-12T00:00:00"/>
    <s v="1674"/>
    <x v="78"/>
    <m/>
    <m/>
    <m/>
    <s v="11800 · CIBC"/>
    <n v="44.24"/>
  </r>
  <r>
    <x v="24"/>
    <d v="2022-05-12T00:00:00"/>
    <s v="1674"/>
    <x v="78"/>
    <m/>
    <m/>
    <m/>
    <s v="11800 · CIBC"/>
    <n v="80"/>
  </r>
  <r>
    <x v="24"/>
    <d v="2022-05-12T00:00:00"/>
    <s v="1675"/>
    <x v="88"/>
    <m/>
    <m/>
    <m/>
    <s v="11800 · CIBC"/>
    <n v="686.25"/>
  </r>
  <r>
    <x v="24"/>
    <d v="2022-05-12T00:00:00"/>
    <s v="1675"/>
    <x v="88"/>
    <m/>
    <m/>
    <m/>
    <s v="11800 · CIBC"/>
    <n v="31.44"/>
  </r>
  <r>
    <x v="24"/>
    <d v="2022-05-12T00:00:00"/>
    <s v="1675"/>
    <x v="88"/>
    <m/>
    <m/>
    <m/>
    <s v="11800 · CIBC"/>
    <n v="15.18"/>
  </r>
  <r>
    <x v="24"/>
    <d v="2022-05-12T00:00:00"/>
    <s v="1675"/>
    <x v="88"/>
    <m/>
    <m/>
    <m/>
    <s v="11800 · CIBC"/>
    <n v="27.45"/>
  </r>
  <r>
    <x v="24"/>
    <d v="2022-05-26T00:00:00"/>
    <s v="1712"/>
    <x v="39"/>
    <m/>
    <m/>
    <m/>
    <s v="11800 · CIBC"/>
    <n v="1600"/>
  </r>
  <r>
    <x v="24"/>
    <d v="2022-05-26T00:00:00"/>
    <s v="1712"/>
    <x v="39"/>
    <m/>
    <m/>
    <m/>
    <s v="11800 · CIBC"/>
    <n v="83.53"/>
  </r>
  <r>
    <x v="24"/>
    <d v="2022-05-26T00:00:00"/>
    <s v="1712"/>
    <x v="39"/>
    <m/>
    <m/>
    <m/>
    <s v="11800 · CIBC"/>
    <n v="35.39"/>
  </r>
  <r>
    <x v="24"/>
    <d v="2022-05-26T00:00:00"/>
    <s v="1712"/>
    <x v="39"/>
    <m/>
    <m/>
    <m/>
    <s v="11800 · CIBC"/>
    <n v="64"/>
  </r>
  <r>
    <x v="24"/>
    <d v="2022-05-26T00:00:00"/>
    <s v="1713"/>
    <x v="78"/>
    <m/>
    <m/>
    <m/>
    <s v="11800 · CIBC"/>
    <n v="2000"/>
  </r>
  <r>
    <x v="24"/>
    <d v="2022-05-26T00:00:00"/>
    <s v="1713"/>
    <x v="78"/>
    <m/>
    <m/>
    <m/>
    <s v="11800 · CIBC"/>
    <n v="106.33"/>
  </r>
  <r>
    <x v="24"/>
    <d v="2022-05-26T00:00:00"/>
    <s v="1713"/>
    <x v="78"/>
    <m/>
    <m/>
    <m/>
    <s v="11800 · CIBC"/>
    <n v="44.24"/>
  </r>
  <r>
    <x v="24"/>
    <d v="2022-05-26T00:00:00"/>
    <s v="1713"/>
    <x v="78"/>
    <m/>
    <m/>
    <m/>
    <s v="11800 · CIBC"/>
    <n v="80"/>
  </r>
  <r>
    <x v="24"/>
    <d v="2022-05-26T00:00:00"/>
    <s v="1714"/>
    <x v="88"/>
    <m/>
    <m/>
    <m/>
    <s v="11800 · CIBC"/>
    <n v="396.5"/>
  </r>
  <r>
    <x v="24"/>
    <d v="2022-05-26T00:00:00"/>
    <s v="1714"/>
    <x v="88"/>
    <m/>
    <m/>
    <m/>
    <s v="11800 · CIBC"/>
    <n v="14.93"/>
  </r>
  <r>
    <x v="24"/>
    <d v="2022-05-26T00:00:00"/>
    <s v="1714"/>
    <x v="88"/>
    <m/>
    <m/>
    <m/>
    <s v="11800 · CIBC"/>
    <n v="8.76"/>
  </r>
  <r>
    <x v="24"/>
    <d v="2022-05-26T00:00:00"/>
    <s v="1714"/>
    <x v="88"/>
    <m/>
    <m/>
    <m/>
    <s v="11800 · CIBC"/>
    <n v="15.86"/>
  </r>
  <r>
    <x v="24"/>
    <d v="2022-06-09T00:00:00"/>
    <s v="1717"/>
    <x v="39"/>
    <m/>
    <m/>
    <m/>
    <s v="11800 · CIBC"/>
    <n v="1600"/>
  </r>
  <r>
    <x v="24"/>
    <d v="2022-06-09T00:00:00"/>
    <s v="1717"/>
    <x v="39"/>
    <m/>
    <m/>
    <m/>
    <s v="11800 · CIBC"/>
    <n v="83.53"/>
  </r>
  <r>
    <x v="24"/>
    <d v="2022-06-09T00:00:00"/>
    <s v="1717"/>
    <x v="39"/>
    <m/>
    <m/>
    <m/>
    <s v="11800 · CIBC"/>
    <n v="35.39"/>
  </r>
  <r>
    <x v="24"/>
    <d v="2022-06-09T00:00:00"/>
    <s v="1717"/>
    <x v="39"/>
    <m/>
    <m/>
    <m/>
    <s v="11800 · CIBC"/>
    <n v="64"/>
  </r>
  <r>
    <x v="24"/>
    <d v="2022-06-09T00:00:00"/>
    <s v="1718"/>
    <x v="78"/>
    <m/>
    <m/>
    <m/>
    <s v="11800 · CIBC"/>
    <n v="2000"/>
  </r>
  <r>
    <x v="24"/>
    <d v="2022-06-09T00:00:00"/>
    <s v="1718"/>
    <x v="78"/>
    <m/>
    <m/>
    <m/>
    <s v="11800 · CIBC"/>
    <n v="106.33"/>
  </r>
  <r>
    <x v="24"/>
    <d v="2022-06-09T00:00:00"/>
    <s v="1718"/>
    <x v="78"/>
    <m/>
    <m/>
    <m/>
    <s v="11800 · CIBC"/>
    <n v="44.24"/>
  </r>
  <r>
    <x v="24"/>
    <d v="2022-06-09T00:00:00"/>
    <s v="1718"/>
    <x v="78"/>
    <m/>
    <m/>
    <m/>
    <s v="11800 · CIBC"/>
    <n v="80"/>
  </r>
  <r>
    <x v="24"/>
    <d v="2022-06-09T00:00:00"/>
    <s v="1719"/>
    <x v="88"/>
    <m/>
    <m/>
    <m/>
    <s v="11800 · CIBC"/>
    <n v="411.75"/>
  </r>
  <r>
    <x v="24"/>
    <d v="2022-06-09T00:00:00"/>
    <s v="1719"/>
    <x v="88"/>
    <m/>
    <m/>
    <m/>
    <s v="11800 · CIBC"/>
    <n v="15.8"/>
  </r>
  <r>
    <x v="24"/>
    <d v="2022-06-09T00:00:00"/>
    <s v="1719"/>
    <x v="88"/>
    <m/>
    <m/>
    <m/>
    <s v="11800 · CIBC"/>
    <n v="9.11"/>
  </r>
  <r>
    <x v="24"/>
    <d v="2022-06-09T00:00:00"/>
    <s v="1719"/>
    <x v="88"/>
    <m/>
    <m/>
    <m/>
    <s v="11800 · CIBC"/>
    <n v="16.47"/>
  </r>
  <r>
    <x v="24"/>
    <d v="2022-06-09T00:00:00"/>
    <s v="1720"/>
    <x v="89"/>
    <m/>
    <m/>
    <m/>
    <s v="11800 · CIBC"/>
    <n v="660"/>
  </r>
  <r>
    <x v="24"/>
    <d v="2022-06-09T00:00:00"/>
    <s v="1720"/>
    <x v="89"/>
    <m/>
    <m/>
    <m/>
    <s v="11800 · CIBC"/>
    <n v="29.95"/>
  </r>
  <r>
    <x v="24"/>
    <d v="2022-06-09T00:00:00"/>
    <s v="1720"/>
    <x v="89"/>
    <m/>
    <m/>
    <m/>
    <s v="11800 · CIBC"/>
    <n v="14.6"/>
  </r>
  <r>
    <x v="24"/>
    <d v="2022-06-09T00:00:00"/>
    <s v="1720"/>
    <x v="89"/>
    <m/>
    <m/>
    <m/>
    <s v="11800 · CIBC"/>
    <n v="26.4"/>
  </r>
  <r>
    <x v="24"/>
    <d v="2022-06-23T00:00:00"/>
    <s v="1727"/>
    <x v="39"/>
    <m/>
    <m/>
    <m/>
    <s v="11800 · CIBC"/>
    <n v="1600"/>
  </r>
  <r>
    <x v="24"/>
    <d v="2022-06-23T00:00:00"/>
    <s v="1727"/>
    <x v="39"/>
    <m/>
    <m/>
    <m/>
    <s v="11800 · CIBC"/>
    <n v="83.53"/>
  </r>
  <r>
    <x v="24"/>
    <d v="2022-06-23T00:00:00"/>
    <s v="1727"/>
    <x v="39"/>
    <m/>
    <m/>
    <m/>
    <s v="11800 · CIBC"/>
    <n v="35.39"/>
  </r>
  <r>
    <x v="24"/>
    <d v="2022-06-23T00:00:00"/>
    <s v="1727"/>
    <x v="39"/>
    <m/>
    <m/>
    <m/>
    <s v="11800 · CIBC"/>
    <n v="64"/>
  </r>
  <r>
    <x v="24"/>
    <d v="2022-06-23T00:00:00"/>
    <s v="1728"/>
    <x v="78"/>
    <m/>
    <m/>
    <m/>
    <s v="11800 · CIBC"/>
    <n v="2000"/>
  </r>
  <r>
    <x v="24"/>
    <d v="2022-06-23T00:00:00"/>
    <s v="1728"/>
    <x v="78"/>
    <m/>
    <m/>
    <m/>
    <s v="11800 · CIBC"/>
    <n v="106.33"/>
  </r>
  <r>
    <x v="24"/>
    <d v="2022-06-23T00:00:00"/>
    <s v="1728"/>
    <x v="78"/>
    <m/>
    <m/>
    <m/>
    <s v="11800 · CIBC"/>
    <n v="44.24"/>
  </r>
  <r>
    <x v="24"/>
    <d v="2022-06-23T00:00:00"/>
    <s v="1728"/>
    <x v="78"/>
    <m/>
    <m/>
    <m/>
    <s v="11800 · CIBC"/>
    <n v="80"/>
  </r>
  <r>
    <x v="24"/>
    <d v="2022-06-23T00:00:00"/>
    <s v="1729"/>
    <x v="87"/>
    <m/>
    <m/>
    <m/>
    <s v="11800 · CIBC"/>
    <n v="846"/>
  </r>
  <r>
    <x v="24"/>
    <d v="2022-06-23T00:00:00"/>
    <s v="1729"/>
    <x v="87"/>
    <m/>
    <m/>
    <m/>
    <s v="11800 · CIBC"/>
    <n v="40.549999999999997"/>
  </r>
  <r>
    <x v="24"/>
    <d v="2022-06-23T00:00:00"/>
    <s v="1729"/>
    <x v="87"/>
    <m/>
    <m/>
    <m/>
    <s v="11800 · CIBC"/>
    <n v="18.72"/>
  </r>
  <r>
    <x v="24"/>
    <d v="2022-06-23T00:00:00"/>
    <s v="1729"/>
    <x v="87"/>
    <m/>
    <m/>
    <m/>
    <s v="11800 · CIBC"/>
    <n v="33.840000000000003"/>
  </r>
  <r>
    <x v="24"/>
    <d v="2022-06-23T00:00:00"/>
    <s v="1734"/>
    <x v="88"/>
    <m/>
    <m/>
    <m/>
    <s v="11800 · CIBC"/>
    <n v="274.5"/>
  </r>
  <r>
    <x v="24"/>
    <d v="2022-06-23T00:00:00"/>
    <s v="1734"/>
    <x v="88"/>
    <m/>
    <m/>
    <m/>
    <s v="11800 · CIBC"/>
    <n v="7.97"/>
  </r>
  <r>
    <x v="24"/>
    <d v="2022-06-23T00:00:00"/>
    <s v="1734"/>
    <x v="88"/>
    <m/>
    <m/>
    <m/>
    <s v="11800 · CIBC"/>
    <n v="6.08"/>
  </r>
  <r>
    <x v="24"/>
    <d v="2022-06-23T00:00:00"/>
    <s v="1734"/>
    <x v="88"/>
    <m/>
    <m/>
    <m/>
    <s v="11800 · CIBC"/>
    <n v="10.98"/>
  </r>
  <r>
    <x v="24"/>
    <d v="2022-06-24T00:00:00"/>
    <s v="1707"/>
    <x v="90"/>
    <m/>
    <m/>
    <m/>
    <s v="11800 · CIBC"/>
    <n v="384"/>
  </r>
  <r>
    <x v="24"/>
    <d v="2022-06-24T00:00:00"/>
    <s v="1707"/>
    <x v="90"/>
    <m/>
    <m/>
    <m/>
    <s v="11800 · CIBC"/>
    <n v="0"/>
  </r>
  <r>
    <x v="24"/>
    <d v="2022-06-24T00:00:00"/>
    <s v="1707"/>
    <x v="90"/>
    <m/>
    <m/>
    <m/>
    <s v="11800 · CIBC"/>
    <n v="8.5"/>
  </r>
  <r>
    <x v="24"/>
    <d v="2022-06-24T00:00:00"/>
    <s v="1707"/>
    <x v="90"/>
    <m/>
    <m/>
    <m/>
    <s v="11800 · CIBC"/>
    <n v="0"/>
  </r>
  <r>
    <x v="24"/>
    <d v="2022-07-07T00:00:00"/>
    <s v="1687"/>
    <x v="39"/>
    <m/>
    <m/>
    <m/>
    <s v="11800 · CIBC"/>
    <n v="1600"/>
  </r>
  <r>
    <x v="24"/>
    <d v="2022-07-07T00:00:00"/>
    <s v="1687"/>
    <x v="39"/>
    <m/>
    <m/>
    <m/>
    <s v="11800 · CIBC"/>
    <n v="83.53"/>
  </r>
  <r>
    <x v="24"/>
    <d v="2022-07-07T00:00:00"/>
    <s v="1687"/>
    <x v="39"/>
    <m/>
    <m/>
    <m/>
    <s v="11800 · CIBC"/>
    <n v="35.39"/>
  </r>
  <r>
    <x v="24"/>
    <d v="2022-07-07T00:00:00"/>
    <s v="1687"/>
    <x v="39"/>
    <m/>
    <m/>
    <m/>
    <s v="11800 · CIBC"/>
    <n v="64"/>
  </r>
  <r>
    <x v="24"/>
    <d v="2022-07-07T00:00:00"/>
    <s v="1688"/>
    <x v="78"/>
    <m/>
    <m/>
    <m/>
    <s v="11800 · CIBC"/>
    <n v="2000"/>
  </r>
  <r>
    <x v="24"/>
    <d v="2022-07-07T00:00:00"/>
    <s v="1688"/>
    <x v="78"/>
    <m/>
    <m/>
    <m/>
    <s v="11800 · CIBC"/>
    <n v="106.33"/>
  </r>
  <r>
    <x v="24"/>
    <d v="2022-07-07T00:00:00"/>
    <s v="1688"/>
    <x v="78"/>
    <m/>
    <m/>
    <m/>
    <s v="11800 · CIBC"/>
    <n v="44.24"/>
  </r>
  <r>
    <x v="24"/>
    <d v="2022-07-07T00:00:00"/>
    <s v="1688"/>
    <x v="78"/>
    <m/>
    <m/>
    <m/>
    <s v="11800 · CIBC"/>
    <n v="80"/>
  </r>
  <r>
    <x v="24"/>
    <d v="2022-07-07T00:00:00"/>
    <s v="1689"/>
    <x v="41"/>
    <m/>
    <m/>
    <m/>
    <s v="11800 · CIBC"/>
    <n v="1400"/>
  </r>
  <r>
    <x v="24"/>
    <d v="2022-07-07T00:00:00"/>
    <s v="1689"/>
    <x v="41"/>
    <m/>
    <m/>
    <m/>
    <s v="11800 · CIBC"/>
    <n v="72.13"/>
  </r>
  <r>
    <x v="24"/>
    <d v="2022-07-07T00:00:00"/>
    <s v="1689"/>
    <x v="41"/>
    <m/>
    <m/>
    <m/>
    <s v="11800 · CIBC"/>
    <n v="30.97"/>
  </r>
  <r>
    <x v="24"/>
    <d v="2022-07-07T00:00:00"/>
    <s v="1689"/>
    <x v="41"/>
    <m/>
    <m/>
    <m/>
    <s v="11800 · CIBC"/>
    <n v="0"/>
  </r>
  <r>
    <x v="24"/>
    <d v="2022-07-07T00:00:00"/>
    <s v="1690"/>
    <x v="90"/>
    <m/>
    <m/>
    <m/>
    <s v="11800 · CIBC"/>
    <n v="384"/>
  </r>
  <r>
    <x v="24"/>
    <d v="2022-07-07T00:00:00"/>
    <s v="1690"/>
    <x v="90"/>
    <m/>
    <m/>
    <m/>
    <s v="11800 · CIBC"/>
    <n v="0"/>
  </r>
  <r>
    <x v="24"/>
    <d v="2022-07-07T00:00:00"/>
    <s v="1690"/>
    <x v="90"/>
    <m/>
    <m/>
    <m/>
    <s v="11800 · CIBC"/>
    <n v="8.5"/>
  </r>
  <r>
    <x v="24"/>
    <d v="2022-07-07T00:00:00"/>
    <s v="1690"/>
    <x v="90"/>
    <m/>
    <m/>
    <m/>
    <s v="11800 · CIBC"/>
    <n v="0"/>
  </r>
  <r>
    <x v="24"/>
    <d v="2022-07-21T00:00:00"/>
    <s v="1780"/>
    <x v="39"/>
    <m/>
    <m/>
    <m/>
    <s v="11800 · CIBC"/>
    <n v="1600"/>
  </r>
  <r>
    <x v="24"/>
    <d v="2022-07-21T00:00:00"/>
    <s v="1780"/>
    <x v="39"/>
    <m/>
    <m/>
    <m/>
    <s v="11800 · CIBC"/>
    <n v="83.53"/>
  </r>
  <r>
    <x v="24"/>
    <d v="2022-07-21T00:00:00"/>
    <s v="1780"/>
    <x v="39"/>
    <m/>
    <m/>
    <m/>
    <s v="11800 · CIBC"/>
    <n v="35.39"/>
  </r>
  <r>
    <x v="24"/>
    <d v="2022-07-21T00:00:00"/>
    <s v="1780"/>
    <x v="39"/>
    <m/>
    <m/>
    <m/>
    <s v="11800 · CIBC"/>
    <n v="64"/>
  </r>
  <r>
    <x v="24"/>
    <d v="2022-07-21T00:00:00"/>
    <s v="1781"/>
    <x v="78"/>
    <m/>
    <m/>
    <m/>
    <s v="11800 · CIBC"/>
    <n v="2000"/>
  </r>
  <r>
    <x v="24"/>
    <d v="2022-07-21T00:00:00"/>
    <s v="1781"/>
    <x v="78"/>
    <m/>
    <m/>
    <m/>
    <s v="11800 · CIBC"/>
    <n v="106.33"/>
  </r>
  <r>
    <x v="24"/>
    <d v="2022-07-21T00:00:00"/>
    <s v="1781"/>
    <x v="78"/>
    <m/>
    <m/>
    <m/>
    <s v="11800 · CIBC"/>
    <n v="44.24"/>
  </r>
  <r>
    <x v="24"/>
    <d v="2022-07-21T00:00:00"/>
    <s v="1781"/>
    <x v="78"/>
    <m/>
    <m/>
    <m/>
    <s v="11800 · CIBC"/>
    <n v="80"/>
  </r>
  <r>
    <x v="24"/>
    <d v="2022-07-21T00:00:00"/>
    <s v="1782"/>
    <x v="41"/>
    <m/>
    <m/>
    <m/>
    <s v="11800 · CIBC"/>
    <n v="1400"/>
  </r>
  <r>
    <x v="24"/>
    <d v="2022-07-21T00:00:00"/>
    <s v="1782"/>
    <x v="41"/>
    <m/>
    <m/>
    <m/>
    <s v="11800 · CIBC"/>
    <n v="72.13"/>
  </r>
  <r>
    <x v="24"/>
    <d v="2022-07-21T00:00:00"/>
    <s v="1782"/>
    <x v="41"/>
    <m/>
    <m/>
    <m/>
    <s v="11800 · CIBC"/>
    <n v="30.97"/>
  </r>
  <r>
    <x v="24"/>
    <d v="2022-07-21T00:00:00"/>
    <s v="1782"/>
    <x v="41"/>
    <m/>
    <m/>
    <m/>
    <s v="11800 · CIBC"/>
    <n v="0"/>
  </r>
  <r>
    <x v="24"/>
    <d v="2022-07-21T00:00:00"/>
    <s v="1783"/>
    <x v="90"/>
    <m/>
    <m/>
    <m/>
    <s v="11800 · CIBC"/>
    <n v="988"/>
  </r>
  <r>
    <x v="24"/>
    <d v="2022-07-21T00:00:00"/>
    <s v="1783"/>
    <x v="90"/>
    <m/>
    <m/>
    <m/>
    <s v="11800 · CIBC"/>
    <n v="0"/>
  </r>
  <r>
    <x v="24"/>
    <d v="2022-07-21T00:00:00"/>
    <s v="1783"/>
    <x v="90"/>
    <m/>
    <m/>
    <m/>
    <s v="11800 · CIBC"/>
    <n v="21.85"/>
  </r>
  <r>
    <x v="24"/>
    <d v="2022-07-21T00:00:00"/>
    <s v="1783"/>
    <x v="90"/>
    <m/>
    <m/>
    <m/>
    <s v="11800 · CIBC"/>
    <n v="0"/>
  </r>
  <r>
    <x v="24"/>
    <d v="2022-07-26T00:00:00"/>
    <s v="1786"/>
    <x v="91"/>
    <m/>
    <m/>
    <m/>
    <s v="11800 · CIBC"/>
    <n v="1052.25"/>
  </r>
  <r>
    <x v="24"/>
    <d v="2022-07-26T00:00:00"/>
    <s v="1786"/>
    <x v="91"/>
    <m/>
    <m/>
    <m/>
    <s v="11800 · CIBC"/>
    <n v="0"/>
  </r>
  <r>
    <x v="24"/>
    <d v="2022-07-26T00:00:00"/>
    <s v="1786"/>
    <x v="91"/>
    <m/>
    <m/>
    <m/>
    <s v="11800 · CIBC"/>
    <n v="23.28"/>
  </r>
  <r>
    <x v="24"/>
    <d v="2022-07-26T00:00:00"/>
    <s v="1786"/>
    <x v="91"/>
    <m/>
    <m/>
    <m/>
    <s v="11800 · CIBC"/>
    <n v="0"/>
  </r>
  <r>
    <x v="24"/>
    <d v="2022-08-04T00:00:00"/>
    <s v="1788"/>
    <x v="39"/>
    <m/>
    <m/>
    <m/>
    <s v="11800 · CIBC"/>
    <n v="1600"/>
  </r>
  <r>
    <x v="24"/>
    <d v="2022-08-04T00:00:00"/>
    <s v="1788"/>
    <x v="39"/>
    <m/>
    <m/>
    <m/>
    <s v="11800 · CIBC"/>
    <n v="83.53"/>
  </r>
  <r>
    <x v="24"/>
    <d v="2022-08-04T00:00:00"/>
    <s v="1788"/>
    <x v="39"/>
    <m/>
    <m/>
    <m/>
    <s v="11800 · CIBC"/>
    <n v="35.39"/>
  </r>
  <r>
    <x v="24"/>
    <d v="2022-08-04T00:00:00"/>
    <s v="1788"/>
    <x v="39"/>
    <m/>
    <m/>
    <m/>
    <s v="11800 · CIBC"/>
    <n v="64"/>
  </r>
  <r>
    <x v="24"/>
    <d v="2022-08-04T00:00:00"/>
    <s v="1789"/>
    <x v="78"/>
    <m/>
    <m/>
    <m/>
    <s v="11800 · CIBC"/>
    <n v="2000"/>
  </r>
  <r>
    <x v="24"/>
    <d v="2022-08-04T00:00:00"/>
    <s v="1789"/>
    <x v="78"/>
    <m/>
    <m/>
    <m/>
    <s v="11800 · CIBC"/>
    <n v="106.33"/>
  </r>
  <r>
    <x v="24"/>
    <d v="2022-08-04T00:00:00"/>
    <s v="1789"/>
    <x v="78"/>
    <m/>
    <m/>
    <m/>
    <s v="11800 · CIBC"/>
    <n v="44.24"/>
  </r>
  <r>
    <x v="24"/>
    <d v="2022-08-04T00:00:00"/>
    <s v="1789"/>
    <x v="78"/>
    <m/>
    <m/>
    <m/>
    <s v="11800 · CIBC"/>
    <n v="80"/>
  </r>
  <r>
    <x v="24"/>
    <d v="2022-08-04T00:00:00"/>
    <s v="1790"/>
    <x v="91"/>
    <m/>
    <m/>
    <m/>
    <s v="11800 · CIBC"/>
    <n v="686.25"/>
  </r>
  <r>
    <x v="24"/>
    <d v="2022-08-04T00:00:00"/>
    <s v="1790"/>
    <x v="91"/>
    <m/>
    <m/>
    <m/>
    <s v="11800 · CIBC"/>
    <n v="0"/>
  </r>
  <r>
    <x v="24"/>
    <d v="2022-08-04T00:00:00"/>
    <s v="1790"/>
    <x v="91"/>
    <m/>
    <m/>
    <m/>
    <s v="11800 · CIBC"/>
    <n v="15.18"/>
  </r>
  <r>
    <x v="24"/>
    <d v="2022-08-04T00:00:00"/>
    <s v="1790"/>
    <x v="91"/>
    <m/>
    <m/>
    <m/>
    <s v="11800 · CIBC"/>
    <n v="0"/>
  </r>
  <r>
    <x v="24"/>
    <d v="2022-08-04T00:00:00"/>
    <s v="1791"/>
    <x v="41"/>
    <m/>
    <m/>
    <m/>
    <s v="11800 · CIBC"/>
    <n v="1400"/>
  </r>
  <r>
    <x v="24"/>
    <d v="2022-08-04T00:00:00"/>
    <s v="1791"/>
    <x v="41"/>
    <m/>
    <m/>
    <m/>
    <s v="11800 · CIBC"/>
    <n v="72.13"/>
  </r>
  <r>
    <x v="24"/>
    <d v="2022-08-04T00:00:00"/>
    <s v="1791"/>
    <x v="41"/>
    <m/>
    <m/>
    <m/>
    <s v="11800 · CIBC"/>
    <n v="30.97"/>
  </r>
  <r>
    <x v="24"/>
    <d v="2022-08-04T00:00:00"/>
    <s v="1791"/>
    <x v="41"/>
    <m/>
    <m/>
    <m/>
    <s v="11800 · CIBC"/>
    <n v="0"/>
  </r>
  <r>
    <x v="24"/>
    <d v="2022-08-04T00:00:00"/>
    <s v="1792"/>
    <x v="90"/>
    <m/>
    <m/>
    <m/>
    <s v="11800 · CIBC"/>
    <n v="960"/>
  </r>
  <r>
    <x v="24"/>
    <d v="2022-08-04T00:00:00"/>
    <s v="1792"/>
    <x v="90"/>
    <m/>
    <m/>
    <m/>
    <s v="11800 · CIBC"/>
    <n v="0"/>
  </r>
  <r>
    <x v="24"/>
    <d v="2022-08-04T00:00:00"/>
    <s v="1792"/>
    <x v="90"/>
    <m/>
    <m/>
    <m/>
    <s v="11800 · CIBC"/>
    <n v="21.24"/>
  </r>
  <r>
    <x v="24"/>
    <d v="2022-08-04T00:00:00"/>
    <s v="1792"/>
    <x v="90"/>
    <m/>
    <m/>
    <m/>
    <s v="11800 · CIBC"/>
    <n v="0"/>
  </r>
  <r>
    <x v="24"/>
    <d v="2022-08-04T00:00:00"/>
    <s v="1795"/>
    <x v="92"/>
    <m/>
    <m/>
    <m/>
    <s v="11800 · CIBC"/>
    <n v="512"/>
  </r>
  <r>
    <x v="24"/>
    <d v="2022-08-04T00:00:00"/>
    <s v="1795"/>
    <x v="92"/>
    <m/>
    <m/>
    <m/>
    <s v="11800 · CIBC"/>
    <n v="21.51"/>
  </r>
  <r>
    <x v="24"/>
    <d v="2022-08-04T00:00:00"/>
    <s v="1795"/>
    <x v="92"/>
    <m/>
    <m/>
    <m/>
    <s v="11800 · CIBC"/>
    <n v="11.33"/>
  </r>
  <r>
    <x v="24"/>
    <d v="2022-08-04T00:00:00"/>
    <s v="1795"/>
    <x v="92"/>
    <m/>
    <m/>
    <m/>
    <s v="11800 · CIBC"/>
    <n v="0"/>
  </r>
  <r>
    <x v="24"/>
    <d v="2022-08-16T00:00:00"/>
    <s v="1700"/>
    <x v="93"/>
    <m/>
    <m/>
    <m/>
    <s v="11800 · CIBC"/>
    <n v="288"/>
  </r>
  <r>
    <x v="24"/>
    <d v="2022-08-16T00:00:00"/>
    <s v="1700"/>
    <x v="93"/>
    <m/>
    <m/>
    <m/>
    <s v="11800 · CIBC"/>
    <n v="8.74"/>
  </r>
  <r>
    <x v="24"/>
    <d v="2022-08-16T00:00:00"/>
    <s v="1700"/>
    <x v="93"/>
    <m/>
    <m/>
    <m/>
    <s v="11800 · CIBC"/>
    <n v="6.37"/>
  </r>
  <r>
    <x v="24"/>
    <d v="2022-08-16T00:00:00"/>
    <s v="1700"/>
    <x v="93"/>
    <m/>
    <m/>
    <m/>
    <s v="11800 · CIBC"/>
    <n v="0"/>
  </r>
  <r>
    <x v="24"/>
    <d v="2022-08-18T00:00:00"/>
    <s v="1703"/>
    <x v="39"/>
    <m/>
    <m/>
    <m/>
    <s v="11800 · CIBC"/>
    <n v="1600"/>
  </r>
  <r>
    <x v="24"/>
    <d v="2022-08-18T00:00:00"/>
    <s v="1703"/>
    <x v="39"/>
    <m/>
    <m/>
    <m/>
    <s v="11800 · CIBC"/>
    <n v="83.53"/>
  </r>
  <r>
    <x v="24"/>
    <d v="2022-08-18T00:00:00"/>
    <s v="1703"/>
    <x v="39"/>
    <m/>
    <m/>
    <m/>
    <s v="11800 · CIBC"/>
    <n v="35.39"/>
  </r>
  <r>
    <x v="24"/>
    <d v="2022-08-18T00:00:00"/>
    <s v="1703"/>
    <x v="39"/>
    <m/>
    <m/>
    <m/>
    <s v="11800 · CIBC"/>
    <n v="64"/>
  </r>
  <r>
    <x v="24"/>
    <d v="2022-08-18T00:00:00"/>
    <s v="1704"/>
    <x v="78"/>
    <m/>
    <m/>
    <m/>
    <s v="11800 · CIBC"/>
    <n v="2000"/>
  </r>
  <r>
    <x v="24"/>
    <d v="2022-08-18T00:00:00"/>
    <s v="1704"/>
    <x v="78"/>
    <m/>
    <m/>
    <m/>
    <s v="11800 · CIBC"/>
    <n v="106.33"/>
  </r>
  <r>
    <x v="24"/>
    <d v="2022-08-18T00:00:00"/>
    <s v="1704"/>
    <x v="78"/>
    <m/>
    <m/>
    <m/>
    <s v="11800 · CIBC"/>
    <n v="44.24"/>
  </r>
  <r>
    <x v="24"/>
    <d v="2022-08-18T00:00:00"/>
    <s v="1704"/>
    <x v="78"/>
    <m/>
    <m/>
    <m/>
    <s v="11800 · CIBC"/>
    <n v="80"/>
  </r>
  <r>
    <x v="24"/>
    <d v="2022-08-18T00:00:00"/>
    <s v="1705"/>
    <x v="93"/>
    <m/>
    <m/>
    <m/>
    <s v="11800 · CIBC"/>
    <n v="612"/>
  </r>
  <r>
    <x v="24"/>
    <d v="2022-08-18T00:00:00"/>
    <s v="1705"/>
    <x v="93"/>
    <m/>
    <m/>
    <m/>
    <s v="11800 · CIBC"/>
    <n v="27.21"/>
  </r>
  <r>
    <x v="24"/>
    <d v="2022-08-18T00:00:00"/>
    <s v="1705"/>
    <x v="93"/>
    <m/>
    <m/>
    <m/>
    <s v="11800 · CIBC"/>
    <n v="13.54"/>
  </r>
  <r>
    <x v="24"/>
    <d v="2022-08-18T00:00:00"/>
    <s v="1705"/>
    <x v="93"/>
    <m/>
    <m/>
    <m/>
    <s v="11800 · CIBC"/>
    <n v="0"/>
  </r>
  <r>
    <x v="24"/>
    <d v="2022-08-18T00:00:00"/>
    <s v="1706"/>
    <x v="91"/>
    <m/>
    <m/>
    <m/>
    <s v="11800 · CIBC"/>
    <n v="686.25"/>
  </r>
  <r>
    <x v="24"/>
    <d v="2022-08-18T00:00:00"/>
    <s v="1706"/>
    <x v="91"/>
    <m/>
    <m/>
    <m/>
    <s v="11800 · CIBC"/>
    <n v="0"/>
  </r>
  <r>
    <x v="24"/>
    <d v="2022-08-18T00:00:00"/>
    <s v="1706"/>
    <x v="91"/>
    <m/>
    <m/>
    <m/>
    <s v="11800 · CIBC"/>
    <n v="15.18"/>
  </r>
  <r>
    <x v="24"/>
    <d v="2022-08-18T00:00:00"/>
    <s v="1706"/>
    <x v="91"/>
    <m/>
    <m/>
    <m/>
    <s v="11800 · CIBC"/>
    <n v="0"/>
  </r>
  <r>
    <x v="24"/>
    <d v="2022-08-18T00:00:00"/>
    <s v="1710"/>
    <x v="41"/>
    <m/>
    <m/>
    <m/>
    <s v="11800 · CIBC"/>
    <n v="1400"/>
  </r>
  <r>
    <x v="24"/>
    <d v="2022-08-18T00:00:00"/>
    <s v="1710"/>
    <x v="41"/>
    <m/>
    <m/>
    <m/>
    <s v="11800 · CIBC"/>
    <n v="72.13"/>
  </r>
  <r>
    <x v="24"/>
    <d v="2022-08-18T00:00:00"/>
    <s v="1710"/>
    <x v="41"/>
    <m/>
    <m/>
    <m/>
    <s v="11800 · CIBC"/>
    <n v="30.97"/>
  </r>
  <r>
    <x v="24"/>
    <d v="2022-08-18T00:00:00"/>
    <s v="1710"/>
    <x v="41"/>
    <m/>
    <m/>
    <m/>
    <s v="11800 · CIBC"/>
    <n v="0"/>
  </r>
  <r>
    <x v="24"/>
    <d v="2022-08-18T00:00:00"/>
    <s v="1711"/>
    <x v="90"/>
    <m/>
    <m/>
    <m/>
    <s v="11800 · CIBC"/>
    <n v="1280"/>
  </r>
  <r>
    <x v="24"/>
    <d v="2022-08-18T00:00:00"/>
    <s v="1711"/>
    <x v="90"/>
    <m/>
    <m/>
    <m/>
    <s v="11800 · CIBC"/>
    <n v="0"/>
  </r>
  <r>
    <x v="24"/>
    <d v="2022-08-18T00:00:00"/>
    <s v="1711"/>
    <x v="90"/>
    <m/>
    <m/>
    <m/>
    <s v="11800 · CIBC"/>
    <n v="28.31"/>
  </r>
  <r>
    <x v="24"/>
    <d v="2022-08-18T00:00:00"/>
    <s v="1711"/>
    <x v="90"/>
    <m/>
    <m/>
    <m/>
    <s v="11800 · CIBC"/>
    <n v="0"/>
  </r>
  <r>
    <x v="24"/>
    <d v="2022-08-18T00:00:00"/>
    <s v="1712"/>
    <x v="92"/>
    <m/>
    <m/>
    <m/>
    <s v="11800 · CIBC"/>
    <n v="480"/>
  </r>
  <r>
    <x v="24"/>
    <d v="2022-08-18T00:00:00"/>
    <s v="1712"/>
    <x v="92"/>
    <m/>
    <m/>
    <m/>
    <s v="11800 · CIBC"/>
    <n v="19.690000000000001"/>
  </r>
  <r>
    <x v="24"/>
    <d v="2022-08-18T00:00:00"/>
    <s v="1712"/>
    <x v="92"/>
    <m/>
    <m/>
    <m/>
    <s v="11800 · CIBC"/>
    <n v="10.61"/>
  </r>
  <r>
    <x v="24"/>
    <d v="2022-08-18T00:00:00"/>
    <s v="1712"/>
    <x v="92"/>
    <m/>
    <m/>
    <m/>
    <s v="11800 · CIBC"/>
    <n v="0"/>
  </r>
  <r>
    <x v="24"/>
    <d v="2022-09-01T00:00:00"/>
    <s v="1738"/>
    <x v="39"/>
    <m/>
    <m/>
    <m/>
    <s v="11800 · CIBC"/>
    <n v="1600"/>
  </r>
  <r>
    <x v="24"/>
    <d v="2022-09-01T00:00:00"/>
    <s v="1738"/>
    <x v="39"/>
    <m/>
    <m/>
    <m/>
    <s v="11800 · CIBC"/>
    <n v="83.53"/>
  </r>
  <r>
    <x v="24"/>
    <d v="2022-09-01T00:00:00"/>
    <s v="1738"/>
    <x v="39"/>
    <m/>
    <m/>
    <m/>
    <s v="11800 · CIBC"/>
    <n v="35.39"/>
  </r>
  <r>
    <x v="24"/>
    <d v="2022-09-01T00:00:00"/>
    <s v="1738"/>
    <x v="39"/>
    <m/>
    <m/>
    <m/>
    <s v="11800 · CIBC"/>
    <n v="64"/>
  </r>
  <r>
    <x v="24"/>
    <d v="2022-09-01T00:00:00"/>
    <s v="1739"/>
    <x v="78"/>
    <m/>
    <m/>
    <m/>
    <s v="11800 · CIBC"/>
    <n v="2000"/>
  </r>
  <r>
    <x v="24"/>
    <d v="2022-09-01T00:00:00"/>
    <s v="1739"/>
    <x v="78"/>
    <m/>
    <m/>
    <m/>
    <s v="11800 · CIBC"/>
    <n v="106.33"/>
  </r>
  <r>
    <x v="24"/>
    <d v="2022-09-01T00:00:00"/>
    <s v="1739"/>
    <x v="78"/>
    <m/>
    <m/>
    <m/>
    <s v="11800 · CIBC"/>
    <n v="44.24"/>
  </r>
  <r>
    <x v="24"/>
    <d v="2022-09-01T00:00:00"/>
    <s v="1739"/>
    <x v="78"/>
    <m/>
    <m/>
    <m/>
    <s v="11800 · CIBC"/>
    <n v="80"/>
  </r>
  <r>
    <x v="24"/>
    <d v="2022-09-01T00:00:00"/>
    <s v="1740"/>
    <x v="93"/>
    <m/>
    <m/>
    <m/>
    <s v="11800 · CIBC"/>
    <n v="1440"/>
  </r>
  <r>
    <x v="24"/>
    <d v="2022-09-01T00:00:00"/>
    <s v="1740"/>
    <x v="93"/>
    <m/>
    <m/>
    <m/>
    <s v="11800 · CIBC"/>
    <n v="74.41"/>
  </r>
  <r>
    <x v="24"/>
    <d v="2022-09-01T00:00:00"/>
    <s v="1740"/>
    <x v="93"/>
    <m/>
    <m/>
    <m/>
    <s v="11800 · CIBC"/>
    <n v="31.85"/>
  </r>
  <r>
    <x v="24"/>
    <d v="2022-09-01T00:00:00"/>
    <s v="1740"/>
    <x v="93"/>
    <m/>
    <m/>
    <m/>
    <s v="11800 · CIBC"/>
    <n v="0"/>
  </r>
  <r>
    <x v="24"/>
    <d v="2022-09-01T00:00:00"/>
    <s v="1741"/>
    <x v="91"/>
    <m/>
    <m/>
    <m/>
    <s v="11800 · CIBC"/>
    <n v="452.16"/>
  </r>
  <r>
    <x v="24"/>
    <d v="2022-09-01T00:00:00"/>
    <s v="1741"/>
    <x v="91"/>
    <m/>
    <m/>
    <m/>
    <s v="11800 · CIBC"/>
    <n v="0"/>
  </r>
  <r>
    <x v="24"/>
    <d v="2022-09-01T00:00:00"/>
    <s v="1741"/>
    <x v="91"/>
    <m/>
    <m/>
    <m/>
    <s v="11800 · CIBC"/>
    <n v="10"/>
  </r>
  <r>
    <x v="24"/>
    <d v="2022-09-01T00:00:00"/>
    <s v="1741"/>
    <x v="91"/>
    <m/>
    <m/>
    <m/>
    <s v="11800 · CIBC"/>
    <n v="0"/>
  </r>
  <r>
    <x v="24"/>
    <d v="2022-09-01T00:00:00"/>
    <s v="1742"/>
    <x v="41"/>
    <m/>
    <m/>
    <m/>
    <s v="11800 · CIBC"/>
    <n v="1400"/>
  </r>
  <r>
    <x v="24"/>
    <d v="2022-09-01T00:00:00"/>
    <s v="1742"/>
    <x v="41"/>
    <m/>
    <m/>
    <m/>
    <s v="11800 · CIBC"/>
    <n v="72.13"/>
  </r>
  <r>
    <x v="24"/>
    <d v="2022-09-01T00:00:00"/>
    <s v="1742"/>
    <x v="41"/>
    <m/>
    <m/>
    <m/>
    <s v="11800 · CIBC"/>
    <n v="30.97"/>
  </r>
  <r>
    <x v="24"/>
    <d v="2022-09-01T00:00:00"/>
    <s v="1742"/>
    <x v="41"/>
    <m/>
    <m/>
    <m/>
    <s v="11800 · CIBC"/>
    <n v="0"/>
  </r>
  <r>
    <x v="24"/>
    <d v="2022-09-01T00:00:00"/>
    <s v="1743"/>
    <x v="90"/>
    <m/>
    <m/>
    <m/>
    <s v="11800 · CIBC"/>
    <n v="758.4"/>
  </r>
  <r>
    <x v="24"/>
    <d v="2022-09-01T00:00:00"/>
    <s v="1743"/>
    <x v="90"/>
    <m/>
    <m/>
    <m/>
    <s v="11800 · CIBC"/>
    <n v="0"/>
  </r>
  <r>
    <x v="24"/>
    <d v="2022-09-01T00:00:00"/>
    <s v="1743"/>
    <x v="90"/>
    <m/>
    <m/>
    <m/>
    <s v="11800 · CIBC"/>
    <n v="16.77"/>
  </r>
  <r>
    <x v="24"/>
    <d v="2022-09-01T00:00:00"/>
    <s v="1743"/>
    <x v="90"/>
    <m/>
    <m/>
    <m/>
    <s v="11800 · CIBC"/>
    <n v="0"/>
  </r>
  <r>
    <x v="24"/>
    <d v="2022-09-01T00:00:00"/>
    <s v="1744"/>
    <x v="92"/>
    <m/>
    <m/>
    <m/>
    <s v="11800 · CIBC"/>
    <n v="224"/>
  </r>
  <r>
    <x v="24"/>
    <d v="2022-09-01T00:00:00"/>
    <s v="1744"/>
    <x v="92"/>
    <m/>
    <m/>
    <m/>
    <s v="11800 · CIBC"/>
    <n v="5.0999999999999996"/>
  </r>
  <r>
    <x v="24"/>
    <d v="2022-09-01T00:00:00"/>
    <s v="1744"/>
    <x v="92"/>
    <m/>
    <m/>
    <m/>
    <s v="11800 · CIBC"/>
    <n v="4.96"/>
  </r>
  <r>
    <x v="24"/>
    <d v="2022-09-01T00:00:00"/>
    <s v="1744"/>
    <x v="92"/>
    <m/>
    <m/>
    <m/>
    <s v="11800 · CIBC"/>
    <n v="0"/>
  </r>
  <r>
    <x v="24"/>
    <d v="2022-09-15T00:00:00"/>
    <s v="1748"/>
    <x v="39"/>
    <m/>
    <m/>
    <m/>
    <s v="11800 · CIBC"/>
    <n v="1600"/>
  </r>
  <r>
    <x v="24"/>
    <d v="2022-09-15T00:00:00"/>
    <s v="1748"/>
    <x v="39"/>
    <m/>
    <m/>
    <m/>
    <s v="11800 · CIBC"/>
    <n v="83.53"/>
  </r>
  <r>
    <x v="24"/>
    <d v="2022-09-15T00:00:00"/>
    <s v="1748"/>
    <x v="39"/>
    <m/>
    <m/>
    <m/>
    <s v="11800 · CIBC"/>
    <n v="35.39"/>
  </r>
  <r>
    <x v="24"/>
    <d v="2022-09-15T00:00:00"/>
    <s v="1748"/>
    <x v="39"/>
    <m/>
    <m/>
    <m/>
    <s v="11800 · CIBC"/>
    <n v="64"/>
  </r>
  <r>
    <x v="24"/>
    <d v="2022-09-15T00:00:00"/>
    <s v="1749"/>
    <x v="78"/>
    <m/>
    <m/>
    <m/>
    <s v="11800 · CIBC"/>
    <n v="2000"/>
  </r>
  <r>
    <x v="24"/>
    <d v="2022-09-15T00:00:00"/>
    <s v="1749"/>
    <x v="78"/>
    <m/>
    <m/>
    <m/>
    <s v="11800 · CIBC"/>
    <n v="106.33"/>
  </r>
  <r>
    <x v="24"/>
    <d v="2022-09-15T00:00:00"/>
    <s v="1749"/>
    <x v="78"/>
    <m/>
    <m/>
    <m/>
    <s v="11800 · CIBC"/>
    <n v="44.24"/>
  </r>
  <r>
    <x v="24"/>
    <d v="2022-09-15T00:00:00"/>
    <s v="1749"/>
    <x v="78"/>
    <m/>
    <m/>
    <m/>
    <s v="11800 · CIBC"/>
    <n v="80"/>
  </r>
  <r>
    <x v="24"/>
    <d v="2022-09-15T00:00:00"/>
    <s v="1750"/>
    <x v="93"/>
    <m/>
    <m/>
    <m/>
    <s v="11800 · CIBC"/>
    <n v="1116"/>
  </r>
  <r>
    <x v="24"/>
    <d v="2022-09-15T00:00:00"/>
    <s v="1750"/>
    <x v="93"/>
    <m/>
    <m/>
    <m/>
    <s v="11800 · CIBC"/>
    <n v="55.94"/>
  </r>
  <r>
    <x v="24"/>
    <d v="2022-09-15T00:00:00"/>
    <s v="1750"/>
    <x v="93"/>
    <m/>
    <m/>
    <m/>
    <s v="11800 · CIBC"/>
    <n v="24.68"/>
  </r>
  <r>
    <x v="24"/>
    <d v="2022-09-15T00:00:00"/>
    <s v="1750"/>
    <x v="93"/>
    <m/>
    <m/>
    <m/>
    <s v="11800 · CIBC"/>
    <n v="0"/>
  </r>
  <r>
    <x v="24"/>
    <d v="2022-09-15T00:00:00"/>
    <s v="1751"/>
    <x v="41"/>
    <m/>
    <m/>
    <m/>
    <s v="11800 · CIBC"/>
    <n v="1400"/>
  </r>
  <r>
    <x v="24"/>
    <d v="2022-09-15T00:00:00"/>
    <s v="1751"/>
    <x v="41"/>
    <m/>
    <m/>
    <m/>
    <s v="11800 · CIBC"/>
    <n v="72.13"/>
  </r>
  <r>
    <x v="24"/>
    <d v="2022-09-15T00:00:00"/>
    <s v="1751"/>
    <x v="41"/>
    <m/>
    <m/>
    <m/>
    <s v="11800 · CIBC"/>
    <n v="30.97"/>
  </r>
  <r>
    <x v="24"/>
    <d v="2022-09-15T00:00:00"/>
    <s v="1751"/>
    <x v="41"/>
    <m/>
    <m/>
    <m/>
    <s v="11800 · CIBC"/>
    <n v="0"/>
  </r>
  <r>
    <x v="24"/>
    <d v="2022-09-15T00:00:00"/>
    <s v="1752"/>
    <x v="90"/>
    <m/>
    <m/>
    <m/>
    <s v="11800 · CIBC"/>
    <n v="980.8"/>
  </r>
  <r>
    <x v="24"/>
    <d v="2022-09-15T00:00:00"/>
    <s v="1752"/>
    <x v="90"/>
    <m/>
    <m/>
    <m/>
    <s v="11800 · CIBC"/>
    <n v="0"/>
  </r>
  <r>
    <x v="24"/>
    <d v="2022-09-15T00:00:00"/>
    <s v="1752"/>
    <x v="90"/>
    <m/>
    <m/>
    <m/>
    <s v="11800 · CIBC"/>
    <n v="21.7"/>
  </r>
  <r>
    <x v="24"/>
    <d v="2022-09-15T00:00:00"/>
    <s v="1752"/>
    <x v="90"/>
    <m/>
    <m/>
    <m/>
    <s v="11800 · CIBC"/>
    <n v="0"/>
  </r>
  <r>
    <x v="24"/>
    <d v="2022-09-29T00:00:00"/>
    <s v="1754"/>
    <x v="39"/>
    <m/>
    <m/>
    <m/>
    <s v="11800 · CIBC"/>
    <n v="1600"/>
  </r>
  <r>
    <x v="24"/>
    <d v="2022-09-29T00:00:00"/>
    <s v="1754"/>
    <x v="39"/>
    <m/>
    <m/>
    <m/>
    <s v="11800 · CIBC"/>
    <n v="83.53"/>
  </r>
  <r>
    <x v="24"/>
    <d v="2022-09-29T00:00:00"/>
    <s v="1754"/>
    <x v="39"/>
    <m/>
    <m/>
    <m/>
    <s v="11800 · CIBC"/>
    <n v="35.39"/>
  </r>
  <r>
    <x v="24"/>
    <d v="2022-09-29T00:00:00"/>
    <s v="1754"/>
    <x v="39"/>
    <m/>
    <m/>
    <m/>
    <s v="11800 · CIBC"/>
    <n v="64"/>
  </r>
  <r>
    <x v="24"/>
    <d v="2022-09-29T00:00:00"/>
    <s v="1755"/>
    <x v="78"/>
    <m/>
    <m/>
    <m/>
    <s v="11800 · CIBC"/>
    <n v="2000"/>
  </r>
  <r>
    <x v="24"/>
    <d v="2022-09-29T00:00:00"/>
    <s v="1755"/>
    <x v="78"/>
    <m/>
    <m/>
    <m/>
    <s v="11800 · CIBC"/>
    <n v="106.33"/>
  </r>
  <r>
    <x v="24"/>
    <d v="2022-09-29T00:00:00"/>
    <s v="1755"/>
    <x v="78"/>
    <m/>
    <m/>
    <m/>
    <s v="11800 · CIBC"/>
    <n v="44.24"/>
  </r>
  <r>
    <x v="24"/>
    <d v="2022-09-29T00:00:00"/>
    <s v="1755"/>
    <x v="78"/>
    <m/>
    <m/>
    <m/>
    <s v="11800 · CIBC"/>
    <n v="80"/>
  </r>
  <r>
    <x v="24"/>
    <d v="2022-09-29T00:00:00"/>
    <s v="1758"/>
    <x v="93"/>
    <m/>
    <m/>
    <m/>
    <s v="11800 · CIBC"/>
    <n v="1531.2"/>
  </r>
  <r>
    <x v="24"/>
    <d v="2022-09-29T00:00:00"/>
    <s v="1758"/>
    <x v="93"/>
    <m/>
    <m/>
    <m/>
    <s v="11800 · CIBC"/>
    <n v="79.61"/>
  </r>
  <r>
    <x v="24"/>
    <d v="2022-09-29T00:00:00"/>
    <s v="1758"/>
    <x v="93"/>
    <m/>
    <m/>
    <m/>
    <s v="11800 · CIBC"/>
    <n v="33.869999999999997"/>
  </r>
  <r>
    <x v="24"/>
    <d v="2022-09-29T00:00:00"/>
    <s v="1758"/>
    <x v="93"/>
    <m/>
    <m/>
    <m/>
    <s v="11800 · CIBC"/>
    <n v="0"/>
  </r>
  <r>
    <x v="24"/>
    <d v="2022-09-29T00:00:00"/>
    <s v="1760"/>
    <x v="94"/>
    <m/>
    <m/>
    <m/>
    <s v="11800 · CIBC"/>
    <n v="1500"/>
  </r>
  <r>
    <x v="24"/>
    <d v="2022-09-29T00:00:00"/>
    <s v="1760"/>
    <x v="94"/>
    <m/>
    <m/>
    <m/>
    <s v="11800 · CIBC"/>
    <n v="77.83"/>
  </r>
  <r>
    <x v="24"/>
    <d v="2022-09-29T00:00:00"/>
    <s v="1760"/>
    <x v="94"/>
    <m/>
    <m/>
    <m/>
    <s v="11800 · CIBC"/>
    <n v="33.18"/>
  </r>
  <r>
    <x v="24"/>
    <d v="2022-09-29T00:00:00"/>
    <s v="1760"/>
    <x v="94"/>
    <m/>
    <m/>
    <m/>
    <s v="11800 · CIBC"/>
    <n v="0"/>
  </r>
  <r>
    <x v="24"/>
    <d v="2022-09-29T00:00:00"/>
    <s v="1761"/>
    <x v="41"/>
    <m/>
    <m/>
    <m/>
    <s v="11800 · CIBC"/>
    <n v="1400"/>
  </r>
  <r>
    <x v="24"/>
    <d v="2022-09-29T00:00:00"/>
    <s v="1761"/>
    <x v="41"/>
    <m/>
    <m/>
    <m/>
    <s v="11800 · CIBC"/>
    <n v="72.13"/>
  </r>
  <r>
    <x v="24"/>
    <d v="2022-09-29T00:00:00"/>
    <s v="1761"/>
    <x v="41"/>
    <m/>
    <m/>
    <m/>
    <s v="11800 · CIBC"/>
    <n v="30.97"/>
  </r>
  <r>
    <x v="24"/>
    <d v="2022-09-29T00:00:00"/>
    <s v="1761"/>
    <x v="41"/>
    <m/>
    <m/>
    <m/>
    <s v="11800 · CIBC"/>
    <n v="0"/>
  </r>
  <r>
    <x v="24"/>
    <d v="2022-09-29T00:00:00"/>
    <s v="1762"/>
    <x v="90"/>
    <m/>
    <m/>
    <m/>
    <s v="11800 · CIBC"/>
    <n v="818.67"/>
  </r>
  <r>
    <x v="24"/>
    <d v="2022-09-29T00:00:00"/>
    <s v="1762"/>
    <x v="90"/>
    <m/>
    <m/>
    <m/>
    <s v="11800 · CIBC"/>
    <n v="0"/>
  </r>
  <r>
    <x v="24"/>
    <d v="2022-09-29T00:00:00"/>
    <s v="1762"/>
    <x v="90"/>
    <m/>
    <m/>
    <m/>
    <s v="11800 · CIBC"/>
    <n v="18.100000000000001"/>
  </r>
  <r>
    <x v="24"/>
    <d v="2022-09-29T00:00:00"/>
    <s v="1762"/>
    <x v="90"/>
    <m/>
    <m/>
    <m/>
    <s v="11800 · CIBC"/>
    <n v="0"/>
  </r>
  <r>
    <x v="24"/>
    <d v="2022-09-29T00:00:00"/>
    <s v="1764"/>
    <x v="95"/>
    <m/>
    <m/>
    <m/>
    <s v="11800 · CIBC"/>
    <n v="1523"/>
  </r>
  <r>
    <x v="24"/>
    <d v="2022-09-29T00:00:00"/>
    <s v="1764"/>
    <x v="95"/>
    <m/>
    <m/>
    <m/>
    <s v="11800 · CIBC"/>
    <n v="79.14"/>
  </r>
  <r>
    <x v="24"/>
    <d v="2022-09-29T00:00:00"/>
    <s v="1764"/>
    <x v="95"/>
    <m/>
    <m/>
    <m/>
    <s v="11800 · CIBC"/>
    <n v="33.68"/>
  </r>
  <r>
    <x v="24"/>
    <d v="2022-09-29T00:00:00"/>
    <s v="1764"/>
    <x v="95"/>
    <m/>
    <m/>
    <m/>
    <s v="11800 · CIBC"/>
    <n v="0"/>
  </r>
  <r>
    <x v="24"/>
    <d v="2022-10-13T00:00:00"/>
    <s v="1692"/>
    <x v="39"/>
    <m/>
    <m/>
    <m/>
    <s v="11800 · CIBC"/>
    <n v="1600"/>
  </r>
  <r>
    <x v="24"/>
    <d v="2022-10-13T00:00:00"/>
    <s v="1692"/>
    <x v="39"/>
    <m/>
    <m/>
    <m/>
    <s v="11800 · CIBC"/>
    <n v="83.53"/>
  </r>
  <r>
    <x v="24"/>
    <d v="2022-10-13T00:00:00"/>
    <s v="1692"/>
    <x v="39"/>
    <m/>
    <m/>
    <m/>
    <s v="11800 · CIBC"/>
    <n v="35.39"/>
  </r>
  <r>
    <x v="24"/>
    <d v="2022-10-13T00:00:00"/>
    <s v="1692"/>
    <x v="39"/>
    <m/>
    <m/>
    <m/>
    <s v="11800 · CIBC"/>
    <n v="64"/>
  </r>
  <r>
    <x v="24"/>
    <d v="2022-10-13T00:00:00"/>
    <s v="1693"/>
    <x v="78"/>
    <m/>
    <m/>
    <m/>
    <s v="11800 · CIBC"/>
    <n v="2000"/>
  </r>
  <r>
    <x v="24"/>
    <d v="2022-10-13T00:00:00"/>
    <s v="1693"/>
    <x v="78"/>
    <m/>
    <m/>
    <m/>
    <s v="11800 · CIBC"/>
    <n v="106.33"/>
  </r>
  <r>
    <x v="24"/>
    <d v="2022-10-13T00:00:00"/>
    <s v="1693"/>
    <x v="78"/>
    <m/>
    <m/>
    <m/>
    <s v="11800 · CIBC"/>
    <n v="44.24"/>
  </r>
  <r>
    <x v="24"/>
    <d v="2022-10-13T00:00:00"/>
    <s v="1693"/>
    <x v="78"/>
    <m/>
    <m/>
    <m/>
    <s v="11800 · CIBC"/>
    <n v="80"/>
  </r>
  <r>
    <x v="24"/>
    <d v="2022-10-13T00:00:00"/>
    <s v="1772"/>
    <x v="93"/>
    <m/>
    <m/>
    <m/>
    <s v="11800 · CIBC"/>
    <n v="914.1"/>
  </r>
  <r>
    <x v="24"/>
    <d v="2022-10-13T00:00:00"/>
    <s v="1772"/>
    <x v="93"/>
    <m/>
    <m/>
    <m/>
    <s v="11800 · CIBC"/>
    <n v="44.43"/>
  </r>
  <r>
    <x v="24"/>
    <d v="2022-10-13T00:00:00"/>
    <s v="1772"/>
    <x v="93"/>
    <m/>
    <m/>
    <m/>
    <s v="11800 · CIBC"/>
    <n v="20.22"/>
  </r>
  <r>
    <x v="24"/>
    <d v="2022-10-13T00:00:00"/>
    <s v="1772"/>
    <x v="93"/>
    <m/>
    <m/>
    <m/>
    <s v="11800 · CIBC"/>
    <n v="0"/>
  </r>
  <r>
    <x v="24"/>
    <d v="2022-10-13T00:00:00"/>
    <s v="1773"/>
    <x v="94"/>
    <m/>
    <m/>
    <m/>
    <s v="11800 · CIBC"/>
    <n v="1384.62"/>
  </r>
  <r>
    <x v="24"/>
    <d v="2022-10-13T00:00:00"/>
    <s v="1773"/>
    <x v="94"/>
    <m/>
    <m/>
    <m/>
    <s v="11800 · CIBC"/>
    <n v="71.25"/>
  </r>
  <r>
    <x v="24"/>
    <d v="2022-10-13T00:00:00"/>
    <s v="1773"/>
    <x v="94"/>
    <m/>
    <m/>
    <m/>
    <s v="11800 · CIBC"/>
    <n v="30.63"/>
  </r>
  <r>
    <x v="24"/>
    <d v="2022-10-13T00:00:00"/>
    <s v="1773"/>
    <x v="94"/>
    <m/>
    <m/>
    <m/>
    <s v="11800 · CIBC"/>
    <n v="0"/>
  </r>
  <r>
    <x v="24"/>
    <d v="2022-10-13T00:00:00"/>
    <s v="1774"/>
    <x v="41"/>
    <m/>
    <m/>
    <m/>
    <s v="11800 · CIBC"/>
    <n v="1400"/>
  </r>
  <r>
    <x v="24"/>
    <d v="2022-10-13T00:00:00"/>
    <s v="1774"/>
    <x v="41"/>
    <m/>
    <m/>
    <m/>
    <s v="11800 · CIBC"/>
    <n v="72.13"/>
  </r>
  <r>
    <x v="24"/>
    <d v="2022-10-13T00:00:00"/>
    <s v="1774"/>
    <x v="41"/>
    <m/>
    <m/>
    <m/>
    <s v="11800 · CIBC"/>
    <n v="30.97"/>
  </r>
  <r>
    <x v="24"/>
    <d v="2022-10-13T00:00:00"/>
    <s v="1774"/>
    <x v="41"/>
    <m/>
    <m/>
    <m/>
    <s v="11800 · CIBC"/>
    <n v="0"/>
  </r>
  <r>
    <x v="24"/>
    <d v="2022-10-13T00:00:00"/>
    <s v="1775"/>
    <x v="90"/>
    <m/>
    <m/>
    <m/>
    <s v="11800 · CIBC"/>
    <n v="1024.27"/>
  </r>
  <r>
    <x v="24"/>
    <d v="2022-10-13T00:00:00"/>
    <s v="1775"/>
    <x v="90"/>
    <m/>
    <m/>
    <m/>
    <s v="11800 · CIBC"/>
    <n v="50.71"/>
  </r>
  <r>
    <x v="24"/>
    <d v="2022-10-13T00:00:00"/>
    <s v="1775"/>
    <x v="90"/>
    <m/>
    <m/>
    <m/>
    <s v="11800 · CIBC"/>
    <n v="22.65"/>
  </r>
  <r>
    <x v="24"/>
    <d v="2022-10-13T00:00:00"/>
    <s v="1775"/>
    <x v="90"/>
    <m/>
    <m/>
    <m/>
    <s v="11800 · CIBC"/>
    <n v="0"/>
  </r>
  <r>
    <x v="24"/>
    <d v="2022-10-13T00:00:00"/>
    <s v="1776"/>
    <x v="95"/>
    <m/>
    <m/>
    <m/>
    <s v="11800 · CIBC"/>
    <n v="1570.13"/>
  </r>
  <r>
    <x v="24"/>
    <d v="2022-10-13T00:00:00"/>
    <s v="1776"/>
    <x v="95"/>
    <m/>
    <m/>
    <m/>
    <s v="11800 · CIBC"/>
    <n v="81.819999999999993"/>
  </r>
  <r>
    <x v="24"/>
    <d v="2022-10-13T00:00:00"/>
    <s v="1776"/>
    <x v="95"/>
    <m/>
    <m/>
    <m/>
    <s v="11800 · CIBC"/>
    <n v="34.729999999999997"/>
  </r>
  <r>
    <x v="24"/>
    <d v="2022-10-13T00:00:00"/>
    <s v="1776"/>
    <x v="95"/>
    <m/>
    <m/>
    <m/>
    <s v="11800 · CIBC"/>
    <n v="0"/>
  </r>
  <r>
    <x v="24"/>
    <d v="2022-10-13T00:00:00"/>
    <s v="1777"/>
    <x v="96"/>
    <m/>
    <m/>
    <m/>
    <s v="11800 · CIBC"/>
    <n v="276.25"/>
  </r>
  <r>
    <x v="24"/>
    <d v="2022-10-13T00:00:00"/>
    <s v="1777"/>
    <x v="96"/>
    <m/>
    <m/>
    <m/>
    <s v="11800 · CIBC"/>
    <n v="8.07"/>
  </r>
  <r>
    <x v="24"/>
    <d v="2022-10-13T00:00:00"/>
    <s v="1777"/>
    <x v="96"/>
    <m/>
    <m/>
    <m/>
    <s v="11800 · CIBC"/>
    <n v="6.1"/>
  </r>
  <r>
    <x v="24"/>
    <d v="2022-10-13T00:00:00"/>
    <s v="1777"/>
    <x v="96"/>
    <m/>
    <m/>
    <m/>
    <s v="11800 · CIBC"/>
    <n v="0"/>
  </r>
  <r>
    <x v="24"/>
    <d v="2022-10-26T00:00:00"/>
    <s v="1802"/>
    <x v="39"/>
    <m/>
    <m/>
    <m/>
    <s v="11800 · CIBC"/>
    <n v="1600"/>
  </r>
  <r>
    <x v="24"/>
    <d v="2022-10-26T00:00:00"/>
    <s v="1802"/>
    <x v="39"/>
    <m/>
    <m/>
    <m/>
    <s v="11800 · CIBC"/>
    <n v="83.53"/>
  </r>
  <r>
    <x v="24"/>
    <d v="2022-10-26T00:00:00"/>
    <s v="1802"/>
    <x v="39"/>
    <m/>
    <m/>
    <m/>
    <s v="11800 · CIBC"/>
    <n v="35.39"/>
  </r>
  <r>
    <x v="24"/>
    <d v="2022-10-26T00:00:00"/>
    <s v="1802"/>
    <x v="39"/>
    <m/>
    <m/>
    <m/>
    <s v="11800 · CIBC"/>
    <n v="64"/>
  </r>
  <r>
    <x v="24"/>
    <d v="2022-10-26T00:00:00"/>
    <s v="1803"/>
    <x v="78"/>
    <m/>
    <m/>
    <m/>
    <s v="11800 · CIBC"/>
    <n v="2000"/>
  </r>
  <r>
    <x v="24"/>
    <d v="2022-10-26T00:00:00"/>
    <s v="1803"/>
    <x v="78"/>
    <m/>
    <m/>
    <m/>
    <s v="11800 · CIBC"/>
    <n v="106.33"/>
  </r>
  <r>
    <x v="24"/>
    <d v="2022-10-26T00:00:00"/>
    <s v="1803"/>
    <x v="78"/>
    <m/>
    <m/>
    <m/>
    <s v="11800 · CIBC"/>
    <n v="44.24"/>
  </r>
  <r>
    <x v="24"/>
    <d v="2022-10-26T00:00:00"/>
    <s v="1803"/>
    <x v="78"/>
    <m/>
    <m/>
    <m/>
    <s v="11800 · CIBC"/>
    <n v="80"/>
  </r>
  <r>
    <x v="24"/>
    <d v="2022-10-26T00:00:00"/>
    <s v="1804"/>
    <x v="93"/>
    <m/>
    <m/>
    <m/>
    <s v="11800 · CIBC"/>
    <n v="915.3"/>
  </r>
  <r>
    <x v="24"/>
    <d v="2022-10-26T00:00:00"/>
    <s v="1804"/>
    <x v="93"/>
    <m/>
    <m/>
    <m/>
    <s v="11800 · CIBC"/>
    <n v="44.5"/>
  </r>
  <r>
    <x v="24"/>
    <d v="2022-10-26T00:00:00"/>
    <s v="1804"/>
    <x v="93"/>
    <m/>
    <m/>
    <m/>
    <s v="11800 · CIBC"/>
    <n v="20.239999999999998"/>
  </r>
  <r>
    <x v="24"/>
    <d v="2022-10-26T00:00:00"/>
    <s v="1804"/>
    <x v="93"/>
    <m/>
    <m/>
    <m/>
    <s v="11800 · CIBC"/>
    <n v="0"/>
  </r>
  <r>
    <x v="24"/>
    <d v="2022-10-26T00:00:00"/>
    <s v="1805"/>
    <x v="94"/>
    <m/>
    <m/>
    <m/>
    <s v="11800 · CIBC"/>
    <n v="1500"/>
  </r>
  <r>
    <x v="24"/>
    <d v="2022-10-26T00:00:00"/>
    <s v="1805"/>
    <x v="94"/>
    <m/>
    <m/>
    <m/>
    <s v="11800 · CIBC"/>
    <n v="77.83"/>
  </r>
  <r>
    <x v="24"/>
    <d v="2022-10-26T00:00:00"/>
    <s v="1805"/>
    <x v="94"/>
    <m/>
    <m/>
    <m/>
    <s v="11800 · CIBC"/>
    <n v="33.18"/>
  </r>
  <r>
    <x v="24"/>
    <d v="2022-10-26T00:00:00"/>
    <s v="1805"/>
    <x v="94"/>
    <m/>
    <m/>
    <m/>
    <s v="11800 · CIBC"/>
    <n v="0"/>
  </r>
  <r>
    <x v="24"/>
    <d v="2022-10-26T00:00:00"/>
    <s v="1806"/>
    <x v="41"/>
    <m/>
    <m/>
    <m/>
    <s v="11800 · CIBC"/>
    <n v="1400"/>
  </r>
  <r>
    <x v="24"/>
    <d v="2022-10-26T00:00:00"/>
    <s v="1806"/>
    <x v="41"/>
    <m/>
    <m/>
    <m/>
    <s v="11800 · CIBC"/>
    <n v="72.13"/>
  </r>
  <r>
    <x v="24"/>
    <d v="2022-10-26T00:00:00"/>
    <s v="1806"/>
    <x v="41"/>
    <m/>
    <m/>
    <m/>
    <s v="11800 · CIBC"/>
    <n v="30.97"/>
  </r>
  <r>
    <x v="24"/>
    <d v="2022-10-26T00:00:00"/>
    <s v="1806"/>
    <x v="41"/>
    <m/>
    <m/>
    <m/>
    <s v="11800 · CIBC"/>
    <n v="0"/>
  </r>
  <r>
    <x v="24"/>
    <d v="2022-10-26T00:00:00"/>
    <s v="1807"/>
    <x v="90"/>
    <m/>
    <m/>
    <m/>
    <s v="11800 · CIBC"/>
    <n v="845.6"/>
  </r>
  <r>
    <x v="24"/>
    <d v="2022-10-26T00:00:00"/>
    <s v="1807"/>
    <x v="90"/>
    <m/>
    <m/>
    <m/>
    <s v="11800 · CIBC"/>
    <n v="40.53"/>
  </r>
  <r>
    <x v="24"/>
    <d v="2022-10-26T00:00:00"/>
    <s v="1807"/>
    <x v="90"/>
    <m/>
    <m/>
    <m/>
    <s v="11800 · CIBC"/>
    <n v="18.7"/>
  </r>
  <r>
    <x v="24"/>
    <d v="2022-10-26T00:00:00"/>
    <s v="1807"/>
    <x v="90"/>
    <m/>
    <m/>
    <m/>
    <s v="11800 · CIBC"/>
    <n v="0"/>
  </r>
  <r>
    <x v="24"/>
    <d v="2022-10-26T00:00:00"/>
    <s v="1808"/>
    <x v="95"/>
    <m/>
    <m/>
    <m/>
    <s v="11800 · CIBC"/>
    <n v="1041.33"/>
  </r>
  <r>
    <x v="24"/>
    <d v="2022-10-26T00:00:00"/>
    <s v="1808"/>
    <x v="95"/>
    <m/>
    <m/>
    <m/>
    <s v="11800 · CIBC"/>
    <n v="51.68"/>
  </r>
  <r>
    <x v="24"/>
    <d v="2022-10-26T00:00:00"/>
    <s v="1808"/>
    <x v="95"/>
    <m/>
    <m/>
    <m/>
    <s v="11800 · CIBC"/>
    <n v="23.03"/>
  </r>
  <r>
    <x v="24"/>
    <d v="2022-10-26T00:00:00"/>
    <s v="1808"/>
    <x v="95"/>
    <m/>
    <m/>
    <m/>
    <s v="11800 · CIBC"/>
    <n v="0"/>
  </r>
  <r>
    <x v="24"/>
    <d v="2022-10-26T00:00:00"/>
    <s v="1809"/>
    <x v="96"/>
    <m/>
    <m/>
    <m/>
    <s v="11800 · CIBC"/>
    <n v="744.25"/>
  </r>
  <r>
    <x v="24"/>
    <d v="2022-10-26T00:00:00"/>
    <s v="1809"/>
    <x v="96"/>
    <m/>
    <m/>
    <m/>
    <s v="11800 · CIBC"/>
    <n v="34.75"/>
  </r>
  <r>
    <x v="24"/>
    <d v="2022-10-26T00:00:00"/>
    <s v="1809"/>
    <x v="96"/>
    <m/>
    <m/>
    <m/>
    <s v="11800 · CIBC"/>
    <n v="16.46"/>
  </r>
  <r>
    <x v="24"/>
    <d v="2022-10-26T00:00:00"/>
    <s v="1809"/>
    <x v="96"/>
    <m/>
    <m/>
    <m/>
    <s v="11800 · CIBC"/>
    <n v="0"/>
  </r>
  <r>
    <x v="24"/>
    <d v="2022-10-28T00:00:00"/>
    <s v="1814"/>
    <x v="95"/>
    <m/>
    <m/>
    <m/>
    <s v="11800 · CIBC"/>
    <n v="1197.53"/>
  </r>
  <r>
    <x v="24"/>
    <d v="2022-10-28T00:00:00"/>
    <s v="1814"/>
    <x v="95"/>
    <m/>
    <m/>
    <m/>
    <s v="11800 · CIBC"/>
    <n v="60.59"/>
  </r>
  <r>
    <x v="24"/>
    <d v="2022-10-28T00:00:00"/>
    <s v="1814"/>
    <x v="95"/>
    <m/>
    <m/>
    <m/>
    <s v="11800 · CIBC"/>
    <n v="26.49"/>
  </r>
  <r>
    <x v="24"/>
    <d v="2022-10-28T00:00:00"/>
    <s v="1814"/>
    <x v="95"/>
    <m/>
    <m/>
    <m/>
    <s v="11800 · CIBC"/>
    <n v="0"/>
  </r>
  <r>
    <x v="24"/>
    <d v="2022-11-09T00:00:00"/>
    <s v="1820"/>
    <x v="39"/>
    <m/>
    <m/>
    <m/>
    <s v="11800 · CIBC"/>
    <n v="1600"/>
  </r>
  <r>
    <x v="24"/>
    <d v="2022-11-09T00:00:00"/>
    <s v="1820"/>
    <x v="39"/>
    <m/>
    <m/>
    <m/>
    <s v="11800 · CIBC"/>
    <n v="83.53"/>
  </r>
  <r>
    <x v="24"/>
    <d v="2022-11-09T00:00:00"/>
    <s v="1820"/>
    <x v="39"/>
    <m/>
    <m/>
    <m/>
    <s v="11800 · CIBC"/>
    <n v="35.39"/>
  </r>
  <r>
    <x v="24"/>
    <d v="2022-11-09T00:00:00"/>
    <s v="1820"/>
    <x v="39"/>
    <m/>
    <m/>
    <m/>
    <s v="11800 · CIBC"/>
    <n v="64"/>
  </r>
  <r>
    <x v="24"/>
    <d v="2022-11-09T00:00:00"/>
    <s v="1821"/>
    <x v="78"/>
    <m/>
    <m/>
    <m/>
    <s v="11800 · CIBC"/>
    <n v="2000"/>
  </r>
  <r>
    <x v="24"/>
    <d v="2022-11-09T00:00:00"/>
    <s v="1821"/>
    <x v="78"/>
    <m/>
    <m/>
    <m/>
    <s v="11800 · CIBC"/>
    <n v="106.33"/>
  </r>
  <r>
    <x v="24"/>
    <d v="2022-11-09T00:00:00"/>
    <s v="1821"/>
    <x v="78"/>
    <m/>
    <m/>
    <m/>
    <s v="11800 · CIBC"/>
    <n v="44.24"/>
  </r>
  <r>
    <x v="24"/>
    <d v="2022-11-09T00:00:00"/>
    <s v="1821"/>
    <x v="78"/>
    <m/>
    <m/>
    <m/>
    <s v="11800 · CIBC"/>
    <n v="80"/>
  </r>
  <r>
    <x v="24"/>
    <d v="2022-11-09T00:00:00"/>
    <s v="1822"/>
    <x v="94"/>
    <m/>
    <m/>
    <m/>
    <s v="11800 · CIBC"/>
    <n v="1500"/>
  </r>
  <r>
    <x v="24"/>
    <d v="2022-11-09T00:00:00"/>
    <s v="1822"/>
    <x v="94"/>
    <m/>
    <m/>
    <m/>
    <s v="11800 · CIBC"/>
    <n v="77.83"/>
  </r>
  <r>
    <x v="24"/>
    <d v="2022-11-09T00:00:00"/>
    <s v="1822"/>
    <x v="94"/>
    <m/>
    <m/>
    <m/>
    <s v="11800 · CIBC"/>
    <n v="33.18"/>
  </r>
  <r>
    <x v="24"/>
    <d v="2022-11-09T00:00:00"/>
    <s v="1822"/>
    <x v="94"/>
    <m/>
    <m/>
    <m/>
    <s v="11800 · CIBC"/>
    <n v="0"/>
  </r>
  <r>
    <x v="24"/>
    <d v="2022-11-09T00:00:00"/>
    <s v="1823"/>
    <x v="41"/>
    <m/>
    <m/>
    <m/>
    <s v="11800 · CIBC"/>
    <n v="1400"/>
  </r>
  <r>
    <x v="24"/>
    <d v="2022-11-09T00:00:00"/>
    <s v="1823"/>
    <x v="41"/>
    <m/>
    <m/>
    <m/>
    <s v="11800 · CIBC"/>
    <n v="72.13"/>
  </r>
  <r>
    <x v="24"/>
    <d v="2022-11-09T00:00:00"/>
    <s v="1823"/>
    <x v="41"/>
    <m/>
    <m/>
    <m/>
    <s v="11800 · CIBC"/>
    <n v="30.97"/>
  </r>
  <r>
    <x v="24"/>
    <d v="2022-11-09T00:00:00"/>
    <s v="1823"/>
    <x v="41"/>
    <m/>
    <m/>
    <m/>
    <s v="11800 · CIBC"/>
    <n v="0"/>
  </r>
  <r>
    <x v="24"/>
    <d v="2022-11-09T00:00:00"/>
    <s v="1824"/>
    <x v="90"/>
    <m/>
    <m/>
    <m/>
    <s v="11800 · CIBC"/>
    <n v="605.87"/>
  </r>
  <r>
    <x v="24"/>
    <d v="2022-11-09T00:00:00"/>
    <s v="1824"/>
    <x v="90"/>
    <m/>
    <m/>
    <m/>
    <s v="11800 · CIBC"/>
    <n v="26.86"/>
  </r>
  <r>
    <x v="24"/>
    <d v="2022-11-09T00:00:00"/>
    <s v="1824"/>
    <x v="90"/>
    <m/>
    <m/>
    <m/>
    <s v="11800 · CIBC"/>
    <n v="13.4"/>
  </r>
  <r>
    <x v="24"/>
    <d v="2022-11-09T00:00:00"/>
    <s v="1824"/>
    <x v="90"/>
    <m/>
    <m/>
    <m/>
    <s v="11800 · CIBC"/>
    <n v="0"/>
  </r>
  <r>
    <x v="24"/>
    <d v="2022-11-09T00:00:00"/>
    <s v="1825"/>
    <x v="95"/>
    <m/>
    <m/>
    <m/>
    <s v="11800 · CIBC"/>
    <n v="1245.45"/>
  </r>
  <r>
    <x v="24"/>
    <d v="2022-11-09T00:00:00"/>
    <s v="1825"/>
    <x v="95"/>
    <m/>
    <m/>
    <m/>
    <s v="11800 · CIBC"/>
    <n v="63.32"/>
  </r>
  <r>
    <x v="24"/>
    <d v="2022-11-09T00:00:00"/>
    <s v="1825"/>
    <x v="95"/>
    <m/>
    <m/>
    <m/>
    <s v="11800 · CIBC"/>
    <n v="27.55"/>
  </r>
  <r>
    <x v="24"/>
    <d v="2022-11-09T00:00:00"/>
    <s v="1825"/>
    <x v="95"/>
    <m/>
    <m/>
    <m/>
    <s v="11800 · CIBC"/>
    <n v="0"/>
  </r>
  <r>
    <x v="24"/>
    <d v="2022-11-09T00:00:00"/>
    <s v="1826"/>
    <x v="96"/>
    <m/>
    <m/>
    <m/>
    <s v="11800 · CIBC"/>
    <n v="476.94"/>
  </r>
  <r>
    <x v="24"/>
    <d v="2022-11-09T00:00:00"/>
    <s v="1826"/>
    <x v="96"/>
    <m/>
    <m/>
    <m/>
    <s v="11800 · CIBC"/>
    <n v="19.510000000000002"/>
  </r>
  <r>
    <x v="24"/>
    <d v="2022-11-09T00:00:00"/>
    <s v="1826"/>
    <x v="96"/>
    <m/>
    <m/>
    <m/>
    <s v="11800 · CIBC"/>
    <n v="10.56"/>
  </r>
  <r>
    <x v="24"/>
    <d v="2022-11-09T00:00:00"/>
    <s v="1826"/>
    <x v="96"/>
    <m/>
    <m/>
    <m/>
    <s v="11800 · CIBC"/>
    <n v="0"/>
  </r>
  <r>
    <x v="24"/>
    <d v="2022-11-23T00:00:00"/>
    <m/>
    <x v="41"/>
    <m/>
    <m/>
    <m/>
    <s v="11800 · CIBC"/>
    <n v="1400"/>
  </r>
  <r>
    <x v="24"/>
    <d v="2022-11-23T00:00:00"/>
    <m/>
    <x v="41"/>
    <m/>
    <m/>
    <m/>
    <s v="11800 · CIBC"/>
    <n v="72.13"/>
  </r>
  <r>
    <x v="24"/>
    <d v="2022-11-23T00:00:00"/>
    <m/>
    <x v="41"/>
    <m/>
    <m/>
    <m/>
    <s v="11800 · CIBC"/>
    <n v="30.97"/>
  </r>
  <r>
    <x v="24"/>
    <d v="2022-11-23T00:00:00"/>
    <m/>
    <x v="41"/>
    <m/>
    <m/>
    <m/>
    <s v="11800 · CIBC"/>
    <n v="0"/>
  </r>
  <r>
    <x v="24"/>
    <d v="2022-11-24T00:00:00"/>
    <s v="1832"/>
    <x v="39"/>
    <m/>
    <m/>
    <m/>
    <s v="11800 · CIBC"/>
    <n v="1600"/>
  </r>
  <r>
    <x v="24"/>
    <d v="2022-11-24T00:00:00"/>
    <s v="1832"/>
    <x v="39"/>
    <m/>
    <m/>
    <m/>
    <s v="11800 · CIBC"/>
    <n v="83.53"/>
  </r>
  <r>
    <x v="24"/>
    <d v="2022-11-24T00:00:00"/>
    <s v="1832"/>
    <x v="39"/>
    <m/>
    <m/>
    <m/>
    <s v="11800 · CIBC"/>
    <n v="35.39"/>
  </r>
  <r>
    <x v="24"/>
    <d v="2022-11-24T00:00:00"/>
    <s v="1832"/>
    <x v="39"/>
    <m/>
    <m/>
    <m/>
    <s v="11800 · CIBC"/>
    <n v="64"/>
  </r>
  <r>
    <x v="24"/>
    <d v="2022-11-24T00:00:00"/>
    <s v="1833"/>
    <x v="78"/>
    <m/>
    <m/>
    <m/>
    <s v="11800 · CIBC"/>
    <n v="2000"/>
  </r>
  <r>
    <x v="24"/>
    <d v="2022-11-24T00:00:00"/>
    <s v="1833"/>
    <x v="78"/>
    <m/>
    <m/>
    <m/>
    <s v="11800 · CIBC"/>
    <n v="106.33"/>
  </r>
  <r>
    <x v="24"/>
    <d v="2022-11-24T00:00:00"/>
    <s v="1833"/>
    <x v="78"/>
    <m/>
    <m/>
    <m/>
    <s v="11800 · CIBC"/>
    <n v="44.24"/>
  </r>
  <r>
    <x v="24"/>
    <d v="2022-11-24T00:00:00"/>
    <s v="1833"/>
    <x v="78"/>
    <m/>
    <m/>
    <m/>
    <s v="11800 · CIBC"/>
    <n v="80"/>
  </r>
  <r>
    <x v="24"/>
    <d v="2022-11-24T00:00:00"/>
    <s v="1834"/>
    <x v="93"/>
    <m/>
    <m/>
    <m/>
    <s v="11800 · CIBC"/>
    <n v="769.2"/>
  </r>
  <r>
    <x v="24"/>
    <d v="2022-11-24T00:00:00"/>
    <s v="1834"/>
    <x v="93"/>
    <m/>
    <m/>
    <m/>
    <s v="11800 · CIBC"/>
    <n v="36.17"/>
  </r>
  <r>
    <x v="24"/>
    <d v="2022-11-24T00:00:00"/>
    <s v="1834"/>
    <x v="93"/>
    <m/>
    <m/>
    <m/>
    <s v="11800 · CIBC"/>
    <n v="17.010000000000002"/>
  </r>
  <r>
    <x v="24"/>
    <d v="2022-11-24T00:00:00"/>
    <s v="1834"/>
    <x v="93"/>
    <m/>
    <m/>
    <m/>
    <s v="11800 · CIBC"/>
    <n v="0"/>
  </r>
  <r>
    <x v="24"/>
    <d v="2022-11-24T00:00:00"/>
    <s v="1835"/>
    <x v="94"/>
    <m/>
    <m/>
    <m/>
    <s v="11800 · CIBC"/>
    <n v="1500"/>
  </r>
  <r>
    <x v="24"/>
    <d v="2022-11-24T00:00:00"/>
    <s v="1835"/>
    <x v="94"/>
    <m/>
    <m/>
    <m/>
    <s v="11800 · CIBC"/>
    <n v="77.83"/>
  </r>
  <r>
    <x v="24"/>
    <d v="2022-11-24T00:00:00"/>
    <s v="1835"/>
    <x v="94"/>
    <m/>
    <m/>
    <m/>
    <s v="11800 · CIBC"/>
    <n v="33.18"/>
  </r>
  <r>
    <x v="24"/>
    <d v="2022-11-24T00:00:00"/>
    <s v="1835"/>
    <x v="94"/>
    <m/>
    <m/>
    <m/>
    <s v="11800 · CIBC"/>
    <n v="0"/>
  </r>
  <r>
    <x v="24"/>
    <d v="2022-11-24T00:00:00"/>
    <s v="1836"/>
    <x v="90"/>
    <m/>
    <m/>
    <m/>
    <s v="11800 · CIBC"/>
    <n v="964.53"/>
  </r>
  <r>
    <x v="24"/>
    <d v="2022-11-24T00:00:00"/>
    <s v="1836"/>
    <x v="90"/>
    <m/>
    <m/>
    <m/>
    <s v="11800 · CIBC"/>
    <n v="47.31"/>
  </r>
  <r>
    <x v="24"/>
    <d v="2022-11-24T00:00:00"/>
    <s v="1836"/>
    <x v="90"/>
    <m/>
    <m/>
    <m/>
    <s v="11800 · CIBC"/>
    <n v="21.34"/>
  </r>
  <r>
    <x v="24"/>
    <d v="2022-11-24T00:00:00"/>
    <s v="1836"/>
    <x v="90"/>
    <m/>
    <m/>
    <m/>
    <s v="11800 · CIBC"/>
    <n v="0"/>
  </r>
  <r>
    <x v="24"/>
    <d v="2022-11-24T00:00:00"/>
    <s v="1837"/>
    <x v="95"/>
    <m/>
    <m/>
    <m/>
    <s v="11800 · CIBC"/>
    <n v="1722.32"/>
  </r>
  <r>
    <x v="24"/>
    <d v="2022-11-24T00:00:00"/>
    <s v="1837"/>
    <x v="95"/>
    <m/>
    <m/>
    <m/>
    <s v="11800 · CIBC"/>
    <n v="90.5"/>
  </r>
  <r>
    <x v="24"/>
    <d v="2022-11-24T00:00:00"/>
    <s v="1837"/>
    <x v="95"/>
    <m/>
    <m/>
    <m/>
    <s v="11800 · CIBC"/>
    <n v="38.090000000000003"/>
  </r>
  <r>
    <x v="24"/>
    <d v="2022-11-24T00:00:00"/>
    <s v="1837"/>
    <x v="95"/>
    <m/>
    <m/>
    <m/>
    <s v="11800 · CIBC"/>
    <n v="0"/>
  </r>
  <r>
    <x v="24"/>
    <d v="2022-11-24T00:00:00"/>
    <s v="1838"/>
    <x v="96"/>
    <m/>
    <m/>
    <m/>
    <s v="11800 · CIBC"/>
    <n v="982.58"/>
  </r>
  <r>
    <x v="24"/>
    <d v="2022-11-24T00:00:00"/>
    <s v="1838"/>
    <x v="96"/>
    <m/>
    <m/>
    <m/>
    <s v="11800 · CIBC"/>
    <n v="48.33"/>
  </r>
  <r>
    <x v="24"/>
    <d v="2022-11-24T00:00:00"/>
    <s v="1838"/>
    <x v="96"/>
    <m/>
    <m/>
    <m/>
    <s v="11800 · CIBC"/>
    <n v="21.73"/>
  </r>
  <r>
    <x v="24"/>
    <d v="2022-11-24T00:00:00"/>
    <s v="1838"/>
    <x v="96"/>
    <m/>
    <m/>
    <m/>
    <s v="11800 · CIBC"/>
    <n v="0"/>
  </r>
  <r>
    <x v="24"/>
    <d v="2022-12-08T00:00:00"/>
    <s v="1924"/>
    <x v="39"/>
    <m/>
    <m/>
    <m/>
    <s v="11800 · CIBC"/>
    <n v="1600"/>
  </r>
  <r>
    <x v="24"/>
    <d v="2022-12-08T00:00:00"/>
    <s v="1924"/>
    <x v="39"/>
    <m/>
    <m/>
    <m/>
    <s v="11800 · CIBC"/>
    <n v="83.53"/>
  </r>
  <r>
    <x v="24"/>
    <d v="2022-12-08T00:00:00"/>
    <s v="1924"/>
    <x v="39"/>
    <m/>
    <m/>
    <m/>
    <s v="11800 · CIBC"/>
    <n v="35.39"/>
  </r>
  <r>
    <x v="24"/>
    <d v="2022-12-08T00:00:00"/>
    <s v="1924"/>
    <x v="39"/>
    <m/>
    <m/>
    <m/>
    <s v="11800 · CIBC"/>
    <n v="64"/>
  </r>
  <r>
    <x v="24"/>
    <d v="2022-12-08T00:00:00"/>
    <s v="1925"/>
    <x v="78"/>
    <m/>
    <m/>
    <m/>
    <s v="11800 · CIBC"/>
    <n v="2000"/>
  </r>
  <r>
    <x v="24"/>
    <d v="2022-12-08T00:00:00"/>
    <s v="1925"/>
    <x v="78"/>
    <m/>
    <m/>
    <m/>
    <s v="11800 · CIBC"/>
    <n v="106.33"/>
  </r>
  <r>
    <x v="24"/>
    <d v="2022-12-08T00:00:00"/>
    <s v="1925"/>
    <x v="78"/>
    <m/>
    <m/>
    <m/>
    <s v="11800 · CIBC"/>
    <n v="44.24"/>
  </r>
  <r>
    <x v="24"/>
    <d v="2022-12-08T00:00:00"/>
    <s v="1925"/>
    <x v="78"/>
    <m/>
    <m/>
    <m/>
    <s v="11800 · CIBC"/>
    <n v="80"/>
  </r>
  <r>
    <x v="24"/>
    <d v="2022-12-08T00:00:00"/>
    <s v="1926"/>
    <x v="93"/>
    <m/>
    <m/>
    <m/>
    <s v="11800 · CIBC"/>
    <n v="1232.7"/>
  </r>
  <r>
    <x v="24"/>
    <d v="2022-12-08T00:00:00"/>
    <s v="1926"/>
    <x v="93"/>
    <m/>
    <m/>
    <m/>
    <s v="11800 · CIBC"/>
    <n v="62.59"/>
  </r>
  <r>
    <x v="24"/>
    <d v="2022-12-08T00:00:00"/>
    <s v="1926"/>
    <x v="93"/>
    <m/>
    <m/>
    <m/>
    <s v="11800 · CIBC"/>
    <n v="27.27"/>
  </r>
  <r>
    <x v="24"/>
    <d v="2022-12-08T00:00:00"/>
    <s v="1926"/>
    <x v="93"/>
    <m/>
    <m/>
    <m/>
    <s v="11800 · CIBC"/>
    <n v="0"/>
  </r>
  <r>
    <x v="24"/>
    <d v="2022-12-08T00:00:00"/>
    <s v="1927"/>
    <x v="94"/>
    <m/>
    <m/>
    <m/>
    <s v="11800 · CIBC"/>
    <n v="1500"/>
  </r>
  <r>
    <x v="24"/>
    <d v="2022-12-08T00:00:00"/>
    <s v="1927"/>
    <x v="94"/>
    <m/>
    <m/>
    <m/>
    <s v="11800 · CIBC"/>
    <n v="77.83"/>
  </r>
  <r>
    <x v="24"/>
    <d v="2022-12-08T00:00:00"/>
    <s v="1927"/>
    <x v="94"/>
    <m/>
    <m/>
    <m/>
    <s v="11800 · CIBC"/>
    <n v="33.18"/>
  </r>
  <r>
    <x v="24"/>
    <d v="2022-12-08T00:00:00"/>
    <s v="1927"/>
    <x v="94"/>
    <m/>
    <m/>
    <m/>
    <s v="11800 · CIBC"/>
    <n v="0"/>
  </r>
  <r>
    <x v="24"/>
    <d v="2022-12-08T00:00:00"/>
    <s v="1928"/>
    <x v="90"/>
    <m/>
    <m/>
    <m/>
    <s v="11800 · CIBC"/>
    <n v="965.07"/>
  </r>
  <r>
    <x v="24"/>
    <d v="2022-12-08T00:00:00"/>
    <s v="1928"/>
    <x v="90"/>
    <m/>
    <m/>
    <m/>
    <s v="11800 · CIBC"/>
    <n v="47.34"/>
  </r>
  <r>
    <x v="24"/>
    <d v="2022-12-08T00:00:00"/>
    <s v="1928"/>
    <x v="90"/>
    <m/>
    <m/>
    <m/>
    <s v="11800 · CIBC"/>
    <n v="21.35"/>
  </r>
  <r>
    <x v="24"/>
    <d v="2022-12-08T00:00:00"/>
    <s v="1928"/>
    <x v="90"/>
    <m/>
    <m/>
    <m/>
    <s v="11800 · CIBC"/>
    <n v="0"/>
  </r>
  <r>
    <x v="24"/>
    <d v="2022-12-08T00:00:00"/>
    <s v="1929"/>
    <x v="95"/>
    <m/>
    <m/>
    <m/>
    <s v="11800 · CIBC"/>
    <n v="1445.93"/>
  </r>
  <r>
    <x v="24"/>
    <d v="2022-12-08T00:00:00"/>
    <s v="1929"/>
    <x v="95"/>
    <m/>
    <m/>
    <m/>
    <s v="11800 · CIBC"/>
    <n v="74.75"/>
  </r>
  <r>
    <x v="24"/>
    <d v="2022-12-08T00:00:00"/>
    <s v="1929"/>
    <x v="95"/>
    <m/>
    <m/>
    <m/>
    <s v="11800 · CIBC"/>
    <n v="31.99"/>
  </r>
  <r>
    <x v="24"/>
    <d v="2022-12-08T00:00:00"/>
    <s v="1929"/>
    <x v="95"/>
    <m/>
    <m/>
    <m/>
    <s v="11800 · CIBC"/>
    <n v="0"/>
  </r>
  <r>
    <x v="24"/>
    <d v="2022-12-08T00:00:00"/>
    <m/>
    <x v="96"/>
    <m/>
    <m/>
    <m/>
    <s v="11800 · CIBC"/>
    <n v="601.25"/>
  </r>
  <r>
    <x v="24"/>
    <d v="2022-12-08T00:00:00"/>
    <m/>
    <x v="96"/>
    <m/>
    <m/>
    <m/>
    <s v="11800 · CIBC"/>
    <n v="26.6"/>
  </r>
  <r>
    <x v="24"/>
    <d v="2022-12-08T00:00:00"/>
    <m/>
    <x v="96"/>
    <m/>
    <m/>
    <m/>
    <s v="11800 · CIBC"/>
    <n v="13.3"/>
  </r>
  <r>
    <x v="24"/>
    <d v="2022-12-08T00:00:00"/>
    <m/>
    <x v="96"/>
    <m/>
    <m/>
    <m/>
    <s v="11800 · CIBC"/>
    <n v="0"/>
  </r>
  <r>
    <x v="24"/>
    <d v="2022-12-08T00:00:00"/>
    <m/>
    <x v="41"/>
    <m/>
    <m/>
    <m/>
    <s v="11800 · CIBC"/>
    <n v="1400"/>
  </r>
  <r>
    <x v="24"/>
    <d v="2022-12-08T00:00:00"/>
    <m/>
    <x v="41"/>
    <m/>
    <m/>
    <m/>
    <s v="11800 · CIBC"/>
    <n v="72.13"/>
  </r>
  <r>
    <x v="24"/>
    <d v="2022-12-08T00:00:00"/>
    <m/>
    <x v="41"/>
    <m/>
    <m/>
    <m/>
    <s v="11800 · CIBC"/>
    <n v="30.97"/>
  </r>
  <r>
    <x v="24"/>
    <d v="2022-12-08T00:00:00"/>
    <m/>
    <x v="41"/>
    <m/>
    <m/>
    <m/>
    <s v="11800 · CIBC"/>
    <n v="0"/>
  </r>
  <r>
    <x v="24"/>
    <d v="2022-12-22T00:00:00"/>
    <m/>
    <x v="39"/>
    <m/>
    <m/>
    <m/>
    <s v="11800 · CIBC"/>
    <n v="1600"/>
  </r>
  <r>
    <x v="24"/>
    <d v="2022-12-22T00:00:00"/>
    <m/>
    <x v="39"/>
    <m/>
    <m/>
    <m/>
    <s v="11800 · CIBC"/>
    <n v="83.53"/>
  </r>
  <r>
    <x v="24"/>
    <d v="2022-12-22T00:00:00"/>
    <m/>
    <x v="39"/>
    <m/>
    <m/>
    <m/>
    <s v="11800 · CIBC"/>
    <n v="35.39"/>
  </r>
  <r>
    <x v="24"/>
    <d v="2022-12-22T00:00:00"/>
    <m/>
    <x v="39"/>
    <m/>
    <m/>
    <m/>
    <s v="11800 · CIBC"/>
    <n v="64"/>
  </r>
  <r>
    <x v="24"/>
    <d v="2022-12-22T00:00:00"/>
    <m/>
    <x v="78"/>
    <m/>
    <m/>
    <m/>
    <s v="11800 · CIBC"/>
    <n v="2000"/>
  </r>
  <r>
    <x v="24"/>
    <d v="2022-12-22T00:00:00"/>
    <m/>
    <x v="78"/>
    <m/>
    <m/>
    <m/>
    <s v="11800 · CIBC"/>
    <n v="106.33"/>
  </r>
  <r>
    <x v="24"/>
    <d v="2022-12-22T00:00:00"/>
    <m/>
    <x v="78"/>
    <m/>
    <m/>
    <m/>
    <s v="11800 · CIBC"/>
    <n v="44.24"/>
  </r>
  <r>
    <x v="24"/>
    <d v="2022-12-22T00:00:00"/>
    <m/>
    <x v="78"/>
    <m/>
    <m/>
    <m/>
    <s v="11800 · CIBC"/>
    <n v="80"/>
  </r>
  <r>
    <x v="24"/>
    <d v="2022-12-22T00:00:00"/>
    <m/>
    <x v="93"/>
    <m/>
    <m/>
    <m/>
    <s v="11800 · CIBC"/>
    <n v="1154.4000000000001"/>
  </r>
  <r>
    <x v="24"/>
    <d v="2022-12-22T00:00:00"/>
    <m/>
    <x v="93"/>
    <m/>
    <m/>
    <m/>
    <s v="11800 · CIBC"/>
    <n v="58.13"/>
  </r>
  <r>
    <x v="24"/>
    <d v="2022-12-22T00:00:00"/>
    <m/>
    <x v="93"/>
    <m/>
    <m/>
    <m/>
    <s v="11800 · CIBC"/>
    <n v="25.54"/>
  </r>
  <r>
    <x v="24"/>
    <d v="2022-12-22T00:00:00"/>
    <m/>
    <x v="93"/>
    <m/>
    <m/>
    <m/>
    <s v="11800 · CIBC"/>
    <n v="46.18"/>
  </r>
  <r>
    <x v="24"/>
    <d v="2022-12-22T00:00:00"/>
    <m/>
    <x v="94"/>
    <m/>
    <m/>
    <m/>
    <s v="11800 · CIBC"/>
    <n v="1500"/>
  </r>
  <r>
    <x v="24"/>
    <d v="2022-12-22T00:00:00"/>
    <m/>
    <x v="94"/>
    <m/>
    <m/>
    <m/>
    <s v="11800 · CIBC"/>
    <n v="77.83"/>
  </r>
  <r>
    <x v="24"/>
    <d v="2022-12-22T00:00:00"/>
    <m/>
    <x v="94"/>
    <m/>
    <m/>
    <m/>
    <s v="11800 · CIBC"/>
    <n v="33.18"/>
  </r>
  <r>
    <x v="24"/>
    <d v="2022-12-22T00:00:00"/>
    <m/>
    <x v="94"/>
    <m/>
    <m/>
    <m/>
    <s v="11800 · CIBC"/>
    <n v="60"/>
  </r>
  <r>
    <x v="24"/>
    <d v="2022-12-22T00:00:00"/>
    <m/>
    <x v="41"/>
    <m/>
    <m/>
    <m/>
    <s v="11800 · CIBC"/>
    <n v="1400"/>
  </r>
  <r>
    <x v="24"/>
    <d v="2022-12-22T00:00:00"/>
    <m/>
    <x v="41"/>
    <m/>
    <m/>
    <m/>
    <s v="11800 · CIBC"/>
    <n v="72.13"/>
  </r>
  <r>
    <x v="24"/>
    <d v="2022-12-22T00:00:00"/>
    <m/>
    <x v="41"/>
    <m/>
    <m/>
    <m/>
    <s v="11800 · CIBC"/>
    <n v="30.97"/>
  </r>
  <r>
    <x v="24"/>
    <d v="2022-12-22T00:00:00"/>
    <m/>
    <x v="41"/>
    <m/>
    <m/>
    <m/>
    <s v="11800 · CIBC"/>
    <n v="56"/>
  </r>
  <r>
    <x v="24"/>
    <d v="2022-12-22T00:00:00"/>
    <m/>
    <x v="90"/>
    <m/>
    <m/>
    <m/>
    <s v="11800 · CIBC"/>
    <n v="1139.2"/>
  </r>
  <r>
    <x v="24"/>
    <d v="2022-12-22T00:00:00"/>
    <m/>
    <x v="90"/>
    <m/>
    <m/>
    <m/>
    <s v="11800 · CIBC"/>
    <n v="57.26"/>
  </r>
  <r>
    <x v="24"/>
    <d v="2022-12-22T00:00:00"/>
    <m/>
    <x v="90"/>
    <m/>
    <m/>
    <m/>
    <s v="11800 · CIBC"/>
    <n v="25.2"/>
  </r>
  <r>
    <x v="24"/>
    <d v="2022-12-22T00:00:00"/>
    <m/>
    <x v="90"/>
    <m/>
    <m/>
    <m/>
    <s v="11800 · CIBC"/>
    <n v="45.57"/>
  </r>
  <r>
    <x v="24"/>
    <d v="2022-12-22T00:00:00"/>
    <m/>
    <x v="96"/>
    <m/>
    <m/>
    <m/>
    <s v="11800 · CIBC"/>
    <n v="224.25"/>
  </r>
  <r>
    <x v="24"/>
    <d v="2022-12-22T00:00:00"/>
    <m/>
    <x v="96"/>
    <m/>
    <m/>
    <m/>
    <s v="11800 · CIBC"/>
    <n v="5.1100000000000003"/>
  </r>
  <r>
    <x v="24"/>
    <d v="2022-12-22T00:00:00"/>
    <m/>
    <x v="96"/>
    <m/>
    <m/>
    <m/>
    <s v="11800 · CIBC"/>
    <n v="4.96"/>
  </r>
  <r>
    <x v="24"/>
    <d v="2022-12-22T00:00:00"/>
    <m/>
    <x v="96"/>
    <m/>
    <m/>
    <m/>
    <s v="11800 · CIBC"/>
    <n v="8.9700000000000006"/>
  </r>
  <r>
    <x v="24"/>
    <d v="2022-12-22T00:00:00"/>
    <m/>
    <x v="95"/>
    <m/>
    <m/>
    <m/>
    <s v="11800 · CIBC"/>
    <n v="1750.68"/>
  </r>
  <r>
    <x v="24"/>
    <d v="2022-12-22T00:00:00"/>
    <m/>
    <x v="95"/>
    <m/>
    <m/>
    <m/>
    <s v="11800 · CIBC"/>
    <n v="92.12"/>
  </r>
  <r>
    <x v="24"/>
    <d v="2022-12-22T00:00:00"/>
    <m/>
    <x v="95"/>
    <m/>
    <m/>
    <m/>
    <s v="11800 · CIBC"/>
    <n v="38.72"/>
  </r>
  <r>
    <x v="24"/>
    <d v="2022-12-22T00:00:00"/>
    <m/>
    <x v="95"/>
    <m/>
    <m/>
    <m/>
    <s v="11800 · CIBC"/>
    <n v="70.03"/>
  </r>
  <r>
    <x v="0"/>
    <m/>
    <m/>
    <x v="0"/>
    <m/>
    <m/>
    <m/>
    <m/>
    <n v="155704.23000000001"/>
  </r>
  <r>
    <x v="0"/>
    <m/>
    <m/>
    <x v="0"/>
    <m/>
    <m/>
    <m/>
    <m/>
    <m/>
  </r>
  <r>
    <x v="25"/>
    <d v="2022-11-13T00:00:00"/>
    <m/>
    <x v="97"/>
    <m/>
    <m/>
    <m/>
    <s v="11800 · CIBC"/>
    <n v="8000"/>
  </r>
  <r>
    <x v="25"/>
    <d v="2022-12-13T00:00:00"/>
    <m/>
    <x v="97"/>
    <m/>
    <m/>
    <m/>
    <s v="11800 · CIBC"/>
    <n v="8000"/>
  </r>
  <r>
    <x v="0"/>
    <m/>
    <m/>
    <x v="0"/>
    <m/>
    <m/>
    <m/>
    <m/>
    <n v="16000"/>
  </r>
  <r>
    <x v="0"/>
    <m/>
    <m/>
    <x v="0"/>
    <m/>
    <m/>
    <m/>
    <m/>
    <m/>
  </r>
  <r>
    <x v="26"/>
    <d v="2022-06-21T00:00:00"/>
    <s v="27"/>
    <x v="65"/>
    <s v="legal fees for corporate setup and purchase of AC"/>
    <m/>
    <m/>
    <s v="20000 · Accounts Payable"/>
    <n v="9843.77"/>
  </r>
  <r>
    <x v="26"/>
    <d v="2022-06-29T00:00:00"/>
    <m/>
    <x v="98"/>
    <m/>
    <m/>
    <m/>
    <s v="20000 · Accounts Payable"/>
    <n v="6831.65"/>
  </r>
  <r>
    <x v="26"/>
    <d v="2022-08-04T00:00:00"/>
    <m/>
    <x v="98"/>
    <m/>
    <m/>
    <m/>
    <s v="20000 · Accounts Payable"/>
    <n v="1750"/>
  </r>
  <r>
    <x v="0"/>
    <m/>
    <m/>
    <x v="0"/>
    <m/>
    <m/>
    <m/>
    <m/>
    <n v="18425.419999999998"/>
  </r>
  <r>
    <x v="0"/>
    <m/>
    <m/>
    <x v="0"/>
    <m/>
    <m/>
    <m/>
    <m/>
    <m/>
  </r>
  <r>
    <x v="27"/>
    <d v="2022-04-01T00:00:00"/>
    <s v="1646"/>
    <x v="99"/>
    <m/>
    <m/>
    <m/>
    <s v="11800 · CIBC"/>
    <n v="3318.58"/>
  </r>
  <r>
    <x v="27"/>
    <d v="2022-05-01T00:00:00"/>
    <s v="1647"/>
    <x v="99"/>
    <m/>
    <m/>
    <m/>
    <s v="11800 · CIBC"/>
    <n v="3318.58"/>
  </r>
  <r>
    <x v="27"/>
    <d v="2022-06-01T00:00:00"/>
    <s v="1648"/>
    <x v="99"/>
    <m/>
    <m/>
    <m/>
    <s v="11800 · CIBC"/>
    <n v="3318.58"/>
  </r>
  <r>
    <x v="27"/>
    <d v="2022-07-01T00:00:00"/>
    <s v="1649"/>
    <x v="99"/>
    <m/>
    <m/>
    <m/>
    <s v="11800 · CIBC"/>
    <n v="3318.58"/>
  </r>
  <r>
    <x v="27"/>
    <d v="2022-08-01T00:00:00"/>
    <s v="1650"/>
    <x v="99"/>
    <m/>
    <m/>
    <m/>
    <s v="11800 · CIBC"/>
    <n v="3318.58"/>
  </r>
  <r>
    <x v="27"/>
    <d v="2022-09-01T00:00:00"/>
    <s v="1651"/>
    <x v="99"/>
    <m/>
    <m/>
    <m/>
    <s v="11800 · CIBC"/>
    <n v="3318.58"/>
  </r>
  <r>
    <x v="27"/>
    <d v="2022-10-01T00:00:00"/>
    <m/>
    <x v="99"/>
    <m/>
    <m/>
    <m/>
    <s v="11800 · CIBC"/>
    <n v="3318.58"/>
  </r>
  <r>
    <x v="27"/>
    <d v="2022-11-01T00:00:00"/>
    <s v="1653"/>
    <x v="99"/>
    <m/>
    <m/>
    <m/>
    <s v="11800 · CIBC"/>
    <n v="3318.58"/>
  </r>
  <r>
    <x v="27"/>
    <d v="2022-12-01T00:00:00"/>
    <s v="1654"/>
    <x v="99"/>
    <m/>
    <m/>
    <m/>
    <s v="11800 · CIBC"/>
    <n v="3318.58"/>
  </r>
  <r>
    <x v="0"/>
    <m/>
    <m/>
    <x v="0"/>
    <m/>
    <m/>
    <m/>
    <m/>
    <n v="29867.22"/>
  </r>
  <r>
    <x v="0"/>
    <m/>
    <m/>
    <x v="0"/>
    <m/>
    <m/>
    <m/>
    <m/>
    <m/>
  </r>
  <r>
    <x v="28"/>
    <d v="2022-05-24T00:00:00"/>
    <m/>
    <x v="100"/>
    <m/>
    <m/>
    <m/>
    <s v="CIBC VISA"/>
    <n v="921.86"/>
  </r>
  <r>
    <x v="28"/>
    <d v="2022-09-29T00:00:00"/>
    <m/>
    <x v="45"/>
    <m/>
    <m/>
    <m/>
    <s v="20000 · Accounts Payable"/>
    <n v="4163.8900000000003"/>
  </r>
  <r>
    <x v="28"/>
    <d v="2022-12-08T00:00:00"/>
    <m/>
    <x v="100"/>
    <s v="esa renewal fee"/>
    <m/>
    <m/>
    <s v="20000 · Accounts Payable"/>
    <n v="395"/>
  </r>
  <r>
    <x v="0"/>
    <m/>
    <m/>
    <x v="0"/>
    <m/>
    <m/>
    <m/>
    <m/>
    <n v="5480.75"/>
  </r>
  <r>
    <x v="0"/>
    <m/>
    <m/>
    <x v="0"/>
    <m/>
    <m/>
    <m/>
    <m/>
    <m/>
  </r>
  <r>
    <x v="29"/>
    <d v="2022-04-19T00:00:00"/>
    <s v="1662"/>
    <x v="78"/>
    <m/>
    <m/>
    <m/>
    <s v="11800 · CIBC"/>
    <n v="48.67"/>
  </r>
  <r>
    <x v="29"/>
    <d v="2022-04-21T00:00:00"/>
    <m/>
    <x v="101"/>
    <m/>
    <m/>
    <m/>
    <s v="11800 · CIBC"/>
    <n v="177.2"/>
  </r>
  <r>
    <x v="29"/>
    <d v="2022-08-13T00:00:00"/>
    <m/>
    <x v="101"/>
    <m/>
    <m/>
    <m/>
    <s v="20000 · Accounts Payable"/>
    <n v="181.51"/>
  </r>
  <r>
    <x v="29"/>
    <d v="2022-09-29T00:00:00"/>
    <m/>
    <x v="45"/>
    <m/>
    <m/>
    <m/>
    <s v="20000 · Accounts Payable"/>
    <n v="945.29"/>
  </r>
  <r>
    <x v="29"/>
    <d v="2022-11-13T00:00:00"/>
    <m/>
    <x v="101"/>
    <m/>
    <m/>
    <m/>
    <s v="20000 · Accounts Payable"/>
    <n v="189.92"/>
  </r>
  <r>
    <x v="0"/>
    <m/>
    <m/>
    <x v="0"/>
    <m/>
    <m/>
    <m/>
    <m/>
    <n v="1542.59"/>
  </r>
  <r>
    <x v="0"/>
    <m/>
    <m/>
    <x v="0"/>
    <m/>
    <m/>
    <m/>
    <m/>
    <m/>
  </r>
  <r>
    <x v="30"/>
    <d v="2022-04-21T00:00:00"/>
    <m/>
    <x v="101"/>
    <m/>
    <m/>
    <m/>
    <s v="11800 · CIBC"/>
    <n v="100"/>
  </r>
  <r>
    <x v="30"/>
    <d v="2022-08-01T00:00:00"/>
    <m/>
    <x v="101"/>
    <m/>
    <m/>
    <m/>
    <s v="20000 · Accounts Payable"/>
    <n v="409"/>
  </r>
  <r>
    <x v="30"/>
    <d v="2022-10-01T00:00:00"/>
    <m/>
    <x v="101"/>
    <m/>
    <m/>
    <m/>
    <s v="20000 · Accounts Payable"/>
    <n v="185.91"/>
  </r>
  <r>
    <x v="0"/>
    <m/>
    <m/>
    <x v="0"/>
    <m/>
    <m/>
    <m/>
    <m/>
    <n v="694.91"/>
  </r>
  <r>
    <x v="0"/>
    <m/>
    <m/>
    <x v="0"/>
    <m/>
    <m/>
    <m/>
    <m/>
    <m/>
  </r>
  <r>
    <x v="31"/>
    <d v="2022-04-20T00:00:00"/>
    <m/>
    <x v="102"/>
    <m/>
    <m/>
    <m/>
    <s v="11800 · CIBC"/>
    <n v="151.88"/>
  </r>
  <r>
    <x v="31"/>
    <d v="2022-04-29T00:00:00"/>
    <m/>
    <x v="103"/>
    <m/>
    <m/>
    <m/>
    <s v="11800 · CIBC"/>
    <n v="238.55"/>
  </r>
  <r>
    <x v="31"/>
    <d v="2022-05-11T00:00:00"/>
    <m/>
    <x v="103"/>
    <m/>
    <m/>
    <m/>
    <s v="20000 · Accounts Payable"/>
    <n v="199.16"/>
  </r>
  <r>
    <x v="31"/>
    <d v="2022-05-11T00:00:00"/>
    <m/>
    <x v="102"/>
    <m/>
    <m/>
    <m/>
    <s v="20000 · Accounts Payable"/>
    <n v="139.12"/>
  </r>
  <r>
    <x v="31"/>
    <d v="2022-07-06T00:00:00"/>
    <m/>
    <x v="103"/>
    <m/>
    <m/>
    <m/>
    <s v="20000 · Accounts Payable"/>
    <n v="66.8"/>
  </r>
  <r>
    <x v="31"/>
    <d v="2022-07-29T00:00:00"/>
    <m/>
    <x v="103"/>
    <m/>
    <m/>
    <m/>
    <s v="11800 · CIBC"/>
    <n v="72.87"/>
  </r>
  <r>
    <x v="31"/>
    <d v="2022-07-29T00:00:00"/>
    <m/>
    <x v="102"/>
    <m/>
    <m/>
    <m/>
    <s v="11800 · CIBC"/>
    <n v="275.20999999999998"/>
  </r>
  <r>
    <x v="31"/>
    <d v="2022-07-31T00:00:00"/>
    <m/>
    <x v="103"/>
    <m/>
    <m/>
    <m/>
    <s v="20000 · Accounts Payable"/>
    <n v="75.45"/>
  </r>
  <r>
    <x v="31"/>
    <d v="2022-08-11T00:00:00"/>
    <m/>
    <x v="104"/>
    <s v="august 11, 2022 utilities bill"/>
    <m/>
    <m/>
    <s v="20000 · Accounts Payable"/>
    <n v="189.16"/>
  </r>
  <r>
    <x v="31"/>
    <d v="2022-08-26T00:00:00"/>
    <m/>
    <x v="103"/>
    <m/>
    <m/>
    <m/>
    <s v="11800 · CIBC"/>
    <n v="75.45"/>
  </r>
  <r>
    <x v="31"/>
    <d v="2022-08-26T00:00:00"/>
    <m/>
    <x v="104"/>
    <s v="0962907863"/>
    <m/>
    <m/>
    <s v="11800 · CIBC"/>
    <n v="189.16"/>
  </r>
  <r>
    <x v="31"/>
    <d v="2022-09-13T00:00:00"/>
    <m/>
    <x v="104"/>
    <s v="September 2022 utilities bill"/>
    <m/>
    <m/>
    <s v="20000 · Accounts Payable"/>
    <n v="182.59"/>
  </r>
  <r>
    <x v="31"/>
    <d v="2022-09-27T00:00:00"/>
    <m/>
    <x v="103"/>
    <m/>
    <m/>
    <m/>
    <s v="20000 · Accounts Payable"/>
    <n v="74.91"/>
  </r>
  <r>
    <x v="31"/>
    <d v="2022-09-27T00:00:00"/>
    <m/>
    <x v="104"/>
    <s v="0962907863"/>
    <m/>
    <m/>
    <s v="11800 · CIBC"/>
    <n v="182.59"/>
  </r>
  <r>
    <x v="31"/>
    <d v="2022-10-13T00:00:00"/>
    <m/>
    <x v="103"/>
    <m/>
    <m/>
    <m/>
    <s v="20000 · Accounts Payable"/>
    <n v="82.5"/>
  </r>
  <r>
    <x v="31"/>
    <d v="2022-10-13T00:00:00"/>
    <m/>
    <x v="104"/>
    <m/>
    <m/>
    <m/>
    <s v="20000 · Accounts Payable"/>
    <n v="143.09"/>
  </r>
  <r>
    <x v="31"/>
    <d v="2022-11-09T00:00:00"/>
    <m/>
    <x v="103"/>
    <m/>
    <m/>
    <m/>
    <s v="20000 · Accounts Payable"/>
    <n v="171.88"/>
  </r>
  <r>
    <x v="31"/>
    <d v="2022-11-10T00:00:00"/>
    <m/>
    <x v="104"/>
    <m/>
    <m/>
    <m/>
    <s v="20000 · Accounts Payable"/>
    <n v="140.19999999999999"/>
  </r>
  <r>
    <x v="31"/>
    <d v="2022-12-29T00:00:00"/>
    <m/>
    <x v="103"/>
    <m/>
    <m/>
    <m/>
    <s v="11800 · CIBC"/>
    <n v="567.03"/>
  </r>
  <r>
    <x v="31"/>
    <d v="2022-12-29T00:00:00"/>
    <m/>
    <x v="104"/>
    <s v="0962907863"/>
    <m/>
    <m/>
    <s v="11800 · CIBC"/>
    <n v="178.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3F3142-701B-4062-B076-34E5FF7623D7}"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10" firstHeaderRow="1" firstDataRow="1" firstDataCol="1"/>
  <pivotFields count="10">
    <pivotField axis="axisRow" showAll="0" sortType="descending">
      <items count="11">
        <item sd="0" x="6"/>
        <item sd="0" x="7"/>
        <item sd="0" x="4"/>
        <item sd="0" x="8"/>
        <item sd="0" x="2"/>
        <item sd="0" x="3"/>
        <item sd="0" x="1"/>
        <item sd="0" x="9"/>
        <item h="1" sd="0" x="5"/>
        <item h="1" sd="0" x="0"/>
        <item t="default"/>
      </items>
      <autoSortScope>
        <pivotArea dataOnly="0" outline="0" fieldPosition="0">
          <references count="1">
            <reference field="4294967294" count="1" selected="0">
              <x v="0"/>
            </reference>
          </references>
        </pivotArea>
      </autoSortScope>
    </pivotField>
    <pivotField showAll="0"/>
    <pivotField showAll="0"/>
    <pivotField axis="axisRow" showAll="0">
      <items count="105">
        <item x="96"/>
        <item x="65"/>
        <item x="103"/>
        <item x="80"/>
        <item x="37"/>
        <item x="67"/>
        <item x="39"/>
        <item x="82"/>
        <item x="54"/>
        <item x="25"/>
        <item x="23"/>
        <item x="100"/>
        <item x="57"/>
        <item x="4"/>
        <item x="10"/>
        <item x="2"/>
        <item x="75"/>
        <item x="85"/>
        <item x="38"/>
        <item x="63"/>
        <item x="102"/>
        <item x="101"/>
        <item x="99"/>
        <item x="69"/>
        <item x="71"/>
        <item x="73"/>
        <item x="64"/>
        <item x="50"/>
        <item x="16"/>
        <item x="9"/>
        <item x="52"/>
        <item x="11"/>
        <item x="77"/>
        <item x="84"/>
        <item x="86"/>
        <item x="43"/>
        <item x="46"/>
        <item x="6"/>
        <item x="41"/>
        <item x="42"/>
        <item x="14"/>
        <item x="87"/>
        <item x="92"/>
        <item x="15"/>
        <item x="55"/>
        <item x="97"/>
        <item x="76"/>
        <item x="26"/>
        <item x="32"/>
        <item x="90"/>
        <item x="93"/>
        <item x="3"/>
        <item x="28"/>
        <item x="18"/>
        <item x="60"/>
        <item x="1"/>
        <item x="27"/>
        <item x="34"/>
        <item x="70"/>
        <item x="40"/>
        <item x="83"/>
        <item x="51"/>
        <item x="7"/>
        <item x="78"/>
        <item x="61"/>
        <item x="35"/>
        <item x="29"/>
        <item x="19"/>
        <item x="88"/>
        <item x="74"/>
        <item x="24"/>
        <item x="33"/>
        <item x="56"/>
        <item x="62"/>
        <item x="72"/>
        <item x="44"/>
        <item x="8"/>
        <item x="21"/>
        <item x="48"/>
        <item x="89"/>
        <item x="22"/>
        <item x="20"/>
        <item x="49"/>
        <item x="58"/>
        <item x="79"/>
        <item x="68"/>
        <item x="17"/>
        <item x="36"/>
        <item x="5"/>
        <item x="66"/>
        <item x="45"/>
        <item x="12"/>
        <item x="31"/>
        <item x="47"/>
        <item x="30"/>
        <item x="13"/>
        <item x="53"/>
        <item x="91"/>
        <item x="59"/>
        <item x="94"/>
        <item x="81"/>
        <item x="95"/>
        <item x="98"/>
        <item x="0"/>
        <item t="default"/>
      </items>
    </pivotField>
    <pivotField showAll="0"/>
    <pivotField showAll="0"/>
    <pivotField showAll="0"/>
    <pivotField showAll="0"/>
    <pivotField dataField="1" showAll="0">
      <items count="723">
        <item x="289"/>
        <item x="282"/>
        <item x="288"/>
        <item x="287"/>
        <item x="286"/>
        <item x="279"/>
        <item x="284"/>
        <item x="283"/>
        <item x="285"/>
        <item x="293"/>
        <item x="290"/>
        <item x="8"/>
        <item x="292"/>
        <item x="487"/>
        <item x="291"/>
        <item x="497"/>
        <item x="314"/>
        <item x="481"/>
        <item x="39"/>
        <item x="446"/>
        <item x="590"/>
        <item x="589"/>
        <item x="679"/>
        <item x="555"/>
        <item x="620"/>
        <item x="573"/>
        <item x="453"/>
        <item x="554"/>
        <item x="619"/>
        <item x="558"/>
        <item x="572"/>
        <item x="539"/>
        <item x="680"/>
        <item x="543"/>
        <item x="585"/>
        <item x="644"/>
        <item x="580"/>
        <item x="556"/>
        <item x="570"/>
        <item x="525"/>
        <item x="668"/>
        <item x="638"/>
        <item x="575"/>
        <item x="547"/>
        <item x="538"/>
        <item x="535"/>
        <item x="542"/>
        <item x="540"/>
        <item x="632"/>
        <item x="544"/>
        <item x="587"/>
        <item x="647"/>
        <item x="602"/>
        <item x="626"/>
        <item x="551"/>
        <item x="643"/>
        <item x="579"/>
        <item x="508"/>
        <item x="608"/>
        <item x="623"/>
        <item x="567"/>
        <item x="650"/>
        <item x="662"/>
        <item x="569"/>
        <item x="595"/>
        <item x="656"/>
        <item x="563"/>
        <item x="614"/>
        <item x="526"/>
        <item x="629"/>
        <item x="565"/>
        <item x="354"/>
        <item x="524"/>
        <item x="593"/>
        <item x="676"/>
        <item x="671"/>
        <item x="548"/>
        <item x="635"/>
        <item x="667"/>
        <item x="637"/>
        <item x="574"/>
        <item x="659"/>
        <item x="536"/>
        <item x="641"/>
        <item x="577"/>
        <item x="546"/>
        <item x="611"/>
        <item x="561"/>
        <item x="209"/>
        <item x="534"/>
        <item x="355"/>
        <item x="583"/>
        <item x="665"/>
        <item x="600"/>
        <item x="353"/>
        <item x="605"/>
        <item x="552"/>
        <item x="598"/>
        <item x="617"/>
        <item x="631"/>
        <item x="528"/>
        <item x="345"/>
        <item x="646"/>
        <item x="653"/>
        <item x="683"/>
        <item x="484"/>
        <item x="625"/>
        <item x="550"/>
        <item x="495"/>
        <item x="518"/>
        <item x="140"/>
        <item x="531"/>
        <item x="607"/>
        <item x="622"/>
        <item x="677"/>
        <item x="672"/>
        <item x="649"/>
        <item x="661"/>
        <item x="655"/>
        <item x="695"/>
        <item x="613"/>
        <item x="111"/>
        <item x="628"/>
        <item x="521"/>
        <item x="211"/>
        <item x="592"/>
        <item x="673"/>
        <item x="675"/>
        <item x="38"/>
        <item x="670"/>
        <item x="103"/>
        <item x="634"/>
        <item x="658"/>
        <item x="640"/>
        <item x="529"/>
        <item x="709"/>
        <item x="155"/>
        <item x="684"/>
        <item x="610"/>
        <item x="560"/>
        <item x="710"/>
        <item x="582"/>
        <item x="664"/>
        <item x="715"/>
        <item x="712"/>
        <item x="519"/>
        <item x="113"/>
        <item x="599"/>
        <item x="604"/>
        <item x="597"/>
        <item x="532"/>
        <item x="616"/>
        <item x="716"/>
        <item x="527"/>
        <item x="480"/>
        <item x="98"/>
        <item x="419"/>
        <item x="652"/>
        <item x="129"/>
        <item x="682"/>
        <item x="76"/>
        <item x="148"/>
        <item x="522"/>
        <item x="437"/>
        <item x="226"/>
        <item x="436"/>
        <item x="701"/>
        <item x="438"/>
        <item x="178"/>
        <item x="517"/>
        <item x="435"/>
        <item x="530"/>
        <item x="429"/>
        <item x="420"/>
        <item x="406"/>
        <item x="492"/>
        <item x="427"/>
        <item x="128"/>
        <item x="196"/>
        <item x="167"/>
        <item x="49"/>
        <item x="442"/>
        <item x="17"/>
        <item x="432"/>
        <item x="520"/>
        <item x="439"/>
        <item x="416"/>
        <item x="418"/>
        <item x="708"/>
        <item x="32"/>
        <item x="719"/>
        <item x="717"/>
        <item x="430"/>
        <item x="400"/>
        <item x="443"/>
        <item x="705"/>
        <item x="426"/>
        <item x="79"/>
        <item x="343"/>
        <item x="233"/>
        <item x="433"/>
        <item x="206"/>
        <item x="431"/>
        <item x="131"/>
        <item x="346"/>
        <item x="718"/>
        <item x="231"/>
        <item x="428"/>
        <item x="696"/>
        <item x="721"/>
        <item x="697"/>
        <item x="714"/>
        <item x="269"/>
        <item x="268"/>
        <item x="703"/>
        <item x="344"/>
        <item x="713"/>
        <item x="699"/>
        <item x="334"/>
        <item x="471"/>
        <item x="707"/>
        <item x="15"/>
        <item x="441"/>
        <item x="472"/>
        <item x="485"/>
        <item x="259"/>
        <item x="254"/>
        <item x="218"/>
        <item x="234"/>
        <item x="474"/>
        <item x="588"/>
        <item x="678"/>
        <item x="477"/>
        <item x="68"/>
        <item x="91"/>
        <item x="506"/>
        <item x="86"/>
        <item x="250"/>
        <item x="475"/>
        <item x="151"/>
        <item x="66"/>
        <item x="154"/>
        <item x="706"/>
        <item x="21"/>
        <item x="30"/>
        <item x="225"/>
        <item x="169"/>
        <item x="216"/>
        <item x="322"/>
        <item x="112"/>
        <item x="332"/>
        <item x="404"/>
        <item x="553"/>
        <item x="711"/>
        <item x="618"/>
        <item x="476"/>
        <item x="402"/>
        <item x="421"/>
        <item x="214"/>
        <item x="84"/>
        <item x="180"/>
        <item x="571"/>
        <item x="451"/>
        <item x="301"/>
        <item x="408"/>
        <item x="134"/>
        <item x="324"/>
        <item x="220"/>
        <item x="201"/>
        <item x="331"/>
        <item x="444"/>
        <item x="125"/>
        <item x="177"/>
        <item x="513"/>
        <item x="104"/>
        <item x="311"/>
        <item x="333"/>
        <item x="261"/>
        <item x="28"/>
        <item x="253"/>
        <item x="114"/>
        <item x="488"/>
        <item x="409"/>
        <item x="415"/>
        <item x="89"/>
        <item x="170"/>
        <item x="335"/>
        <item x="156"/>
        <item x="239"/>
        <item x="479"/>
        <item x="505"/>
        <item x="244"/>
        <item x="557"/>
        <item x="394"/>
        <item x="197"/>
        <item x="16"/>
        <item x="693"/>
        <item x="22"/>
        <item x="537"/>
        <item x="94"/>
        <item x="213"/>
        <item x="115"/>
        <item x="458"/>
        <item x="702"/>
        <item x="208"/>
        <item x="541"/>
        <item x="242"/>
        <item x="473"/>
        <item x="486"/>
        <item x="145"/>
        <item x="423"/>
        <item x="339"/>
        <item x="46"/>
        <item x="320"/>
        <item x="161"/>
        <item x="199"/>
        <item x="55"/>
        <item x="507"/>
        <item x="183"/>
        <item x="92"/>
        <item x="48"/>
        <item x="247"/>
        <item x="584"/>
        <item x="509"/>
        <item x="241"/>
        <item x="191"/>
        <item x="83"/>
        <item x="410"/>
        <item x="252"/>
        <item x="80"/>
        <item x="642"/>
        <item x="578"/>
        <item x="510"/>
        <item x="384"/>
        <item x="120"/>
        <item x="272"/>
        <item x="67"/>
        <item x="219"/>
        <item x="141"/>
        <item x="222"/>
        <item x="58"/>
        <item x="568"/>
        <item x="204"/>
        <item x="70"/>
        <item x="31"/>
        <item x="99"/>
        <item x="257"/>
        <item x="245"/>
        <item x="50"/>
        <item x="53"/>
        <item x="23"/>
        <item x="501"/>
        <item x="56"/>
        <item x="185"/>
        <item x="452"/>
        <item x="77"/>
        <item x="41"/>
        <item x="65"/>
        <item x="184"/>
        <item x="523"/>
        <item x="720"/>
        <item x="101"/>
        <item x="327"/>
        <item x="499"/>
        <item x="445"/>
        <item x="133"/>
        <item x="24"/>
        <item x="143"/>
        <item x="238"/>
        <item x="229"/>
        <item x="85"/>
        <item x="461"/>
        <item x="146"/>
        <item x="142"/>
        <item x="95"/>
        <item x="666"/>
        <item x="174"/>
        <item x="636"/>
        <item x="137"/>
        <item x="90"/>
        <item x="212"/>
        <item x="47"/>
        <item x="172"/>
        <item x="13"/>
        <item x="347"/>
        <item x="246"/>
        <item x="188"/>
        <item x="489"/>
        <item x="12"/>
        <item x="493"/>
        <item x="11"/>
        <item x="203"/>
        <item x="29"/>
        <item x="294"/>
        <item x="51"/>
        <item x="181"/>
        <item x="545"/>
        <item x="45"/>
        <item x="182"/>
        <item x="456"/>
        <item x="217"/>
        <item x="533"/>
        <item x="176"/>
        <item x="121"/>
        <item x="704"/>
        <item x="240"/>
        <item x="132"/>
        <item x="210"/>
        <item x="326"/>
        <item x="215"/>
        <item x="136"/>
        <item x="44"/>
        <item x="14"/>
        <item x="223"/>
        <item x="27"/>
        <item x="630"/>
        <item x="149"/>
        <item x="586"/>
        <item x="321"/>
        <item x="106"/>
        <item x="189"/>
        <item x="34"/>
        <item x="150"/>
        <item x="358"/>
        <item x="645"/>
        <item x="258"/>
        <item x="105"/>
        <item x="168"/>
        <item x="412"/>
        <item x="72"/>
        <item x="255"/>
        <item x="52"/>
        <item x="63"/>
        <item x="190"/>
        <item x="20"/>
        <item x="491"/>
        <item x="601"/>
        <item x="328"/>
        <item x="256"/>
        <item x="139"/>
        <item x="82"/>
        <item x="227"/>
        <item x="200"/>
        <item x="448"/>
        <item x="26"/>
        <item x="624"/>
        <item x="549"/>
        <item x="130"/>
        <item x="43"/>
        <item x="424"/>
        <item x="126"/>
        <item x="71"/>
        <item x="193"/>
        <item x="69"/>
        <item x="73"/>
        <item x="78"/>
        <item x="198"/>
        <item x="364"/>
        <item x="124"/>
        <item x="341"/>
        <item x="403"/>
        <item x="230"/>
        <item x="35"/>
        <item x="119"/>
        <item x="417"/>
        <item x="248"/>
        <item x="173"/>
        <item x="18"/>
        <item x="87"/>
        <item x="171"/>
        <item x="186"/>
        <item x="116"/>
        <item x="123"/>
        <item x="606"/>
        <item x="621"/>
        <item x="260"/>
        <item x="202"/>
        <item x="691"/>
        <item x="160"/>
        <item x="64"/>
        <item x="107"/>
        <item x="138"/>
        <item x="164"/>
        <item x="237"/>
        <item x="127"/>
        <item x="504"/>
        <item x="152"/>
        <item x="698"/>
        <item x="165"/>
        <item x="249"/>
        <item x="566"/>
        <item x="147"/>
        <item x="648"/>
        <item x="660"/>
        <item x="122"/>
        <item x="449"/>
        <item x="262"/>
        <item x="9"/>
        <item x="25"/>
        <item x="594"/>
        <item x="482"/>
        <item x="654"/>
        <item x="562"/>
        <item x="187"/>
        <item x="163"/>
        <item x="243"/>
        <item x="153"/>
        <item x="135"/>
        <item x="612"/>
        <item x="175"/>
        <item x="221"/>
        <item x="627"/>
        <item x="42"/>
        <item x="564"/>
        <item x="447"/>
        <item x="350"/>
        <item x="75"/>
        <item x="194"/>
        <item x="459"/>
        <item x="207"/>
        <item x="88"/>
        <item x="205"/>
        <item x="591"/>
        <item x="273"/>
        <item x="281"/>
        <item x="674"/>
        <item x="162"/>
        <item x="483"/>
        <item x="669"/>
        <item x="109"/>
        <item x="389"/>
        <item x="374"/>
        <item x="454"/>
        <item x="633"/>
        <item x="511"/>
        <item x="299"/>
        <item x="57"/>
        <item x="657"/>
        <item x="639"/>
        <item x="192"/>
        <item x="224"/>
        <item x="576"/>
        <item x="60"/>
        <item x="36"/>
        <item x="383"/>
        <item x="457"/>
        <item x="309"/>
        <item x="74"/>
        <item x="357"/>
        <item x="609"/>
        <item x="362"/>
        <item x="559"/>
        <item x="166"/>
        <item x="581"/>
        <item x="663"/>
        <item x="369"/>
        <item x="375"/>
        <item x="10"/>
        <item x="62"/>
        <item x="603"/>
        <item x="596"/>
        <item x="377"/>
        <item x="700"/>
        <item x="319"/>
        <item x="615"/>
        <item x="422"/>
        <item x="93"/>
        <item x="370"/>
        <item x="159"/>
        <item x="144"/>
        <item x="265"/>
        <item x="401"/>
        <item x="651"/>
        <item x="61"/>
        <item x="100"/>
        <item x="373"/>
        <item x="450"/>
        <item x="3"/>
        <item x="681"/>
        <item x="303"/>
        <item x="478"/>
        <item x="360"/>
        <item x="391"/>
        <item x="502"/>
        <item x="380"/>
        <item x="33"/>
        <item x="366"/>
        <item x="108"/>
        <item x="179"/>
        <item x="460"/>
        <item x="516"/>
        <item x="263"/>
        <item x="40"/>
        <item x="367"/>
        <item x="361"/>
        <item x="325"/>
        <item x="349"/>
        <item x="59"/>
        <item x="512"/>
        <item x="330"/>
        <item x="302"/>
        <item x="392"/>
        <item x="102"/>
        <item x="434"/>
        <item x="388"/>
        <item x="368"/>
        <item x="351"/>
        <item x="405"/>
        <item x="348"/>
        <item x="503"/>
        <item x="382"/>
        <item x="37"/>
        <item x="393"/>
        <item x="312"/>
        <item x="371"/>
        <item x="425"/>
        <item x="310"/>
        <item x="379"/>
        <item x="2"/>
        <item x="271"/>
        <item x="490"/>
        <item x="317"/>
        <item x="117"/>
        <item x="494"/>
        <item x="278"/>
        <item x="54"/>
        <item x="235"/>
        <item x="298"/>
        <item x="110"/>
        <item x="498"/>
        <item x="689"/>
        <item x="118"/>
        <item x="342"/>
        <item x="467"/>
        <item x="465"/>
        <item x="463"/>
        <item x="295"/>
        <item x="469"/>
        <item x="468"/>
        <item x="496"/>
        <item x="318"/>
        <item x="336"/>
        <item x="464"/>
        <item x="5"/>
        <item x="500"/>
        <item x="692"/>
        <item x="466"/>
        <item x="340"/>
        <item x="264"/>
        <item x="378"/>
        <item x="413"/>
        <item x="381"/>
        <item x="81"/>
        <item x="232"/>
        <item x="386"/>
        <item x="387"/>
        <item x="195"/>
        <item x="304"/>
        <item x="352"/>
        <item x="297"/>
        <item x="694"/>
        <item x="414"/>
        <item x="407"/>
        <item x="236"/>
        <item x="300"/>
        <item x="323"/>
        <item x="462"/>
        <item x="385"/>
        <item x="267"/>
        <item x="305"/>
        <item x="363"/>
        <item x="376"/>
        <item x="390"/>
        <item x="372"/>
        <item x="687"/>
        <item x="313"/>
        <item x="307"/>
        <item x="7"/>
        <item x="514"/>
        <item x="280"/>
        <item x="365"/>
        <item x="455"/>
        <item x="97"/>
        <item x="19"/>
        <item x="266"/>
        <item x="398"/>
        <item x="306"/>
        <item x="6"/>
        <item x="686"/>
        <item x="359"/>
        <item x="440"/>
        <item x="337"/>
        <item x="274"/>
        <item x="411"/>
        <item x="277"/>
        <item x="270"/>
        <item x="4"/>
        <item x="158"/>
        <item x="329"/>
        <item x="688"/>
        <item x="296"/>
        <item x="96"/>
        <item x="1"/>
        <item x="157"/>
        <item x="276"/>
        <item x="399"/>
        <item x="690"/>
        <item x="470"/>
        <item x="515"/>
        <item x="275"/>
        <item x="251"/>
        <item x="338"/>
        <item x="356"/>
        <item x="685"/>
        <item x="395"/>
        <item x="228"/>
        <item x="396"/>
        <item x="397"/>
        <item x="308"/>
        <item x="315"/>
        <item x="316"/>
        <item x="0"/>
        <item t="default"/>
      </items>
    </pivotField>
    <pivotField showAll="0"/>
  </pivotFields>
  <rowFields count="2">
    <field x="0"/>
    <field x="3"/>
  </rowFields>
  <rowItems count="9">
    <i>
      <x v="6"/>
    </i>
    <i>
      <x/>
    </i>
    <i>
      <x v="1"/>
    </i>
    <i>
      <x v="7"/>
    </i>
    <i>
      <x v="5"/>
    </i>
    <i>
      <x v="2"/>
    </i>
    <i>
      <x v="3"/>
    </i>
    <i>
      <x v="4"/>
    </i>
    <i t="grand">
      <x/>
    </i>
  </rowItems>
  <colItems count="1">
    <i/>
  </colItems>
  <dataFields count="1">
    <dataField name="Sum of Amount" fld="8" baseField="0" baseItem="6" numFmtId="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5EE9E4-19FB-4668-A15E-427CD79FB59A}"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fieldListSortAscending="1">
  <location ref="L1:M11" firstHeaderRow="1" firstDataRow="1" firstDataCol="1"/>
  <pivotFields count="10">
    <pivotField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dataField="1" showAll="0"/>
    <pivotField axis="axisRow" showAll="0" sortType="descending">
      <items count="15">
        <item h="1" sd="0" x="0"/>
        <item sd="0" x="1"/>
        <item sd="0" x="2"/>
        <item sd="0" x="3"/>
        <item sd="0" x="4"/>
        <item sd="0" x="5"/>
        <item sd="0" x="6"/>
        <item sd="0" x="7"/>
        <item sd="0" x="8"/>
        <item sd="0" x="9"/>
        <item sd="0" x="10"/>
        <item sd="0" x="11"/>
        <item sd="0" x="12"/>
        <item sd="0" x="13"/>
        <item t="default"/>
      </items>
      <autoSortScope>
        <pivotArea dataOnly="0" outline="0" fieldPosition="0">
          <references count="1">
            <reference field="4294967294" count="1" selected="0">
              <x v="0"/>
            </reference>
          </references>
        </pivotArea>
      </autoSortScope>
    </pivotField>
  </pivotFields>
  <rowFields count="2">
    <field x="9"/>
    <field x="1"/>
  </rowFields>
  <rowItems count="10">
    <i>
      <x v="9"/>
    </i>
    <i>
      <x v="8"/>
    </i>
    <i>
      <x v="7"/>
    </i>
    <i>
      <x v="4"/>
    </i>
    <i>
      <x v="12"/>
    </i>
    <i>
      <x v="10"/>
    </i>
    <i>
      <x v="6"/>
    </i>
    <i>
      <x v="11"/>
    </i>
    <i>
      <x v="5"/>
    </i>
    <i t="grand">
      <x/>
    </i>
  </rowItems>
  <colItems count="1">
    <i/>
  </colItems>
  <dataFields count="1">
    <dataField name="Sum of Amount" fld="8" baseField="9" baseItem="4" numFmtId="166"/>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482F2A-2273-4356-9088-64E53C3FF43F}"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5:J70" firstHeaderRow="1" firstDataRow="3" firstDataCol="1"/>
  <pivotFields count="10">
    <pivotField showAll="0"/>
    <pivotField axis="axisCol"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25">
        <item x="2"/>
        <item x="4"/>
        <item x="20"/>
        <item x="23"/>
        <item x="3"/>
        <item x="16"/>
        <item x="18"/>
        <item x="8"/>
        <item x="12"/>
        <item x="6"/>
        <item x="7"/>
        <item x="21"/>
        <item x="5"/>
        <item h="1" x="17"/>
        <item x="0"/>
        <item x="22"/>
        <item x="9"/>
        <item x="14"/>
        <item x="15"/>
        <item x="1"/>
        <item x="11"/>
        <item x="13"/>
        <item x="19"/>
        <item h="1" x="10"/>
        <item t="default"/>
      </items>
    </pivotField>
    <pivotField showAll="0"/>
    <pivotField showAll="0"/>
    <pivotField showAll="0"/>
    <pivotField showAll="0"/>
    <pivotField dataField="1" showAll="0"/>
    <pivotField axis="axisCol" showAll="0">
      <items count="15">
        <item sd="0" x="0"/>
        <item sd="0" x="1"/>
        <item sd="0" x="2"/>
        <item sd="0" x="3"/>
        <item sd="0" x="4"/>
        <item sd="0" x="5"/>
        <item sd="0" x="6"/>
        <item sd="0" x="7"/>
        <item sd="0" x="8"/>
        <item sd="0" x="9"/>
        <item sd="0" x="10"/>
        <item sd="0" x="11"/>
        <item sd="0" x="12"/>
        <item sd="0" x="13"/>
        <item t="default"/>
      </items>
    </pivotField>
  </pivotFields>
  <rowFields count="1">
    <field x="3"/>
  </rowFields>
  <rowItems count="23">
    <i>
      <x/>
    </i>
    <i>
      <x v="1"/>
    </i>
    <i>
      <x v="2"/>
    </i>
    <i>
      <x v="3"/>
    </i>
    <i>
      <x v="4"/>
    </i>
    <i>
      <x v="5"/>
    </i>
    <i>
      <x v="6"/>
    </i>
    <i>
      <x v="7"/>
    </i>
    <i>
      <x v="8"/>
    </i>
    <i>
      <x v="9"/>
    </i>
    <i>
      <x v="10"/>
    </i>
    <i>
      <x v="11"/>
    </i>
    <i>
      <x v="12"/>
    </i>
    <i>
      <x v="14"/>
    </i>
    <i>
      <x v="15"/>
    </i>
    <i>
      <x v="16"/>
    </i>
    <i>
      <x v="17"/>
    </i>
    <i>
      <x v="18"/>
    </i>
    <i>
      <x v="19"/>
    </i>
    <i>
      <x v="20"/>
    </i>
    <i>
      <x v="21"/>
    </i>
    <i>
      <x v="22"/>
    </i>
    <i t="grand">
      <x/>
    </i>
  </rowItems>
  <colFields count="2">
    <field x="9"/>
    <field x="1"/>
  </colFields>
  <colItems count="9">
    <i>
      <x v="4"/>
    </i>
    <i>
      <x v="5"/>
    </i>
    <i>
      <x v="7"/>
    </i>
    <i>
      <x v="8"/>
    </i>
    <i>
      <x v="9"/>
    </i>
    <i>
      <x v="10"/>
    </i>
    <i>
      <x v="11"/>
    </i>
    <i>
      <x v="12"/>
    </i>
    <i t="grand">
      <x/>
    </i>
  </colItems>
  <dataFields count="1">
    <dataField name="Sum of Amount" fld="8" baseField="3" baseItem="0" numFmtId="166"/>
  </dataFields>
  <formats count="1">
    <format dxfId="0">
      <pivotArea collapsedLevelsAreSubtotals="1" fieldPosition="0">
        <references count="1">
          <reference field="3" count="0"/>
        </references>
      </pivotArea>
    </format>
  </formats>
  <chartFormats count="8">
    <chartFormat chart="0" format="0" series="1">
      <pivotArea type="data" outline="0" fieldPosition="0">
        <references count="2">
          <reference field="4294967294" count="1" selected="0">
            <x v="0"/>
          </reference>
          <reference field="9" count="1" selected="0">
            <x v="4"/>
          </reference>
        </references>
      </pivotArea>
    </chartFormat>
    <chartFormat chart="0" format="1" series="1">
      <pivotArea type="data" outline="0" fieldPosition="0">
        <references count="2">
          <reference field="4294967294" count="1" selected="0">
            <x v="0"/>
          </reference>
          <reference field="9" count="1" selected="0">
            <x v="5"/>
          </reference>
        </references>
      </pivotArea>
    </chartFormat>
    <chartFormat chart="0" format="2" series="1">
      <pivotArea type="data" outline="0" fieldPosition="0">
        <references count="2">
          <reference field="4294967294" count="1" selected="0">
            <x v="0"/>
          </reference>
          <reference field="9" count="1" selected="0">
            <x v="7"/>
          </reference>
        </references>
      </pivotArea>
    </chartFormat>
    <chartFormat chart="0" format="3" series="1">
      <pivotArea type="data" outline="0" fieldPosition="0">
        <references count="2">
          <reference field="4294967294" count="1" selected="0">
            <x v="0"/>
          </reference>
          <reference field="9" count="1" selected="0">
            <x v="8"/>
          </reference>
        </references>
      </pivotArea>
    </chartFormat>
    <chartFormat chart="0" format="4" series="1">
      <pivotArea type="data" outline="0" fieldPosition="0">
        <references count="2">
          <reference field="4294967294" count="1" selected="0">
            <x v="0"/>
          </reference>
          <reference field="9" count="1" selected="0">
            <x v="9"/>
          </reference>
        </references>
      </pivotArea>
    </chartFormat>
    <chartFormat chart="0" format="5" series="1">
      <pivotArea type="data" outline="0" fieldPosition="0">
        <references count="2">
          <reference field="4294967294" count="1" selected="0">
            <x v="0"/>
          </reference>
          <reference field="9" count="1" selected="0">
            <x v="10"/>
          </reference>
        </references>
      </pivotArea>
    </chartFormat>
    <chartFormat chart="0" format="6" series="1">
      <pivotArea type="data" outline="0" fieldPosition="0">
        <references count="2">
          <reference field="4294967294" count="1" selected="0">
            <x v="0"/>
          </reference>
          <reference field="9" count="1" selected="0">
            <x v="11"/>
          </reference>
        </references>
      </pivotArea>
    </chartFormat>
    <chartFormat chart="0" format="7" series="1">
      <pivotArea type="data" outline="0" fieldPosition="0">
        <references count="2">
          <reference field="4294967294" count="1" selected="0">
            <x v="0"/>
          </reference>
          <reference field="9"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86D56C-AA93-43A2-A982-B3E72F87DC7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B38" firstHeaderRow="1" firstDataRow="1" firstDataCol="1"/>
  <pivotFields count="11">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sortType="descending">
      <items count="35">
        <item x="25"/>
        <item x="23"/>
        <item x="4"/>
        <item x="10"/>
        <item x="2"/>
        <item x="16"/>
        <item x="9"/>
        <item x="11"/>
        <item x="6"/>
        <item x="14"/>
        <item x="15"/>
        <item x="26"/>
        <item x="32"/>
        <item x="3"/>
        <item x="28"/>
        <item x="18"/>
        <item x="1"/>
        <item x="27"/>
        <item x="7"/>
        <item x="29"/>
        <item x="19"/>
        <item x="24"/>
        <item x="33"/>
        <item x="8"/>
        <item x="21"/>
        <item x="22"/>
        <item x="20"/>
        <item x="17"/>
        <item x="5"/>
        <item x="12"/>
        <item x="31"/>
        <item x="30"/>
        <item x="13"/>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3">
        <item x="1"/>
        <item x="0"/>
        <item t="default"/>
      </items>
    </pivotField>
    <pivotField dataField="1" showAll="0">
      <items count="309">
        <item x="289"/>
        <item x="282"/>
        <item x="288"/>
        <item x="287"/>
        <item x="286"/>
        <item x="279"/>
        <item x="284"/>
        <item x="283"/>
        <item x="285"/>
        <item x="293"/>
        <item x="290"/>
        <item x="8"/>
        <item x="292"/>
        <item x="291"/>
        <item x="39"/>
        <item x="209"/>
        <item x="140"/>
        <item x="111"/>
        <item x="211"/>
        <item x="38"/>
        <item x="103"/>
        <item x="155"/>
        <item x="113"/>
        <item x="98"/>
        <item x="129"/>
        <item x="76"/>
        <item x="148"/>
        <item x="226"/>
        <item x="178"/>
        <item x="128"/>
        <item x="196"/>
        <item x="167"/>
        <item x="49"/>
        <item x="17"/>
        <item x="32"/>
        <item x="79"/>
        <item x="233"/>
        <item x="206"/>
        <item x="131"/>
        <item x="231"/>
        <item x="269"/>
        <item x="268"/>
        <item x="15"/>
        <item x="259"/>
        <item x="254"/>
        <item x="218"/>
        <item x="234"/>
        <item x="68"/>
        <item x="91"/>
        <item x="86"/>
        <item x="250"/>
        <item x="151"/>
        <item x="66"/>
        <item x="154"/>
        <item x="21"/>
        <item x="30"/>
        <item x="225"/>
        <item x="169"/>
        <item x="216"/>
        <item x="112"/>
        <item x="214"/>
        <item x="84"/>
        <item x="180"/>
        <item x="301"/>
        <item x="134"/>
        <item x="220"/>
        <item x="201"/>
        <item x="125"/>
        <item x="177"/>
        <item x="104"/>
        <item x="261"/>
        <item x="28"/>
        <item x="253"/>
        <item x="114"/>
        <item x="89"/>
        <item x="170"/>
        <item x="156"/>
        <item x="239"/>
        <item x="244"/>
        <item x="197"/>
        <item x="16"/>
        <item x="22"/>
        <item x="94"/>
        <item x="213"/>
        <item x="115"/>
        <item x="208"/>
        <item x="242"/>
        <item x="145"/>
        <item x="46"/>
        <item x="161"/>
        <item x="199"/>
        <item x="55"/>
        <item x="183"/>
        <item x="92"/>
        <item x="48"/>
        <item x="247"/>
        <item x="241"/>
        <item x="191"/>
        <item x="83"/>
        <item x="252"/>
        <item x="80"/>
        <item x="120"/>
        <item x="272"/>
        <item x="67"/>
        <item x="219"/>
        <item x="141"/>
        <item x="222"/>
        <item x="58"/>
        <item x="204"/>
        <item x="70"/>
        <item x="31"/>
        <item x="99"/>
        <item x="257"/>
        <item x="245"/>
        <item x="50"/>
        <item x="53"/>
        <item x="23"/>
        <item x="56"/>
        <item x="185"/>
        <item x="77"/>
        <item x="41"/>
        <item x="65"/>
        <item x="184"/>
        <item x="101"/>
        <item x="133"/>
        <item x="24"/>
        <item x="143"/>
        <item x="238"/>
        <item x="229"/>
        <item x="85"/>
        <item x="146"/>
        <item x="142"/>
        <item x="95"/>
        <item x="174"/>
        <item x="137"/>
        <item x="90"/>
        <item x="212"/>
        <item x="47"/>
        <item x="172"/>
        <item x="13"/>
        <item x="246"/>
        <item x="188"/>
        <item x="12"/>
        <item x="11"/>
        <item x="203"/>
        <item x="29"/>
        <item x="294"/>
        <item x="51"/>
        <item x="181"/>
        <item x="45"/>
        <item x="182"/>
        <item x="217"/>
        <item x="176"/>
        <item x="121"/>
        <item x="240"/>
        <item x="132"/>
        <item x="210"/>
        <item x="215"/>
        <item x="136"/>
        <item x="44"/>
        <item x="14"/>
        <item x="223"/>
        <item x="27"/>
        <item x="149"/>
        <item x="106"/>
        <item x="189"/>
        <item x="34"/>
        <item x="150"/>
        <item x="258"/>
        <item x="105"/>
        <item x="168"/>
        <item x="72"/>
        <item x="255"/>
        <item x="52"/>
        <item x="63"/>
        <item x="190"/>
        <item x="20"/>
        <item x="256"/>
        <item x="139"/>
        <item x="82"/>
        <item x="227"/>
        <item x="200"/>
        <item x="26"/>
        <item x="130"/>
        <item x="43"/>
        <item x="126"/>
        <item x="71"/>
        <item x="193"/>
        <item x="69"/>
        <item x="73"/>
        <item x="78"/>
        <item x="198"/>
        <item x="124"/>
        <item x="230"/>
        <item x="35"/>
        <item x="119"/>
        <item x="248"/>
        <item x="173"/>
        <item x="18"/>
        <item x="87"/>
        <item x="171"/>
        <item x="186"/>
        <item x="116"/>
        <item x="123"/>
        <item x="260"/>
        <item x="202"/>
        <item x="160"/>
        <item x="64"/>
        <item x="107"/>
        <item x="138"/>
        <item x="164"/>
        <item x="237"/>
        <item x="127"/>
        <item x="152"/>
        <item x="165"/>
        <item x="249"/>
        <item x="147"/>
        <item x="122"/>
        <item x="262"/>
        <item x="9"/>
        <item x="25"/>
        <item x="187"/>
        <item x="163"/>
        <item x="243"/>
        <item x="153"/>
        <item x="135"/>
        <item x="175"/>
        <item x="221"/>
        <item x="42"/>
        <item x="75"/>
        <item x="194"/>
        <item x="207"/>
        <item x="88"/>
        <item x="205"/>
        <item x="273"/>
        <item x="281"/>
        <item x="162"/>
        <item x="109"/>
        <item x="299"/>
        <item x="57"/>
        <item x="192"/>
        <item x="224"/>
        <item x="60"/>
        <item x="36"/>
        <item x="74"/>
        <item x="166"/>
        <item x="10"/>
        <item x="62"/>
        <item x="93"/>
        <item x="159"/>
        <item x="144"/>
        <item x="265"/>
        <item x="61"/>
        <item x="100"/>
        <item x="3"/>
        <item x="303"/>
        <item x="33"/>
        <item x="108"/>
        <item x="179"/>
        <item x="263"/>
        <item x="40"/>
        <item x="59"/>
        <item x="302"/>
        <item x="102"/>
        <item x="37"/>
        <item x="2"/>
        <item x="271"/>
        <item x="117"/>
        <item x="278"/>
        <item x="54"/>
        <item x="235"/>
        <item x="298"/>
        <item x="110"/>
        <item x="118"/>
        <item x="295"/>
        <item x="5"/>
        <item x="264"/>
        <item x="81"/>
        <item x="232"/>
        <item x="195"/>
        <item x="304"/>
        <item x="297"/>
        <item x="236"/>
        <item x="300"/>
        <item x="267"/>
        <item x="305"/>
        <item x="307"/>
        <item x="7"/>
        <item x="280"/>
        <item x="97"/>
        <item x="19"/>
        <item x="266"/>
        <item x="306"/>
        <item x="6"/>
        <item x="274"/>
        <item x="277"/>
        <item x="270"/>
        <item x="4"/>
        <item x="158"/>
        <item x="296"/>
        <item x="96"/>
        <item x="1"/>
        <item x="157"/>
        <item x="276"/>
        <item x="275"/>
        <item x="251"/>
        <item x="228"/>
        <item x="0"/>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3"/>
  </rowFields>
  <rowItems count="34">
    <i>
      <x v="20"/>
    </i>
    <i>
      <x v="6"/>
    </i>
    <i>
      <x v="23"/>
    </i>
    <i>
      <x v="15"/>
    </i>
    <i>
      <x v="16"/>
    </i>
    <i>
      <x v="31"/>
    </i>
    <i>
      <x v="2"/>
    </i>
    <i>
      <x v="9"/>
    </i>
    <i>
      <x v="8"/>
    </i>
    <i>
      <x v="1"/>
    </i>
    <i>
      <x v="28"/>
    </i>
    <i>
      <x v="25"/>
    </i>
    <i>
      <x v="3"/>
    </i>
    <i>
      <x v="24"/>
    </i>
    <i>
      <x v="14"/>
    </i>
    <i>
      <x v="26"/>
    </i>
    <i>
      <x v="17"/>
    </i>
    <i>
      <x v="5"/>
    </i>
    <i>
      <x v="18"/>
    </i>
    <i>
      <x v="4"/>
    </i>
    <i>
      <x v="7"/>
    </i>
    <i>
      <x v="12"/>
    </i>
    <i>
      <x v="29"/>
    </i>
    <i>
      <x v="10"/>
    </i>
    <i>
      <x v="22"/>
    </i>
    <i>
      <x v="13"/>
    </i>
    <i>
      <x v="27"/>
    </i>
    <i>
      <x v="19"/>
    </i>
    <i>
      <x v="30"/>
    </i>
    <i>
      <x v="21"/>
    </i>
    <i>
      <x v="32"/>
    </i>
    <i>
      <x v="11"/>
    </i>
    <i>
      <x/>
    </i>
    <i t="grand">
      <x/>
    </i>
  </rowItems>
  <colItems count="1">
    <i/>
  </colItems>
  <dataFields count="1">
    <dataField name="Sum of Amount" fld="8" baseField="3" baseItem="0" numFmtId="166"/>
  </dataFields>
  <formats count="1">
    <format dxfId="1">
      <pivotArea collapsedLevelsAreSubtotals="1" fieldPosition="0">
        <references count="1">
          <reference field="3" count="0"/>
        </references>
      </pivotArea>
    </format>
  </formats>
  <chartFormats count="35">
    <chartFormat chart="0" format="106"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3" count="1" selected="0">
            <x v="20"/>
          </reference>
        </references>
      </pivotArea>
    </chartFormat>
    <chartFormat chart="2" format="2">
      <pivotArea type="data" outline="0" fieldPosition="0">
        <references count="2">
          <reference field="4294967294" count="1" selected="0">
            <x v="0"/>
          </reference>
          <reference field="3" count="1" selected="0">
            <x v="6"/>
          </reference>
        </references>
      </pivotArea>
    </chartFormat>
    <chartFormat chart="2" format="3">
      <pivotArea type="data" outline="0" fieldPosition="0">
        <references count="2">
          <reference field="4294967294" count="1" selected="0">
            <x v="0"/>
          </reference>
          <reference field="3" count="1" selected="0">
            <x v="23"/>
          </reference>
        </references>
      </pivotArea>
    </chartFormat>
    <chartFormat chart="2" format="4">
      <pivotArea type="data" outline="0" fieldPosition="0">
        <references count="2">
          <reference field="4294967294" count="1" selected="0">
            <x v="0"/>
          </reference>
          <reference field="3" count="1" selected="0">
            <x v="15"/>
          </reference>
        </references>
      </pivotArea>
    </chartFormat>
    <chartFormat chart="2" format="5">
      <pivotArea type="data" outline="0" fieldPosition="0">
        <references count="2">
          <reference field="4294967294" count="1" selected="0">
            <x v="0"/>
          </reference>
          <reference field="3" count="1" selected="0">
            <x v="16"/>
          </reference>
        </references>
      </pivotArea>
    </chartFormat>
    <chartFormat chart="2" format="6">
      <pivotArea type="data" outline="0" fieldPosition="0">
        <references count="2">
          <reference field="4294967294" count="1" selected="0">
            <x v="0"/>
          </reference>
          <reference field="3" count="1" selected="0">
            <x v="31"/>
          </reference>
        </references>
      </pivotArea>
    </chartFormat>
    <chartFormat chart="2" format="7">
      <pivotArea type="data" outline="0" fieldPosition="0">
        <references count="2">
          <reference field="4294967294" count="1" selected="0">
            <x v="0"/>
          </reference>
          <reference field="3" count="1" selected="0">
            <x v="2"/>
          </reference>
        </references>
      </pivotArea>
    </chartFormat>
    <chartFormat chart="2" format="8">
      <pivotArea type="data" outline="0" fieldPosition="0">
        <references count="2">
          <reference field="4294967294" count="1" selected="0">
            <x v="0"/>
          </reference>
          <reference field="3" count="1" selected="0">
            <x v="9"/>
          </reference>
        </references>
      </pivotArea>
    </chartFormat>
    <chartFormat chart="2" format="9">
      <pivotArea type="data" outline="0" fieldPosition="0">
        <references count="2">
          <reference field="4294967294" count="1" selected="0">
            <x v="0"/>
          </reference>
          <reference field="3" count="1" selected="0">
            <x v="8"/>
          </reference>
        </references>
      </pivotArea>
    </chartFormat>
    <chartFormat chart="2" format="10">
      <pivotArea type="data" outline="0" fieldPosition="0">
        <references count="2">
          <reference field="4294967294" count="1" selected="0">
            <x v="0"/>
          </reference>
          <reference field="3" count="1" selected="0">
            <x v="1"/>
          </reference>
        </references>
      </pivotArea>
    </chartFormat>
    <chartFormat chart="2" format="11">
      <pivotArea type="data" outline="0" fieldPosition="0">
        <references count="2">
          <reference field="4294967294" count="1" selected="0">
            <x v="0"/>
          </reference>
          <reference field="3" count="1" selected="0">
            <x v="28"/>
          </reference>
        </references>
      </pivotArea>
    </chartFormat>
    <chartFormat chart="2" format="12">
      <pivotArea type="data" outline="0" fieldPosition="0">
        <references count="2">
          <reference field="4294967294" count="1" selected="0">
            <x v="0"/>
          </reference>
          <reference field="3" count="1" selected="0">
            <x v="25"/>
          </reference>
        </references>
      </pivotArea>
    </chartFormat>
    <chartFormat chart="2" format="13">
      <pivotArea type="data" outline="0" fieldPosition="0">
        <references count="2">
          <reference field="4294967294" count="1" selected="0">
            <x v="0"/>
          </reference>
          <reference field="3" count="1" selected="0">
            <x v="3"/>
          </reference>
        </references>
      </pivotArea>
    </chartFormat>
    <chartFormat chart="2" format="14">
      <pivotArea type="data" outline="0" fieldPosition="0">
        <references count="2">
          <reference field="4294967294" count="1" selected="0">
            <x v="0"/>
          </reference>
          <reference field="3" count="1" selected="0">
            <x v="24"/>
          </reference>
        </references>
      </pivotArea>
    </chartFormat>
    <chartFormat chart="2" format="15">
      <pivotArea type="data" outline="0" fieldPosition="0">
        <references count="2">
          <reference field="4294967294" count="1" selected="0">
            <x v="0"/>
          </reference>
          <reference field="3" count="1" selected="0">
            <x v="14"/>
          </reference>
        </references>
      </pivotArea>
    </chartFormat>
    <chartFormat chart="2" format="16">
      <pivotArea type="data" outline="0" fieldPosition="0">
        <references count="2">
          <reference field="4294967294" count="1" selected="0">
            <x v="0"/>
          </reference>
          <reference field="3" count="1" selected="0">
            <x v="26"/>
          </reference>
        </references>
      </pivotArea>
    </chartFormat>
    <chartFormat chart="2" format="17">
      <pivotArea type="data" outline="0" fieldPosition="0">
        <references count="2">
          <reference field="4294967294" count="1" selected="0">
            <x v="0"/>
          </reference>
          <reference field="3" count="1" selected="0">
            <x v="17"/>
          </reference>
        </references>
      </pivotArea>
    </chartFormat>
    <chartFormat chart="2" format="18">
      <pivotArea type="data" outline="0" fieldPosition="0">
        <references count="2">
          <reference field="4294967294" count="1" selected="0">
            <x v="0"/>
          </reference>
          <reference field="3" count="1" selected="0">
            <x v="5"/>
          </reference>
        </references>
      </pivotArea>
    </chartFormat>
    <chartFormat chart="2" format="19">
      <pivotArea type="data" outline="0" fieldPosition="0">
        <references count="2">
          <reference field="4294967294" count="1" selected="0">
            <x v="0"/>
          </reference>
          <reference field="3" count="1" selected="0">
            <x v="18"/>
          </reference>
        </references>
      </pivotArea>
    </chartFormat>
    <chartFormat chart="2" format="20">
      <pivotArea type="data" outline="0" fieldPosition="0">
        <references count="2">
          <reference field="4294967294" count="1" selected="0">
            <x v="0"/>
          </reference>
          <reference field="3" count="1" selected="0">
            <x v="4"/>
          </reference>
        </references>
      </pivotArea>
    </chartFormat>
    <chartFormat chart="2" format="21">
      <pivotArea type="data" outline="0" fieldPosition="0">
        <references count="2">
          <reference field="4294967294" count="1" selected="0">
            <x v="0"/>
          </reference>
          <reference field="3" count="1" selected="0">
            <x v="7"/>
          </reference>
        </references>
      </pivotArea>
    </chartFormat>
    <chartFormat chart="2" format="22">
      <pivotArea type="data" outline="0" fieldPosition="0">
        <references count="2">
          <reference field="4294967294" count="1" selected="0">
            <x v="0"/>
          </reference>
          <reference field="3" count="1" selected="0">
            <x v="12"/>
          </reference>
        </references>
      </pivotArea>
    </chartFormat>
    <chartFormat chart="2" format="23">
      <pivotArea type="data" outline="0" fieldPosition="0">
        <references count="2">
          <reference field="4294967294" count="1" selected="0">
            <x v="0"/>
          </reference>
          <reference field="3" count="1" selected="0">
            <x v="29"/>
          </reference>
        </references>
      </pivotArea>
    </chartFormat>
    <chartFormat chart="2" format="24">
      <pivotArea type="data" outline="0" fieldPosition="0">
        <references count="2">
          <reference field="4294967294" count="1" selected="0">
            <x v="0"/>
          </reference>
          <reference field="3" count="1" selected="0">
            <x v="10"/>
          </reference>
        </references>
      </pivotArea>
    </chartFormat>
    <chartFormat chart="2" format="25">
      <pivotArea type="data" outline="0" fieldPosition="0">
        <references count="2">
          <reference field="4294967294" count="1" selected="0">
            <x v="0"/>
          </reference>
          <reference field="3" count="1" selected="0">
            <x v="22"/>
          </reference>
        </references>
      </pivotArea>
    </chartFormat>
    <chartFormat chart="2" format="26">
      <pivotArea type="data" outline="0" fieldPosition="0">
        <references count="2">
          <reference field="4294967294" count="1" selected="0">
            <x v="0"/>
          </reference>
          <reference field="3" count="1" selected="0">
            <x v="13"/>
          </reference>
        </references>
      </pivotArea>
    </chartFormat>
    <chartFormat chart="2" format="27">
      <pivotArea type="data" outline="0" fieldPosition="0">
        <references count="2">
          <reference field="4294967294" count="1" selected="0">
            <x v="0"/>
          </reference>
          <reference field="3" count="1" selected="0">
            <x v="27"/>
          </reference>
        </references>
      </pivotArea>
    </chartFormat>
    <chartFormat chart="2" format="28">
      <pivotArea type="data" outline="0" fieldPosition="0">
        <references count="2">
          <reference field="4294967294" count="1" selected="0">
            <x v="0"/>
          </reference>
          <reference field="3" count="1" selected="0">
            <x v="19"/>
          </reference>
        </references>
      </pivotArea>
    </chartFormat>
    <chartFormat chart="2" format="29">
      <pivotArea type="data" outline="0" fieldPosition="0">
        <references count="2">
          <reference field="4294967294" count="1" selected="0">
            <x v="0"/>
          </reference>
          <reference field="3" count="1" selected="0">
            <x v="30"/>
          </reference>
        </references>
      </pivotArea>
    </chartFormat>
    <chartFormat chart="2" format="30">
      <pivotArea type="data" outline="0" fieldPosition="0">
        <references count="2">
          <reference field="4294967294" count="1" selected="0">
            <x v="0"/>
          </reference>
          <reference field="3" count="1" selected="0">
            <x v="21"/>
          </reference>
        </references>
      </pivotArea>
    </chartFormat>
    <chartFormat chart="2" format="31">
      <pivotArea type="data" outline="0" fieldPosition="0">
        <references count="2">
          <reference field="4294967294" count="1" selected="0">
            <x v="0"/>
          </reference>
          <reference field="3" count="1" selected="0">
            <x v="32"/>
          </reference>
        </references>
      </pivotArea>
    </chartFormat>
    <chartFormat chart="2" format="32">
      <pivotArea type="data" outline="0" fieldPosition="0">
        <references count="2">
          <reference field="4294967294" count="1" selected="0">
            <x v="0"/>
          </reference>
          <reference field="3" count="1" selected="0">
            <x v="11"/>
          </reference>
        </references>
      </pivotArea>
    </chartFormat>
    <chartFormat chart="2" format="33">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B36E929-6327-4582-A801-BEE6F2E45AA9}"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34" firstHeaderRow="1" firstDataRow="1" firstDataCol="1"/>
  <pivotFields count="9">
    <pivotField axis="axisRow" showAll="0" sortType="descending">
      <items count="33">
        <item x="11"/>
        <item x="10"/>
        <item x="21"/>
        <item x="9"/>
        <item x="13"/>
        <item x="14"/>
        <item x="3"/>
        <item x="2"/>
        <item x="28"/>
        <item x="12"/>
        <item x="18"/>
        <item x="8"/>
        <item x="7"/>
        <item x="19"/>
        <item x="17"/>
        <item x="30"/>
        <item h="1" x="1"/>
        <item x="22"/>
        <item x="5"/>
        <item x="26"/>
        <item x="25"/>
        <item x="20"/>
        <item x="23"/>
        <item x="24"/>
        <item x="16"/>
        <item x="27"/>
        <item x="6"/>
        <item x="29"/>
        <item x="4"/>
        <item x="31"/>
        <item x="15"/>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s>
  <rowFields count="1">
    <field x="0"/>
  </rowFields>
  <rowItems count="31">
    <i>
      <x v="26"/>
    </i>
    <i>
      <x v="23"/>
    </i>
    <i>
      <x v="7"/>
    </i>
    <i>
      <x v="18"/>
    </i>
    <i>
      <x v="22"/>
    </i>
    <i>
      <x v="14"/>
    </i>
    <i>
      <x v="25"/>
    </i>
    <i>
      <x v="19"/>
    </i>
    <i>
      <x v="20"/>
    </i>
    <i>
      <x v="12"/>
    </i>
    <i>
      <x v="3"/>
    </i>
    <i>
      <x v="9"/>
    </i>
    <i>
      <x v="11"/>
    </i>
    <i>
      <x v="4"/>
    </i>
    <i>
      <x v="8"/>
    </i>
    <i>
      <x/>
    </i>
    <i>
      <x v="29"/>
    </i>
    <i>
      <x v="17"/>
    </i>
    <i>
      <x v="30"/>
    </i>
    <i>
      <x v="10"/>
    </i>
    <i>
      <x v="27"/>
    </i>
    <i>
      <x v="5"/>
    </i>
    <i>
      <x v="21"/>
    </i>
    <i>
      <x v="13"/>
    </i>
    <i>
      <x v="1"/>
    </i>
    <i>
      <x v="15"/>
    </i>
    <i>
      <x v="24"/>
    </i>
    <i>
      <x v="2"/>
    </i>
    <i>
      <x v="28"/>
    </i>
    <i>
      <x v="6"/>
    </i>
    <i t="grand">
      <x/>
    </i>
  </rowItems>
  <colItems count="1">
    <i/>
  </colItems>
  <dataFields count="1">
    <dataField name="Sum of Amount" fld="8" baseField="0" baseItem="6"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66604346-70C1-45DD-A3EF-80736919D7E8}" sourceName="Months">
  <pivotTables>
    <pivotTable tabId="4" name="PivotTable1"/>
  </pivotTables>
  <data>
    <tabular pivotCacheId="989779805" sortOrder="descending">
      <items count="14">
        <i x="12" s="1"/>
        <i x="11" s="1"/>
        <i x="10" s="1"/>
        <i x="9" s="1"/>
        <i x="8" s="1"/>
        <i x="7" s="1"/>
        <i x="6" s="1"/>
        <i x="5" s="1"/>
        <i x="4" s="1"/>
        <i x="13" s="1" nd="1"/>
        <i x="0" s="1" nd="1"/>
        <i x="3" s="1" nd="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4A030A59-C7A8-4CFB-A45E-010B6F28FC94}" cache="Slicer_Months" caption="Month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1.x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89847-7B82-48A6-A60A-DFD8F1536ADC}">
  <dimension ref="A1:Q1200"/>
  <sheetViews>
    <sheetView tabSelected="1" workbookViewId="0">
      <selection activeCell="L11" sqref="L11"/>
    </sheetView>
  </sheetViews>
  <sheetFormatPr defaultRowHeight="15" x14ac:dyDescent="0.25"/>
  <cols>
    <col min="1" max="4" width="3" customWidth="1"/>
    <col min="5" max="5" width="33.5703125" customWidth="1"/>
    <col min="6" max="7" width="2.28515625" customWidth="1"/>
    <col min="8" max="8" width="14.28515625" bestFit="1" customWidth="1"/>
    <col min="9" max="9" width="8.7109375" bestFit="1" customWidth="1"/>
    <col min="10" max="10" width="17.85546875" bestFit="1" customWidth="1"/>
    <col min="11" max="11" width="29.42578125" bestFit="1" customWidth="1"/>
    <col min="12" max="12" width="30.7109375" customWidth="1"/>
    <col min="13" max="13" width="5.42578125" bestFit="1" customWidth="1"/>
    <col min="14" max="14" width="3.28515625" bestFit="1" customWidth="1"/>
    <col min="15" max="15" width="28.85546875" bestFit="1" customWidth="1"/>
    <col min="16" max="17" width="8.7109375" bestFit="1" customWidth="1"/>
  </cols>
  <sheetData>
    <row r="1" spans="1:17" s="16" customFormat="1" ht="15.75" thickBot="1" x14ac:dyDescent="0.3">
      <c r="A1" s="14"/>
      <c r="B1" s="14"/>
      <c r="C1" s="14"/>
      <c r="D1" s="14"/>
      <c r="E1" s="14"/>
      <c r="F1" s="14"/>
      <c r="G1" s="14"/>
      <c r="H1" s="15" t="s">
        <v>0</v>
      </c>
      <c r="I1" s="15" t="s">
        <v>1</v>
      </c>
      <c r="J1" s="15" t="s">
        <v>2</v>
      </c>
      <c r="K1" s="15" t="s">
        <v>3</v>
      </c>
      <c r="L1" s="15" t="s">
        <v>4</v>
      </c>
      <c r="M1" s="15" t="s">
        <v>5</v>
      </c>
      <c r="N1" s="15" t="s">
        <v>6</v>
      </c>
      <c r="O1" s="15" t="s">
        <v>7</v>
      </c>
      <c r="P1" s="15" t="s">
        <v>8</v>
      </c>
      <c r="Q1" s="15" t="s">
        <v>9</v>
      </c>
    </row>
    <row r="2" spans="1:17" ht="15.75" thickTop="1" x14ac:dyDescent="0.25">
      <c r="A2" s="2"/>
      <c r="B2" s="2" t="s">
        <v>10</v>
      </c>
      <c r="C2" s="2"/>
      <c r="D2" s="2"/>
      <c r="E2" s="2"/>
      <c r="F2" s="2"/>
      <c r="G2" s="2"/>
      <c r="H2" s="2"/>
      <c r="I2" s="3"/>
      <c r="J2" s="2"/>
      <c r="K2" s="2"/>
      <c r="L2" s="2"/>
      <c r="M2" s="2"/>
      <c r="N2" s="2"/>
      <c r="O2" s="2"/>
      <c r="P2" s="4"/>
      <c r="Q2" s="4"/>
    </row>
    <row r="3" spans="1:17" x14ac:dyDescent="0.25">
      <c r="A3" s="2"/>
      <c r="B3" s="2"/>
      <c r="C3" s="2"/>
      <c r="D3" s="2" t="s">
        <v>11</v>
      </c>
      <c r="E3" s="2"/>
      <c r="F3" s="2"/>
      <c r="G3" s="2"/>
      <c r="H3" s="2"/>
      <c r="I3" s="3"/>
      <c r="J3" s="2"/>
      <c r="K3" s="2"/>
      <c r="L3" s="2"/>
      <c r="M3" s="2"/>
      <c r="N3" s="2"/>
      <c r="O3" s="2"/>
      <c r="P3" s="4"/>
      <c r="Q3" s="4"/>
    </row>
    <row r="4" spans="1:17" x14ac:dyDescent="0.25">
      <c r="A4" s="2"/>
      <c r="B4" s="2"/>
      <c r="C4" s="2"/>
      <c r="D4" s="2"/>
      <c r="E4" s="2" t="s">
        <v>12</v>
      </c>
      <c r="F4" s="2"/>
      <c r="G4" s="2"/>
      <c r="H4" s="2"/>
      <c r="I4" s="3"/>
      <c r="J4" s="2"/>
      <c r="K4" s="2"/>
      <c r="L4" s="2"/>
      <c r="M4" s="2"/>
      <c r="N4" s="2"/>
      <c r="O4" s="2"/>
      <c r="P4" s="4"/>
      <c r="Q4" s="4"/>
    </row>
    <row r="5" spans="1:17" x14ac:dyDescent="0.25">
      <c r="A5" s="5"/>
      <c r="B5" s="5"/>
      <c r="C5" s="5"/>
      <c r="D5" s="5"/>
      <c r="E5" s="5"/>
      <c r="F5" s="5"/>
      <c r="G5" s="5"/>
      <c r="H5" s="5" t="s">
        <v>23</v>
      </c>
      <c r="I5" s="6">
        <v>44656</v>
      </c>
      <c r="J5" s="5" t="s">
        <v>29</v>
      </c>
      <c r="K5" s="5" t="s">
        <v>405</v>
      </c>
      <c r="L5" s="5"/>
      <c r="M5" s="5"/>
      <c r="N5" s="7"/>
      <c r="O5" s="5" t="s">
        <v>553</v>
      </c>
      <c r="P5" s="8">
        <v>21750</v>
      </c>
      <c r="Q5" s="8">
        <f t="shared" ref="Q5:Q68" si="0">ROUND(Q4+P5,5)</f>
        <v>21750</v>
      </c>
    </row>
    <row r="6" spans="1:17" x14ac:dyDescent="0.25">
      <c r="A6" s="5"/>
      <c r="B6" s="5"/>
      <c r="C6" s="5"/>
      <c r="D6" s="5"/>
      <c r="E6" s="5"/>
      <c r="F6" s="5"/>
      <c r="G6" s="5"/>
      <c r="H6" s="5" t="s">
        <v>23</v>
      </c>
      <c r="I6" s="6">
        <v>44662</v>
      </c>
      <c r="J6" s="5" t="s">
        <v>30</v>
      </c>
      <c r="K6" s="5" t="s">
        <v>406</v>
      </c>
      <c r="L6" s="5"/>
      <c r="M6" s="5"/>
      <c r="N6" s="7"/>
      <c r="O6" s="5" t="s">
        <v>553</v>
      </c>
      <c r="P6" s="8">
        <v>2700</v>
      </c>
      <c r="Q6" s="8">
        <f t="shared" si="0"/>
        <v>24450</v>
      </c>
    </row>
    <row r="7" spans="1:17" x14ac:dyDescent="0.25">
      <c r="A7" s="5"/>
      <c r="B7" s="5"/>
      <c r="C7" s="5"/>
      <c r="D7" s="5"/>
      <c r="E7" s="5"/>
      <c r="F7" s="5"/>
      <c r="G7" s="5"/>
      <c r="H7" s="5" t="s">
        <v>23</v>
      </c>
      <c r="I7" s="6">
        <v>44662</v>
      </c>
      <c r="J7" s="5" t="s">
        <v>31</v>
      </c>
      <c r="K7" s="5" t="s">
        <v>407</v>
      </c>
      <c r="L7" s="5"/>
      <c r="M7" s="5"/>
      <c r="N7" s="7"/>
      <c r="O7" s="5" t="s">
        <v>553</v>
      </c>
      <c r="P7" s="8">
        <v>1750</v>
      </c>
      <c r="Q7" s="8">
        <f t="shared" si="0"/>
        <v>26200</v>
      </c>
    </row>
    <row r="8" spans="1:17" x14ac:dyDescent="0.25">
      <c r="A8" s="5"/>
      <c r="B8" s="5"/>
      <c r="C8" s="5"/>
      <c r="D8" s="5"/>
      <c r="E8" s="5"/>
      <c r="F8" s="5"/>
      <c r="G8" s="5"/>
      <c r="H8" s="5" t="s">
        <v>23</v>
      </c>
      <c r="I8" s="6">
        <v>44678</v>
      </c>
      <c r="J8" s="5" t="s">
        <v>32</v>
      </c>
      <c r="K8" s="5" t="s">
        <v>408</v>
      </c>
      <c r="L8" s="5"/>
      <c r="M8" s="5"/>
      <c r="N8" s="7"/>
      <c r="O8" s="5" t="s">
        <v>553</v>
      </c>
      <c r="P8" s="8">
        <v>17000</v>
      </c>
      <c r="Q8" s="8">
        <f t="shared" si="0"/>
        <v>43200</v>
      </c>
    </row>
    <row r="9" spans="1:17" x14ac:dyDescent="0.25">
      <c r="A9" s="5"/>
      <c r="B9" s="5"/>
      <c r="C9" s="5"/>
      <c r="D9" s="5"/>
      <c r="E9" s="5"/>
      <c r="F9" s="5"/>
      <c r="G9" s="5"/>
      <c r="H9" s="5" t="s">
        <v>23</v>
      </c>
      <c r="I9" s="6">
        <v>44678</v>
      </c>
      <c r="J9" s="5" t="s">
        <v>32</v>
      </c>
      <c r="K9" s="5" t="s">
        <v>408</v>
      </c>
      <c r="L9" s="5"/>
      <c r="M9" s="5"/>
      <c r="N9" s="7"/>
      <c r="O9" s="5" t="s">
        <v>553</v>
      </c>
      <c r="P9" s="8">
        <v>4000</v>
      </c>
      <c r="Q9" s="8">
        <f t="shared" si="0"/>
        <v>47200</v>
      </c>
    </row>
    <row r="10" spans="1:17" x14ac:dyDescent="0.25">
      <c r="A10" s="5"/>
      <c r="B10" s="5"/>
      <c r="C10" s="5"/>
      <c r="D10" s="5"/>
      <c r="E10" s="5"/>
      <c r="F10" s="5"/>
      <c r="G10" s="5"/>
      <c r="H10" s="5" t="s">
        <v>23</v>
      </c>
      <c r="I10" s="6">
        <v>44680</v>
      </c>
      <c r="J10" s="5" t="s">
        <v>33</v>
      </c>
      <c r="K10" s="5" t="s">
        <v>888</v>
      </c>
      <c r="L10" s="5" t="s">
        <v>464</v>
      </c>
      <c r="M10" s="5"/>
      <c r="N10" s="7"/>
      <c r="O10" s="5" t="s">
        <v>553</v>
      </c>
      <c r="P10" s="8">
        <v>9500</v>
      </c>
      <c r="Q10" s="8">
        <f t="shared" si="0"/>
        <v>56700</v>
      </c>
    </row>
    <row r="11" spans="1:17" x14ac:dyDescent="0.25">
      <c r="A11" s="5"/>
      <c r="B11" s="5"/>
      <c r="C11" s="5"/>
      <c r="D11" s="5"/>
      <c r="E11" s="5"/>
      <c r="F11" s="5"/>
      <c r="G11" s="5"/>
      <c r="H11" s="5" t="s">
        <v>23</v>
      </c>
      <c r="I11" s="6">
        <v>44680</v>
      </c>
      <c r="J11" s="5" t="s">
        <v>34</v>
      </c>
      <c r="K11" s="5" t="s">
        <v>410</v>
      </c>
      <c r="L11" s="5" t="s">
        <v>465</v>
      </c>
      <c r="M11" s="5"/>
      <c r="N11" s="7"/>
      <c r="O11" s="5" t="s">
        <v>553</v>
      </c>
      <c r="P11" s="8">
        <v>7286.18</v>
      </c>
      <c r="Q11" s="8">
        <f t="shared" si="0"/>
        <v>63986.18</v>
      </c>
    </row>
    <row r="12" spans="1:17" x14ac:dyDescent="0.25">
      <c r="A12" s="5"/>
      <c r="B12" s="5"/>
      <c r="C12" s="5"/>
      <c r="D12" s="5"/>
      <c r="E12" s="5"/>
      <c r="F12" s="5"/>
      <c r="G12" s="5"/>
      <c r="H12" s="5" t="s">
        <v>23</v>
      </c>
      <c r="I12" s="6">
        <v>44680</v>
      </c>
      <c r="J12" s="5" t="s">
        <v>34</v>
      </c>
      <c r="K12" s="5" t="s">
        <v>410</v>
      </c>
      <c r="L12" s="5" t="s">
        <v>466</v>
      </c>
      <c r="M12" s="5"/>
      <c r="N12" s="7"/>
      <c r="O12" s="5" t="s">
        <v>553</v>
      </c>
      <c r="P12" s="8">
        <v>-728.62</v>
      </c>
      <c r="Q12" s="8">
        <f t="shared" si="0"/>
        <v>63257.56</v>
      </c>
    </row>
    <row r="13" spans="1:17" x14ac:dyDescent="0.25">
      <c r="A13" s="5"/>
      <c r="B13" s="5"/>
      <c r="C13" s="5"/>
      <c r="D13" s="5"/>
      <c r="E13" s="5"/>
      <c r="F13" s="5"/>
      <c r="G13" s="5"/>
      <c r="H13" s="5" t="s">
        <v>23</v>
      </c>
      <c r="I13" s="6">
        <v>44712</v>
      </c>
      <c r="J13" s="5" t="s">
        <v>35</v>
      </c>
      <c r="K13" s="5" t="s">
        <v>411</v>
      </c>
      <c r="L13" s="5" t="s">
        <v>467</v>
      </c>
      <c r="M13" s="5"/>
      <c r="N13" s="7"/>
      <c r="O13" s="5" t="s">
        <v>553</v>
      </c>
      <c r="P13" s="8">
        <v>975</v>
      </c>
      <c r="Q13" s="8">
        <f t="shared" si="0"/>
        <v>64232.56</v>
      </c>
    </row>
    <row r="14" spans="1:17" x14ac:dyDescent="0.25">
      <c r="A14" s="5"/>
      <c r="B14" s="5"/>
      <c r="C14" s="5"/>
      <c r="D14" s="5"/>
      <c r="E14" s="5"/>
      <c r="F14" s="5"/>
      <c r="G14" s="5"/>
      <c r="H14" s="5" t="s">
        <v>23</v>
      </c>
      <c r="I14" s="6">
        <v>44715</v>
      </c>
      <c r="J14" s="5" t="s">
        <v>36</v>
      </c>
      <c r="K14" s="5" t="s">
        <v>412</v>
      </c>
      <c r="L14" s="5"/>
      <c r="M14" s="5"/>
      <c r="N14" s="7"/>
      <c r="O14" s="5" t="s">
        <v>553</v>
      </c>
      <c r="P14" s="8">
        <v>1495.7</v>
      </c>
      <c r="Q14" s="8">
        <f t="shared" si="0"/>
        <v>65728.259999999995</v>
      </c>
    </row>
    <row r="15" spans="1:17" x14ac:dyDescent="0.25">
      <c r="A15" s="5"/>
      <c r="B15" s="5"/>
      <c r="C15" s="5"/>
      <c r="D15" s="5"/>
      <c r="E15" s="5"/>
      <c r="F15" s="5"/>
      <c r="G15" s="5"/>
      <c r="H15" s="5" t="s">
        <v>23</v>
      </c>
      <c r="I15" s="6">
        <v>44718</v>
      </c>
      <c r="J15" s="5" t="s">
        <v>37</v>
      </c>
      <c r="K15" s="5" t="s">
        <v>413</v>
      </c>
      <c r="L15" s="5"/>
      <c r="M15" s="5"/>
      <c r="N15" s="7"/>
      <c r="O15" s="5" t="s">
        <v>553</v>
      </c>
      <c r="P15" s="8">
        <v>636</v>
      </c>
      <c r="Q15" s="8">
        <f t="shared" si="0"/>
        <v>66364.259999999995</v>
      </c>
    </row>
    <row r="16" spans="1:17" x14ac:dyDescent="0.25">
      <c r="A16" s="5"/>
      <c r="B16" s="5"/>
      <c r="C16" s="5"/>
      <c r="D16" s="5"/>
      <c r="E16" s="5"/>
      <c r="F16" s="5"/>
      <c r="G16" s="5"/>
      <c r="H16" s="5" t="s">
        <v>23</v>
      </c>
      <c r="I16" s="6">
        <v>44718</v>
      </c>
      <c r="J16" s="5" t="s">
        <v>38</v>
      </c>
      <c r="K16" s="5" t="s">
        <v>413</v>
      </c>
      <c r="L16" s="5"/>
      <c r="M16" s="5"/>
      <c r="N16" s="7"/>
      <c r="O16" s="5" t="s">
        <v>553</v>
      </c>
      <c r="P16" s="8">
        <v>632.54999999999995</v>
      </c>
      <c r="Q16" s="8">
        <f t="shared" si="0"/>
        <v>66996.81</v>
      </c>
    </row>
    <row r="17" spans="1:17" x14ac:dyDescent="0.25">
      <c r="A17" s="5"/>
      <c r="B17" s="5"/>
      <c r="C17" s="5"/>
      <c r="D17" s="5"/>
      <c r="E17" s="5"/>
      <c r="F17" s="5"/>
      <c r="G17" s="5"/>
      <c r="H17" s="5" t="s">
        <v>23</v>
      </c>
      <c r="I17" s="6">
        <v>44718</v>
      </c>
      <c r="J17" s="5" t="s">
        <v>39</v>
      </c>
      <c r="K17" s="5" t="s">
        <v>413</v>
      </c>
      <c r="L17" s="5"/>
      <c r="M17" s="5"/>
      <c r="N17" s="7"/>
      <c r="O17" s="5" t="s">
        <v>553</v>
      </c>
      <c r="P17" s="8">
        <v>619.6</v>
      </c>
      <c r="Q17" s="8">
        <f t="shared" si="0"/>
        <v>67616.41</v>
      </c>
    </row>
    <row r="18" spans="1:17" x14ac:dyDescent="0.25">
      <c r="A18" s="5"/>
      <c r="B18" s="5"/>
      <c r="C18" s="5"/>
      <c r="D18" s="5"/>
      <c r="E18" s="5"/>
      <c r="F18" s="5"/>
      <c r="G18" s="5"/>
      <c r="H18" s="5" t="s">
        <v>23</v>
      </c>
      <c r="I18" s="6">
        <v>44718</v>
      </c>
      <c r="J18" s="5" t="s">
        <v>40</v>
      </c>
      <c r="K18" s="5" t="s">
        <v>413</v>
      </c>
      <c r="L18" s="5"/>
      <c r="M18" s="5"/>
      <c r="N18" s="7"/>
      <c r="O18" s="5" t="s">
        <v>553</v>
      </c>
      <c r="P18" s="8">
        <v>732.23</v>
      </c>
      <c r="Q18" s="8">
        <f t="shared" si="0"/>
        <v>68348.639999999999</v>
      </c>
    </row>
    <row r="19" spans="1:17" x14ac:dyDescent="0.25">
      <c r="A19" s="5"/>
      <c r="B19" s="5"/>
      <c r="C19" s="5"/>
      <c r="D19" s="5"/>
      <c r="E19" s="5"/>
      <c r="F19" s="5"/>
      <c r="G19" s="5"/>
      <c r="H19" s="5" t="s">
        <v>23</v>
      </c>
      <c r="I19" s="6">
        <v>44719</v>
      </c>
      <c r="J19" s="5" t="s">
        <v>41</v>
      </c>
      <c r="K19" s="5" t="s">
        <v>412</v>
      </c>
      <c r="L19" s="5"/>
      <c r="M19" s="5"/>
      <c r="N19" s="7"/>
      <c r="O19" s="5" t="s">
        <v>553</v>
      </c>
      <c r="P19" s="8">
        <v>200</v>
      </c>
      <c r="Q19" s="8">
        <f t="shared" si="0"/>
        <v>68548.639999999999</v>
      </c>
    </row>
    <row r="20" spans="1:17" x14ac:dyDescent="0.25">
      <c r="A20" s="5"/>
      <c r="B20" s="5"/>
      <c r="C20" s="5"/>
      <c r="D20" s="5"/>
      <c r="E20" s="5"/>
      <c r="F20" s="5"/>
      <c r="G20" s="5"/>
      <c r="H20" s="5" t="s">
        <v>23</v>
      </c>
      <c r="I20" s="6">
        <v>44719</v>
      </c>
      <c r="J20" s="5" t="s">
        <v>42</v>
      </c>
      <c r="K20" s="5" t="s">
        <v>413</v>
      </c>
      <c r="L20" s="5"/>
      <c r="M20" s="5"/>
      <c r="N20" s="7"/>
      <c r="O20" s="5" t="s">
        <v>553</v>
      </c>
      <c r="P20" s="8">
        <v>390.96</v>
      </c>
      <c r="Q20" s="8">
        <f t="shared" si="0"/>
        <v>68939.600000000006</v>
      </c>
    </row>
    <row r="21" spans="1:17" x14ac:dyDescent="0.25">
      <c r="A21" s="5"/>
      <c r="B21" s="5"/>
      <c r="C21" s="5"/>
      <c r="D21" s="5"/>
      <c r="E21" s="5"/>
      <c r="F21" s="5"/>
      <c r="G21" s="5"/>
      <c r="H21" s="5" t="s">
        <v>23</v>
      </c>
      <c r="I21" s="6">
        <v>44719</v>
      </c>
      <c r="J21" s="5" t="s">
        <v>43</v>
      </c>
      <c r="K21" s="5" t="s">
        <v>413</v>
      </c>
      <c r="L21" s="5"/>
      <c r="M21" s="5"/>
      <c r="N21" s="7"/>
      <c r="O21" s="5" t="s">
        <v>553</v>
      </c>
      <c r="P21" s="8">
        <v>128.25</v>
      </c>
      <c r="Q21" s="8">
        <f t="shared" si="0"/>
        <v>69067.850000000006</v>
      </c>
    </row>
    <row r="22" spans="1:17" x14ac:dyDescent="0.25">
      <c r="A22" s="5"/>
      <c r="B22" s="5"/>
      <c r="C22" s="5"/>
      <c r="D22" s="5"/>
      <c r="E22" s="5"/>
      <c r="F22" s="5"/>
      <c r="G22" s="5"/>
      <c r="H22" s="5" t="s">
        <v>23</v>
      </c>
      <c r="I22" s="6">
        <v>44719</v>
      </c>
      <c r="J22" s="5" t="s">
        <v>44</v>
      </c>
      <c r="K22" s="5" t="s">
        <v>412</v>
      </c>
      <c r="L22" s="5"/>
      <c r="M22" s="5"/>
      <c r="N22" s="7"/>
      <c r="O22" s="5" t="s">
        <v>553</v>
      </c>
      <c r="P22" s="8">
        <v>200</v>
      </c>
      <c r="Q22" s="8">
        <f t="shared" si="0"/>
        <v>69267.850000000006</v>
      </c>
    </row>
    <row r="23" spans="1:17" x14ac:dyDescent="0.25">
      <c r="A23" s="5"/>
      <c r="B23" s="5"/>
      <c r="C23" s="5"/>
      <c r="D23" s="5"/>
      <c r="E23" s="5"/>
      <c r="F23" s="5"/>
      <c r="G23" s="5"/>
      <c r="H23" s="5" t="s">
        <v>23</v>
      </c>
      <c r="I23" s="6">
        <v>44720</v>
      </c>
      <c r="J23" s="5" t="s">
        <v>45</v>
      </c>
      <c r="K23" s="5" t="s">
        <v>413</v>
      </c>
      <c r="L23" s="5"/>
      <c r="M23" s="5"/>
      <c r="N23" s="7"/>
      <c r="O23" s="5" t="s">
        <v>553</v>
      </c>
      <c r="P23" s="8">
        <v>128.25</v>
      </c>
      <c r="Q23" s="8">
        <f t="shared" si="0"/>
        <v>69396.100000000006</v>
      </c>
    </row>
    <row r="24" spans="1:17" x14ac:dyDescent="0.25">
      <c r="A24" s="5"/>
      <c r="B24" s="5"/>
      <c r="C24" s="5"/>
      <c r="D24" s="5"/>
      <c r="E24" s="5"/>
      <c r="F24" s="5"/>
      <c r="G24" s="5"/>
      <c r="H24" s="5" t="s">
        <v>23</v>
      </c>
      <c r="I24" s="6">
        <v>44722</v>
      </c>
      <c r="J24" s="5" t="s">
        <v>46</v>
      </c>
      <c r="K24" s="5" t="s">
        <v>413</v>
      </c>
      <c r="L24" s="5"/>
      <c r="M24" s="5"/>
      <c r="N24" s="7"/>
      <c r="O24" s="5" t="s">
        <v>553</v>
      </c>
      <c r="P24" s="8">
        <v>897.75</v>
      </c>
      <c r="Q24" s="8">
        <f t="shared" si="0"/>
        <v>70293.850000000006</v>
      </c>
    </row>
    <row r="25" spans="1:17" x14ac:dyDescent="0.25">
      <c r="A25" s="5"/>
      <c r="B25" s="5"/>
      <c r="C25" s="5"/>
      <c r="D25" s="5"/>
      <c r="E25" s="5"/>
      <c r="F25" s="5"/>
      <c r="G25" s="5"/>
      <c r="H25" s="5" t="s">
        <v>23</v>
      </c>
      <c r="I25" s="6">
        <v>44725</v>
      </c>
      <c r="J25" s="5" t="s">
        <v>47</v>
      </c>
      <c r="K25" s="5" t="s">
        <v>414</v>
      </c>
      <c r="L25" s="5" t="s">
        <v>468</v>
      </c>
      <c r="M25" s="5"/>
      <c r="N25" s="7"/>
      <c r="O25" s="5" t="s">
        <v>553</v>
      </c>
      <c r="P25" s="8">
        <v>8200</v>
      </c>
      <c r="Q25" s="8">
        <f t="shared" si="0"/>
        <v>78493.850000000006</v>
      </c>
    </row>
    <row r="26" spans="1:17" x14ac:dyDescent="0.25">
      <c r="A26" s="5"/>
      <c r="B26" s="5"/>
      <c r="C26" s="5"/>
      <c r="D26" s="5"/>
      <c r="E26" s="5"/>
      <c r="F26" s="5"/>
      <c r="G26" s="5"/>
      <c r="H26" s="5" t="s">
        <v>23</v>
      </c>
      <c r="I26" s="6">
        <v>44725</v>
      </c>
      <c r="J26" s="5" t="s">
        <v>48</v>
      </c>
      <c r="K26" s="5" t="s">
        <v>413</v>
      </c>
      <c r="L26" s="5"/>
      <c r="M26" s="5"/>
      <c r="N26" s="7"/>
      <c r="O26" s="5" t="s">
        <v>553</v>
      </c>
      <c r="P26" s="8">
        <v>813.02</v>
      </c>
      <c r="Q26" s="8">
        <f t="shared" si="0"/>
        <v>79306.87</v>
      </c>
    </row>
    <row r="27" spans="1:17" x14ac:dyDescent="0.25">
      <c r="A27" s="5"/>
      <c r="B27" s="5"/>
      <c r="C27" s="5"/>
      <c r="D27" s="5"/>
      <c r="E27" s="5"/>
      <c r="F27" s="5"/>
      <c r="G27" s="5"/>
      <c r="H27" s="5" t="s">
        <v>23</v>
      </c>
      <c r="I27" s="6">
        <v>44725</v>
      </c>
      <c r="J27" s="5" t="s">
        <v>49</v>
      </c>
      <c r="K27" s="5" t="s">
        <v>412</v>
      </c>
      <c r="L27" s="5"/>
      <c r="M27" s="5"/>
      <c r="N27" s="7"/>
      <c r="O27" s="5" t="s">
        <v>553</v>
      </c>
      <c r="P27" s="8">
        <v>240</v>
      </c>
      <c r="Q27" s="8">
        <f t="shared" si="0"/>
        <v>79546.87</v>
      </c>
    </row>
    <row r="28" spans="1:17" x14ac:dyDescent="0.25">
      <c r="A28" s="5"/>
      <c r="B28" s="5"/>
      <c r="C28" s="5"/>
      <c r="D28" s="5"/>
      <c r="E28" s="5"/>
      <c r="F28" s="5"/>
      <c r="G28" s="5"/>
      <c r="H28" s="5" t="s">
        <v>23</v>
      </c>
      <c r="I28" s="6">
        <v>44726</v>
      </c>
      <c r="J28" s="5" t="s">
        <v>50</v>
      </c>
      <c r="K28" s="5" t="s">
        <v>413</v>
      </c>
      <c r="L28" s="5"/>
      <c r="M28" s="5"/>
      <c r="N28" s="7"/>
      <c r="O28" s="5" t="s">
        <v>553</v>
      </c>
      <c r="P28" s="8">
        <v>395.41</v>
      </c>
      <c r="Q28" s="8">
        <f t="shared" si="0"/>
        <v>79942.28</v>
      </c>
    </row>
    <row r="29" spans="1:17" x14ac:dyDescent="0.25">
      <c r="A29" s="5"/>
      <c r="B29" s="5"/>
      <c r="C29" s="5"/>
      <c r="D29" s="5"/>
      <c r="E29" s="5"/>
      <c r="F29" s="5"/>
      <c r="G29" s="5"/>
      <c r="H29" s="5" t="s">
        <v>23</v>
      </c>
      <c r="I29" s="6">
        <v>44726</v>
      </c>
      <c r="J29" s="5" t="s">
        <v>51</v>
      </c>
      <c r="K29" s="5" t="s">
        <v>413</v>
      </c>
      <c r="L29" s="5"/>
      <c r="M29" s="5"/>
      <c r="N29" s="7"/>
      <c r="O29" s="5" t="s">
        <v>553</v>
      </c>
      <c r="P29" s="8">
        <v>547.55999999999995</v>
      </c>
      <c r="Q29" s="8">
        <f t="shared" si="0"/>
        <v>80489.84</v>
      </c>
    </row>
    <row r="30" spans="1:17" x14ac:dyDescent="0.25">
      <c r="A30" s="5"/>
      <c r="B30" s="5"/>
      <c r="C30" s="5"/>
      <c r="D30" s="5"/>
      <c r="E30" s="5"/>
      <c r="F30" s="5"/>
      <c r="G30" s="5"/>
      <c r="H30" s="5" t="s">
        <v>23</v>
      </c>
      <c r="I30" s="6">
        <v>44727</v>
      </c>
      <c r="J30" s="5" t="s">
        <v>52</v>
      </c>
      <c r="K30" s="5" t="s">
        <v>413</v>
      </c>
      <c r="L30" s="5"/>
      <c r="M30" s="5"/>
      <c r="N30" s="7"/>
      <c r="O30" s="5" t="s">
        <v>553</v>
      </c>
      <c r="P30" s="8">
        <v>576.84</v>
      </c>
      <c r="Q30" s="8">
        <f t="shared" si="0"/>
        <v>81066.679999999993</v>
      </c>
    </row>
    <row r="31" spans="1:17" x14ac:dyDescent="0.25">
      <c r="A31" s="5"/>
      <c r="B31" s="5"/>
      <c r="C31" s="5"/>
      <c r="D31" s="5"/>
      <c r="E31" s="5"/>
      <c r="F31" s="5"/>
      <c r="G31" s="5"/>
      <c r="H31" s="5" t="s">
        <v>23</v>
      </c>
      <c r="I31" s="6">
        <v>44727</v>
      </c>
      <c r="J31" s="5" t="s">
        <v>53</v>
      </c>
      <c r="K31" s="5" t="s">
        <v>413</v>
      </c>
      <c r="L31" s="5"/>
      <c r="M31" s="5"/>
      <c r="N31" s="7"/>
      <c r="O31" s="5" t="s">
        <v>553</v>
      </c>
      <c r="P31" s="8">
        <v>979.75</v>
      </c>
      <c r="Q31" s="8">
        <f t="shared" si="0"/>
        <v>82046.429999999993</v>
      </c>
    </row>
    <row r="32" spans="1:17" x14ac:dyDescent="0.25">
      <c r="A32" s="5"/>
      <c r="B32" s="5"/>
      <c r="C32" s="5"/>
      <c r="D32" s="5"/>
      <c r="E32" s="5"/>
      <c r="F32" s="5"/>
      <c r="G32" s="5"/>
      <c r="H32" s="5" t="s">
        <v>23</v>
      </c>
      <c r="I32" s="6">
        <v>44727</v>
      </c>
      <c r="J32" s="5" t="s">
        <v>54</v>
      </c>
      <c r="K32" s="5" t="s">
        <v>413</v>
      </c>
      <c r="L32" s="5"/>
      <c r="M32" s="5"/>
      <c r="N32" s="7"/>
      <c r="O32" s="5" t="s">
        <v>553</v>
      </c>
      <c r="P32" s="8">
        <v>844.12</v>
      </c>
      <c r="Q32" s="8">
        <f t="shared" si="0"/>
        <v>82890.55</v>
      </c>
    </row>
    <row r="33" spans="1:17" x14ac:dyDescent="0.25">
      <c r="A33" s="5"/>
      <c r="B33" s="5"/>
      <c r="C33" s="5"/>
      <c r="D33" s="5"/>
      <c r="E33" s="5"/>
      <c r="F33" s="5"/>
      <c r="G33" s="5"/>
      <c r="H33" s="5" t="s">
        <v>23</v>
      </c>
      <c r="I33" s="6">
        <v>44728</v>
      </c>
      <c r="J33" s="5" t="s">
        <v>55</v>
      </c>
      <c r="K33" s="5" t="s">
        <v>413</v>
      </c>
      <c r="L33" s="5"/>
      <c r="M33" s="5"/>
      <c r="N33" s="7"/>
      <c r="O33" s="5" t="s">
        <v>553</v>
      </c>
      <c r="P33" s="8">
        <v>743.52</v>
      </c>
      <c r="Q33" s="8">
        <f t="shared" si="0"/>
        <v>83634.070000000007</v>
      </c>
    </row>
    <row r="34" spans="1:17" x14ac:dyDescent="0.25">
      <c r="A34" s="5"/>
      <c r="B34" s="5"/>
      <c r="C34" s="5"/>
      <c r="D34" s="5"/>
      <c r="E34" s="5"/>
      <c r="F34" s="5"/>
      <c r="G34" s="5"/>
      <c r="H34" s="5" t="s">
        <v>23</v>
      </c>
      <c r="I34" s="6">
        <v>44728</v>
      </c>
      <c r="J34" s="5" t="s">
        <v>56</v>
      </c>
      <c r="K34" s="5" t="s">
        <v>413</v>
      </c>
      <c r="L34" s="5"/>
      <c r="M34" s="5"/>
      <c r="N34" s="7"/>
      <c r="O34" s="5" t="s">
        <v>553</v>
      </c>
      <c r="P34" s="8">
        <v>352.75</v>
      </c>
      <c r="Q34" s="8">
        <f t="shared" si="0"/>
        <v>83986.82</v>
      </c>
    </row>
    <row r="35" spans="1:17" x14ac:dyDescent="0.25">
      <c r="A35" s="5"/>
      <c r="B35" s="5"/>
      <c r="C35" s="5"/>
      <c r="D35" s="5"/>
      <c r="E35" s="5"/>
      <c r="F35" s="5"/>
      <c r="G35" s="5"/>
      <c r="H35" s="5" t="s">
        <v>23</v>
      </c>
      <c r="I35" s="6">
        <v>44732</v>
      </c>
      <c r="J35" s="5" t="s">
        <v>57</v>
      </c>
      <c r="K35" s="5" t="s">
        <v>413</v>
      </c>
      <c r="L35" s="5"/>
      <c r="M35" s="5"/>
      <c r="N35" s="7"/>
      <c r="O35" s="5" t="s">
        <v>553</v>
      </c>
      <c r="P35" s="8">
        <v>645.54</v>
      </c>
      <c r="Q35" s="8">
        <f t="shared" si="0"/>
        <v>84632.36</v>
      </c>
    </row>
    <row r="36" spans="1:17" x14ac:dyDescent="0.25">
      <c r="A36" s="5"/>
      <c r="B36" s="5"/>
      <c r="C36" s="5"/>
      <c r="D36" s="5"/>
      <c r="E36" s="5"/>
      <c r="F36" s="5"/>
      <c r="G36" s="5"/>
      <c r="H36" s="5" t="s">
        <v>23</v>
      </c>
      <c r="I36" s="6">
        <v>44733</v>
      </c>
      <c r="J36" s="5" t="s">
        <v>58</v>
      </c>
      <c r="K36" s="5" t="s">
        <v>412</v>
      </c>
      <c r="L36" s="5"/>
      <c r="M36" s="5"/>
      <c r="N36" s="7"/>
      <c r="O36" s="5" t="s">
        <v>553</v>
      </c>
      <c r="P36" s="8">
        <v>250</v>
      </c>
      <c r="Q36" s="8">
        <f t="shared" si="0"/>
        <v>84882.36</v>
      </c>
    </row>
    <row r="37" spans="1:17" x14ac:dyDescent="0.25">
      <c r="A37" s="5"/>
      <c r="B37" s="5"/>
      <c r="C37" s="5"/>
      <c r="D37" s="5"/>
      <c r="E37" s="5"/>
      <c r="F37" s="5"/>
      <c r="G37" s="5"/>
      <c r="H37" s="5" t="s">
        <v>23</v>
      </c>
      <c r="I37" s="6">
        <v>44733</v>
      </c>
      <c r="J37" s="5" t="s">
        <v>59</v>
      </c>
      <c r="K37" s="5" t="s">
        <v>412</v>
      </c>
      <c r="L37" s="5"/>
      <c r="M37" s="5"/>
      <c r="N37" s="7"/>
      <c r="O37" s="5" t="s">
        <v>553</v>
      </c>
      <c r="P37" s="8">
        <v>250</v>
      </c>
      <c r="Q37" s="8">
        <f t="shared" si="0"/>
        <v>85132.36</v>
      </c>
    </row>
    <row r="38" spans="1:17" x14ac:dyDescent="0.25">
      <c r="A38" s="5"/>
      <c r="B38" s="5"/>
      <c r="C38" s="5"/>
      <c r="D38" s="5"/>
      <c r="E38" s="5"/>
      <c r="F38" s="5"/>
      <c r="G38" s="5"/>
      <c r="H38" s="5" t="s">
        <v>23</v>
      </c>
      <c r="I38" s="6">
        <v>44733</v>
      </c>
      <c r="J38" s="5" t="s">
        <v>60</v>
      </c>
      <c r="K38" s="5" t="s">
        <v>413</v>
      </c>
      <c r="L38" s="5"/>
      <c r="M38" s="5"/>
      <c r="N38" s="7"/>
      <c r="O38" s="5" t="s">
        <v>553</v>
      </c>
      <c r="P38" s="8">
        <v>526.66</v>
      </c>
      <c r="Q38" s="8">
        <f t="shared" si="0"/>
        <v>85659.02</v>
      </c>
    </row>
    <row r="39" spans="1:17" x14ac:dyDescent="0.25">
      <c r="A39" s="5"/>
      <c r="B39" s="5"/>
      <c r="C39" s="5"/>
      <c r="D39" s="5"/>
      <c r="E39" s="5"/>
      <c r="F39" s="5"/>
      <c r="G39" s="5"/>
      <c r="H39" s="5" t="s">
        <v>23</v>
      </c>
      <c r="I39" s="6">
        <v>44733</v>
      </c>
      <c r="J39" s="5" t="s">
        <v>61</v>
      </c>
      <c r="K39" s="5" t="s">
        <v>412</v>
      </c>
      <c r="L39" s="5"/>
      <c r="M39" s="5"/>
      <c r="N39" s="7"/>
      <c r="O39" s="5" t="s">
        <v>553</v>
      </c>
      <c r="P39" s="8">
        <v>250</v>
      </c>
      <c r="Q39" s="8">
        <f t="shared" si="0"/>
        <v>85909.02</v>
      </c>
    </row>
    <row r="40" spans="1:17" x14ac:dyDescent="0.25">
      <c r="A40" s="5"/>
      <c r="B40" s="5"/>
      <c r="C40" s="5"/>
      <c r="D40" s="5"/>
      <c r="E40" s="5"/>
      <c r="F40" s="5"/>
      <c r="G40" s="5"/>
      <c r="H40" s="5" t="s">
        <v>23</v>
      </c>
      <c r="I40" s="6">
        <v>44733</v>
      </c>
      <c r="J40" s="5" t="s">
        <v>62</v>
      </c>
      <c r="K40" s="5" t="s">
        <v>412</v>
      </c>
      <c r="L40" s="5"/>
      <c r="M40" s="5"/>
      <c r="N40" s="7"/>
      <c r="O40" s="5" t="s">
        <v>553</v>
      </c>
      <c r="P40" s="8">
        <v>250</v>
      </c>
      <c r="Q40" s="8">
        <f t="shared" si="0"/>
        <v>86159.02</v>
      </c>
    </row>
    <row r="41" spans="1:17" x14ac:dyDescent="0.25">
      <c r="A41" s="5"/>
      <c r="B41" s="5"/>
      <c r="C41" s="5"/>
      <c r="D41" s="5"/>
      <c r="E41" s="5"/>
      <c r="F41" s="5"/>
      <c r="G41" s="5"/>
      <c r="H41" s="5" t="s">
        <v>23</v>
      </c>
      <c r="I41" s="6">
        <v>44736</v>
      </c>
      <c r="J41" s="5" t="s">
        <v>63</v>
      </c>
      <c r="K41" s="5" t="s">
        <v>412</v>
      </c>
      <c r="L41" s="5"/>
      <c r="M41" s="5"/>
      <c r="N41" s="7"/>
      <c r="O41" s="5" t="s">
        <v>553</v>
      </c>
      <c r="P41" s="8">
        <v>140</v>
      </c>
      <c r="Q41" s="8">
        <f t="shared" si="0"/>
        <v>86299.02</v>
      </c>
    </row>
    <row r="42" spans="1:17" x14ac:dyDescent="0.25">
      <c r="A42" s="5"/>
      <c r="B42" s="5"/>
      <c r="C42" s="5"/>
      <c r="D42" s="5"/>
      <c r="E42" s="5"/>
      <c r="F42" s="5"/>
      <c r="G42" s="5"/>
      <c r="H42" s="5" t="s">
        <v>23</v>
      </c>
      <c r="I42" s="6">
        <v>44736</v>
      </c>
      <c r="J42" s="5" t="s">
        <v>64</v>
      </c>
      <c r="K42" s="5" t="s">
        <v>412</v>
      </c>
      <c r="L42" s="5"/>
      <c r="M42" s="5"/>
      <c r="N42" s="7"/>
      <c r="O42" s="5" t="s">
        <v>553</v>
      </c>
      <c r="P42" s="8">
        <v>1839.95</v>
      </c>
      <c r="Q42" s="8">
        <f t="shared" si="0"/>
        <v>88138.97</v>
      </c>
    </row>
    <row r="43" spans="1:17" x14ac:dyDescent="0.25">
      <c r="A43" s="5"/>
      <c r="B43" s="5"/>
      <c r="C43" s="5"/>
      <c r="D43" s="5"/>
      <c r="E43" s="5"/>
      <c r="F43" s="5"/>
      <c r="G43" s="5"/>
      <c r="H43" s="5" t="s">
        <v>23</v>
      </c>
      <c r="I43" s="6">
        <v>44736</v>
      </c>
      <c r="J43" s="5" t="s">
        <v>65</v>
      </c>
      <c r="K43" s="5" t="s">
        <v>413</v>
      </c>
      <c r="L43" s="5"/>
      <c r="M43" s="5"/>
      <c r="N43" s="7"/>
      <c r="O43" s="5" t="s">
        <v>553</v>
      </c>
      <c r="P43" s="8">
        <v>765.56</v>
      </c>
      <c r="Q43" s="8">
        <f t="shared" si="0"/>
        <v>88904.53</v>
      </c>
    </row>
    <row r="44" spans="1:17" x14ac:dyDescent="0.25">
      <c r="A44" s="5"/>
      <c r="B44" s="5"/>
      <c r="C44" s="5"/>
      <c r="D44" s="5"/>
      <c r="E44" s="5"/>
      <c r="F44" s="5"/>
      <c r="G44" s="5"/>
      <c r="H44" s="5" t="s">
        <v>23</v>
      </c>
      <c r="I44" s="6">
        <v>44736</v>
      </c>
      <c r="J44" s="5" t="s">
        <v>66</v>
      </c>
      <c r="K44" s="5" t="s">
        <v>413</v>
      </c>
      <c r="L44" s="5"/>
      <c r="M44" s="5"/>
      <c r="N44" s="7"/>
      <c r="O44" s="5" t="s">
        <v>553</v>
      </c>
      <c r="P44" s="8">
        <v>632.54999999999995</v>
      </c>
      <c r="Q44" s="8">
        <f t="shared" si="0"/>
        <v>89537.08</v>
      </c>
    </row>
    <row r="45" spans="1:17" x14ac:dyDescent="0.25">
      <c r="A45" s="5"/>
      <c r="B45" s="5"/>
      <c r="C45" s="5"/>
      <c r="D45" s="5"/>
      <c r="E45" s="5"/>
      <c r="F45" s="5"/>
      <c r="G45" s="5"/>
      <c r="H45" s="5" t="s">
        <v>23</v>
      </c>
      <c r="I45" s="6">
        <v>44736</v>
      </c>
      <c r="J45" s="5" t="s">
        <v>67</v>
      </c>
      <c r="K45" s="5" t="s">
        <v>412</v>
      </c>
      <c r="L45" s="5"/>
      <c r="M45" s="5"/>
      <c r="N45" s="7"/>
      <c r="O45" s="5" t="s">
        <v>553</v>
      </c>
      <c r="P45" s="8">
        <v>140</v>
      </c>
      <c r="Q45" s="8">
        <f t="shared" si="0"/>
        <v>89677.08</v>
      </c>
    </row>
    <row r="46" spans="1:17" x14ac:dyDescent="0.25">
      <c r="A46" s="5"/>
      <c r="B46" s="5"/>
      <c r="C46" s="5"/>
      <c r="D46" s="5"/>
      <c r="E46" s="5"/>
      <c r="F46" s="5"/>
      <c r="G46" s="5"/>
      <c r="H46" s="5" t="s">
        <v>23</v>
      </c>
      <c r="I46" s="6">
        <v>44736</v>
      </c>
      <c r="J46" s="5" t="s">
        <v>68</v>
      </c>
      <c r="K46" s="5" t="s">
        <v>412</v>
      </c>
      <c r="L46" s="5"/>
      <c r="M46" s="5"/>
      <c r="N46" s="7"/>
      <c r="O46" s="5" t="s">
        <v>553</v>
      </c>
      <c r="P46" s="8">
        <v>1839.95</v>
      </c>
      <c r="Q46" s="8">
        <f t="shared" si="0"/>
        <v>91517.03</v>
      </c>
    </row>
    <row r="47" spans="1:17" x14ac:dyDescent="0.25">
      <c r="A47" s="5"/>
      <c r="B47" s="5"/>
      <c r="C47" s="5"/>
      <c r="D47" s="5"/>
      <c r="E47" s="5"/>
      <c r="F47" s="5"/>
      <c r="G47" s="5"/>
      <c r="H47" s="5" t="s">
        <v>23</v>
      </c>
      <c r="I47" s="6">
        <v>44739</v>
      </c>
      <c r="J47" s="5" t="s">
        <v>69</v>
      </c>
      <c r="K47" s="5" t="s">
        <v>412</v>
      </c>
      <c r="L47" s="5"/>
      <c r="M47" s="5"/>
      <c r="N47" s="7"/>
      <c r="O47" s="5" t="s">
        <v>553</v>
      </c>
      <c r="P47" s="8">
        <v>889.84</v>
      </c>
      <c r="Q47" s="8">
        <f t="shared" si="0"/>
        <v>92406.87</v>
      </c>
    </row>
    <row r="48" spans="1:17" x14ac:dyDescent="0.25">
      <c r="A48" s="5"/>
      <c r="B48" s="5"/>
      <c r="C48" s="5"/>
      <c r="D48" s="5"/>
      <c r="E48" s="5"/>
      <c r="F48" s="5"/>
      <c r="G48" s="5"/>
      <c r="H48" s="5" t="s">
        <v>23</v>
      </c>
      <c r="I48" s="6">
        <v>44739</v>
      </c>
      <c r="J48" s="5" t="s">
        <v>70</v>
      </c>
      <c r="K48" s="5" t="s">
        <v>412</v>
      </c>
      <c r="L48" s="5"/>
      <c r="M48" s="5"/>
      <c r="N48" s="7"/>
      <c r="O48" s="5" t="s">
        <v>553</v>
      </c>
      <c r="P48" s="8">
        <v>889.84</v>
      </c>
      <c r="Q48" s="8">
        <f t="shared" si="0"/>
        <v>93296.71</v>
      </c>
    </row>
    <row r="49" spans="1:17" x14ac:dyDescent="0.25">
      <c r="A49" s="5"/>
      <c r="B49" s="5"/>
      <c r="C49" s="5"/>
      <c r="D49" s="5"/>
      <c r="E49" s="5"/>
      <c r="F49" s="5"/>
      <c r="G49" s="5"/>
      <c r="H49" s="5" t="s">
        <v>23</v>
      </c>
      <c r="I49" s="6">
        <v>44741</v>
      </c>
      <c r="J49" s="5" t="s">
        <v>71</v>
      </c>
      <c r="K49" s="5" t="s">
        <v>412</v>
      </c>
      <c r="L49" s="5"/>
      <c r="M49" s="5"/>
      <c r="N49" s="7"/>
      <c r="O49" s="5" t="s">
        <v>553</v>
      </c>
      <c r="P49" s="8">
        <v>1300</v>
      </c>
      <c r="Q49" s="8">
        <f t="shared" si="0"/>
        <v>94596.71</v>
      </c>
    </row>
    <row r="50" spans="1:17" x14ac:dyDescent="0.25">
      <c r="A50" s="5"/>
      <c r="B50" s="5"/>
      <c r="C50" s="5"/>
      <c r="D50" s="5"/>
      <c r="E50" s="5"/>
      <c r="F50" s="5"/>
      <c r="G50" s="5"/>
      <c r="H50" s="5" t="s">
        <v>23</v>
      </c>
      <c r="I50" s="6">
        <v>44741</v>
      </c>
      <c r="J50" s="5" t="s">
        <v>72</v>
      </c>
      <c r="K50" s="5" t="s">
        <v>412</v>
      </c>
      <c r="L50" s="5"/>
      <c r="M50" s="5"/>
      <c r="N50" s="7"/>
      <c r="O50" s="5" t="s">
        <v>553</v>
      </c>
      <c r="P50" s="8">
        <v>1300</v>
      </c>
      <c r="Q50" s="8">
        <f t="shared" si="0"/>
        <v>95896.71</v>
      </c>
    </row>
    <row r="51" spans="1:17" x14ac:dyDescent="0.25">
      <c r="A51" s="5"/>
      <c r="B51" s="5"/>
      <c r="C51" s="5"/>
      <c r="D51" s="5"/>
      <c r="E51" s="5"/>
      <c r="F51" s="5"/>
      <c r="G51" s="5"/>
      <c r="H51" s="5" t="s">
        <v>23</v>
      </c>
      <c r="I51" s="6">
        <v>44743</v>
      </c>
      <c r="J51" s="5" t="s">
        <v>73</v>
      </c>
      <c r="K51" s="5" t="s">
        <v>415</v>
      </c>
      <c r="L51" s="5" t="s">
        <v>469</v>
      </c>
      <c r="M51" s="5"/>
      <c r="N51" s="7"/>
      <c r="O51" s="5" t="s">
        <v>553</v>
      </c>
      <c r="P51" s="8">
        <v>2500</v>
      </c>
      <c r="Q51" s="8">
        <f t="shared" si="0"/>
        <v>98396.71</v>
      </c>
    </row>
    <row r="52" spans="1:17" x14ac:dyDescent="0.25">
      <c r="A52" s="5"/>
      <c r="B52" s="5"/>
      <c r="C52" s="5"/>
      <c r="D52" s="5"/>
      <c r="E52" s="5"/>
      <c r="F52" s="5"/>
      <c r="G52" s="5"/>
      <c r="H52" s="5" t="s">
        <v>23</v>
      </c>
      <c r="I52" s="6">
        <v>44743</v>
      </c>
      <c r="J52" s="5" t="s">
        <v>73</v>
      </c>
      <c r="K52" s="5" t="s">
        <v>415</v>
      </c>
      <c r="L52" s="5" t="s">
        <v>470</v>
      </c>
      <c r="M52" s="5"/>
      <c r="N52" s="7"/>
      <c r="O52" s="5" t="s">
        <v>553</v>
      </c>
      <c r="P52" s="8">
        <v>58</v>
      </c>
      <c r="Q52" s="8">
        <f t="shared" si="0"/>
        <v>98454.71</v>
      </c>
    </row>
    <row r="53" spans="1:17" x14ac:dyDescent="0.25">
      <c r="A53" s="5"/>
      <c r="B53" s="5"/>
      <c r="C53" s="5"/>
      <c r="D53" s="5"/>
      <c r="E53" s="5"/>
      <c r="F53" s="5"/>
      <c r="G53" s="5"/>
      <c r="H53" s="5" t="s">
        <v>23</v>
      </c>
      <c r="I53" s="6">
        <v>44743</v>
      </c>
      <c r="J53" s="5" t="s">
        <v>74</v>
      </c>
      <c r="K53" s="5" t="s">
        <v>416</v>
      </c>
      <c r="L53" s="5" t="s">
        <v>471</v>
      </c>
      <c r="M53" s="5"/>
      <c r="N53" s="7"/>
      <c r="O53" s="5" t="s">
        <v>553</v>
      </c>
      <c r="P53" s="8">
        <v>0</v>
      </c>
      <c r="Q53" s="8">
        <f t="shared" si="0"/>
        <v>98454.71</v>
      </c>
    </row>
    <row r="54" spans="1:17" x14ac:dyDescent="0.25">
      <c r="A54" s="5"/>
      <c r="B54" s="5"/>
      <c r="C54" s="5"/>
      <c r="D54" s="5"/>
      <c r="E54" s="5"/>
      <c r="F54" s="5"/>
      <c r="G54" s="5"/>
      <c r="H54" s="5" t="s">
        <v>23</v>
      </c>
      <c r="I54" s="6">
        <v>44743</v>
      </c>
      <c r="J54" s="5" t="s">
        <v>74</v>
      </c>
      <c r="K54" s="5" t="s">
        <v>416</v>
      </c>
      <c r="L54" s="5" t="s">
        <v>472</v>
      </c>
      <c r="M54" s="5"/>
      <c r="N54" s="7"/>
      <c r="O54" s="5" t="s">
        <v>553</v>
      </c>
      <c r="P54" s="8">
        <v>0</v>
      </c>
      <c r="Q54" s="8">
        <f t="shared" si="0"/>
        <v>98454.71</v>
      </c>
    </row>
    <row r="55" spans="1:17" x14ac:dyDescent="0.25">
      <c r="A55" s="5"/>
      <c r="B55" s="5"/>
      <c r="C55" s="5"/>
      <c r="D55" s="5"/>
      <c r="E55" s="5"/>
      <c r="F55" s="5"/>
      <c r="G55" s="5"/>
      <c r="H55" s="5" t="s">
        <v>23</v>
      </c>
      <c r="I55" s="6">
        <v>44743</v>
      </c>
      <c r="J55" s="5" t="s">
        <v>74</v>
      </c>
      <c r="K55" s="5" t="s">
        <v>416</v>
      </c>
      <c r="L55" s="5"/>
      <c r="M55" s="5"/>
      <c r="N55" s="7"/>
      <c r="O55" s="5" t="s">
        <v>553</v>
      </c>
      <c r="P55" s="8">
        <v>2000</v>
      </c>
      <c r="Q55" s="8">
        <f t="shared" si="0"/>
        <v>100454.71</v>
      </c>
    </row>
    <row r="56" spans="1:17" x14ac:dyDescent="0.25">
      <c r="A56" s="5"/>
      <c r="B56" s="5"/>
      <c r="C56" s="5"/>
      <c r="D56" s="5"/>
      <c r="E56" s="5"/>
      <c r="F56" s="5"/>
      <c r="G56" s="5"/>
      <c r="H56" s="5" t="s">
        <v>23</v>
      </c>
      <c r="I56" s="6">
        <v>44743</v>
      </c>
      <c r="J56" s="5" t="s">
        <v>75</v>
      </c>
      <c r="K56" s="5" t="s">
        <v>413</v>
      </c>
      <c r="L56" s="5"/>
      <c r="M56" s="5"/>
      <c r="N56" s="7"/>
      <c r="O56" s="5" t="s">
        <v>553</v>
      </c>
      <c r="P56" s="8">
        <v>562.54999999999995</v>
      </c>
      <c r="Q56" s="8">
        <f t="shared" si="0"/>
        <v>101017.26</v>
      </c>
    </row>
    <row r="57" spans="1:17" x14ac:dyDescent="0.25">
      <c r="A57" s="5"/>
      <c r="B57" s="5"/>
      <c r="C57" s="5"/>
      <c r="D57" s="5"/>
      <c r="E57" s="5"/>
      <c r="F57" s="5"/>
      <c r="G57" s="5"/>
      <c r="H57" s="5" t="s">
        <v>23</v>
      </c>
      <c r="I57" s="6">
        <v>44743</v>
      </c>
      <c r="J57" s="5" t="s">
        <v>76</v>
      </c>
      <c r="K57" s="5" t="s">
        <v>413</v>
      </c>
      <c r="L57" s="5"/>
      <c r="M57" s="5"/>
      <c r="N57" s="7"/>
      <c r="O57" s="5" t="s">
        <v>553</v>
      </c>
      <c r="P57" s="8">
        <v>1044.08</v>
      </c>
      <c r="Q57" s="8">
        <f t="shared" si="0"/>
        <v>102061.34</v>
      </c>
    </row>
    <row r="58" spans="1:17" x14ac:dyDescent="0.25">
      <c r="A58" s="5"/>
      <c r="B58" s="5"/>
      <c r="C58" s="5"/>
      <c r="D58" s="5"/>
      <c r="E58" s="5"/>
      <c r="F58" s="5"/>
      <c r="G58" s="5"/>
      <c r="H58" s="5" t="s">
        <v>23</v>
      </c>
      <c r="I58" s="6">
        <v>44743</v>
      </c>
      <c r="J58" s="5" t="s">
        <v>77</v>
      </c>
      <c r="K58" s="5" t="s">
        <v>413</v>
      </c>
      <c r="L58" s="5"/>
      <c r="M58" s="5"/>
      <c r="N58" s="7"/>
      <c r="O58" s="5" t="s">
        <v>553</v>
      </c>
      <c r="P58" s="8">
        <v>854.78</v>
      </c>
      <c r="Q58" s="8">
        <f t="shared" si="0"/>
        <v>102916.12</v>
      </c>
    </row>
    <row r="59" spans="1:17" x14ac:dyDescent="0.25">
      <c r="A59" s="5"/>
      <c r="B59" s="5"/>
      <c r="C59" s="5"/>
      <c r="D59" s="5"/>
      <c r="E59" s="5"/>
      <c r="F59" s="5"/>
      <c r="G59" s="5"/>
      <c r="H59" s="5" t="s">
        <v>23</v>
      </c>
      <c r="I59" s="6">
        <v>44743</v>
      </c>
      <c r="J59" s="5" t="s">
        <v>78</v>
      </c>
      <c r="K59" s="5" t="s">
        <v>413</v>
      </c>
      <c r="L59" s="5"/>
      <c r="M59" s="5"/>
      <c r="N59" s="7"/>
      <c r="O59" s="5" t="s">
        <v>553</v>
      </c>
      <c r="P59" s="8">
        <v>732.14</v>
      </c>
      <c r="Q59" s="8">
        <f t="shared" si="0"/>
        <v>103648.26</v>
      </c>
    </row>
    <row r="60" spans="1:17" x14ac:dyDescent="0.25">
      <c r="A60" s="5"/>
      <c r="B60" s="5"/>
      <c r="C60" s="5"/>
      <c r="D60" s="5"/>
      <c r="E60" s="5"/>
      <c r="F60" s="5"/>
      <c r="G60" s="5"/>
      <c r="H60" s="5" t="s">
        <v>23</v>
      </c>
      <c r="I60" s="6">
        <v>44743</v>
      </c>
      <c r="J60" s="5" t="s">
        <v>79</v>
      </c>
      <c r="K60" s="5" t="s">
        <v>413</v>
      </c>
      <c r="L60" s="5"/>
      <c r="M60" s="5"/>
      <c r="N60" s="7"/>
      <c r="O60" s="5" t="s">
        <v>553</v>
      </c>
      <c r="P60" s="8">
        <v>666.41</v>
      </c>
      <c r="Q60" s="8">
        <f t="shared" si="0"/>
        <v>104314.67</v>
      </c>
    </row>
    <row r="61" spans="1:17" x14ac:dyDescent="0.25">
      <c r="A61" s="5"/>
      <c r="B61" s="5"/>
      <c r="C61" s="5"/>
      <c r="D61" s="5"/>
      <c r="E61" s="5"/>
      <c r="F61" s="5"/>
      <c r="G61" s="5"/>
      <c r="H61" s="5" t="s">
        <v>23</v>
      </c>
      <c r="I61" s="6">
        <v>44743</v>
      </c>
      <c r="J61" s="5" t="s">
        <v>80</v>
      </c>
      <c r="K61" s="5" t="s">
        <v>413</v>
      </c>
      <c r="L61" s="5"/>
      <c r="M61" s="5"/>
      <c r="N61" s="7"/>
      <c r="O61" s="5" t="s">
        <v>553</v>
      </c>
      <c r="P61" s="8">
        <v>423.12</v>
      </c>
      <c r="Q61" s="8">
        <f t="shared" si="0"/>
        <v>104737.79</v>
      </c>
    </row>
    <row r="62" spans="1:17" x14ac:dyDescent="0.25">
      <c r="A62" s="5"/>
      <c r="B62" s="5"/>
      <c r="C62" s="5"/>
      <c r="D62" s="5"/>
      <c r="E62" s="5"/>
      <c r="F62" s="5"/>
      <c r="G62" s="5"/>
      <c r="H62" s="5" t="s">
        <v>23</v>
      </c>
      <c r="I62" s="6">
        <v>44743</v>
      </c>
      <c r="J62" s="5" t="s">
        <v>81</v>
      </c>
      <c r="K62" s="5" t="s">
        <v>413</v>
      </c>
      <c r="L62" s="5"/>
      <c r="M62" s="5"/>
      <c r="N62" s="7"/>
      <c r="O62" s="5" t="s">
        <v>553</v>
      </c>
      <c r="P62" s="8">
        <v>616.29999999999995</v>
      </c>
      <c r="Q62" s="8">
        <f t="shared" si="0"/>
        <v>105354.09</v>
      </c>
    </row>
    <row r="63" spans="1:17" x14ac:dyDescent="0.25">
      <c r="A63" s="5"/>
      <c r="B63" s="5"/>
      <c r="C63" s="5"/>
      <c r="D63" s="5"/>
      <c r="E63" s="5"/>
      <c r="F63" s="5"/>
      <c r="G63" s="5"/>
      <c r="H63" s="5" t="s">
        <v>23</v>
      </c>
      <c r="I63" s="6">
        <v>44743</v>
      </c>
      <c r="J63" s="5" t="s">
        <v>82</v>
      </c>
      <c r="K63" s="5" t="s">
        <v>413</v>
      </c>
      <c r="L63" s="5"/>
      <c r="M63" s="5"/>
      <c r="N63" s="7"/>
      <c r="O63" s="5" t="s">
        <v>553</v>
      </c>
      <c r="P63" s="8">
        <v>443.8</v>
      </c>
      <c r="Q63" s="8">
        <f t="shared" si="0"/>
        <v>105797.89</v>
      </c>
    </row>
    <row r="64" spans="1:17" x14ac:dyDescent="0.25">
      <c r="A64" s="5"/>
      <c r="B64" s="5"/>
      <c r="C64" s="5"/>
      <c r="D64" s="5"/>
      <c r="E64" s="5"/>
      <c r="F64" s="5"/>
      <c r="G64" s="5"/>
      <c r="H64" s="5" t="s">
        <v>23</v>
      </c>
      <c r="I64" s="6">
        <v>44743</v>
      </c>
      <c r="J64" s="5" t="s">
        <v>83</v>
      </c>
      <c r="K64" s="5" t="s">
        <v>413</v>
      </c>
      <c r="L64" s="5"/>
      <c r="M64" s="5"/>
      <c r="N64" s="7"/>
      <c r="O64" s="5" t="s">
        <v>553</v>
      </c>
      <c r="P64" s="8">
        <v>123.92</v>
      </c>
      <c r="Q64" s="8">
        <f t="shared" si="0"/>
        <v>105921.81</v>
      </c>
    </row>
    <row r="65" spans="1:17" x14ac:dyDescent="0.25">
      <c r="A65" s="5"/>
      <c r="B65" s="5"/>
      <c r="C65" s="5"/>
      <c r="D65" s="5"/>
      <c r="E65" s="5"/>
      <c r="F65" s="5"/>
      <c r="G65" s="5"/>
      <c r="H65" s="5" t="s">
        <v>23</v>
      </c>
      <c r="I65" s="6">
        <v>44743</v>
      </c>
      <c r="J65" s="5" t="s">
        <v>84</v>
      </c>
      <c r="K65" s="5" t="s">
        <v>413</v>
      </c>
      <c r="L65" s="5"/>
      <c r="M65" s="5"/>
      <c r="N65" s="7"/>
      <c r="O65" s="5" t="s">
        <v>553</v>
      </c>
      <c r="P65" s="8">
        <v>546.26</v>
      </c>
      <c r="Q65" s="8">
        <f t="shared" si="0"/>
        <v>106468.07</v>
      </c>
    </row>
    <row r="66" spans="1:17" x14ac:dyDescent="0.25">
      <c r="A66" s="5"/>
      <c r="B66" s="5"/>
      <c r="C66" s="5"/>
      <c r="D66" s="5"/>
      <c r="E66" s="5"/>
      <c r="F66" s="5"/>
      <c r="G66" s="5"/>
      <c r="H66" s="5" t="s">
        <v>23</v>
      </c>
      <c r="I66" s="6">
        <v>44743</v>
      </c>
      <c r="J66" s="5" t="s">
        <v>85</v>
      </c>
      <c r="K66" s="5" t="s">
        <v>413</v>
      </c>
      <c r="L66" s="5"/>
      <c r="M66" s="5"/>
      <c r="N66" s="7"/>
      <c r="O66" s="5" t="s">
        <v>553</v>
      </c>
      <c r="P66" s="8">
        <v>652.04999999999995</v>
      </c>
      <c r="Q66" s="8">
        <f t="shared" si="0"/>
        <v>107120.12</v>
      </c>
    </row>
    <row r="67" spans="1:17" x14ac:dyDescent="0.25">
      <c r="A67" s="5"/>
      <c r="B67" s="5"/>
      <c r="C67" s="5"/>
      <c r="D67" s="5"/>
      <c r="E67" s="5"/>
      <c r="F67" s="5"/>
      <c r="G67" s="5"/>
      <c r="H67" s="5" t="s">
        <v>23</v>
      </c>
      <c r="I67" s="6">
        <v>44743</v>
      </c>
      <c r="J67" s="5" t="s">
        <v>86</v>
      </c>
      <c r="K67" s="5" t="s">
        <v>413</v>
      </c>
      <c r="L67" s="5"/>
      <c r="M67" s="5"/>
      <c r="N67" s="7"/>
      <c r="O67" s="5" t="s">
        <v>553</v>
      </c>
      <c r="P67" s="8">
        <v>802.14</v>
      </c>
      <c r="Q67" s="8">
        <f t="shared" si="0"/>
        <v>107922.26</v>
      </c>
    </row>
    <row r="68" spans="1:17" x14ac:dyDescent="0.25">
      <c r="A68" s="5"/>
      <c r="B68" s="5"/>
      <c r="C68" s="5"/>
      <c r="D68" s="5"/>
      <c r="E68" s="5"/>
      <c r="F68" s="5"/>
      <c r="G68" s="5"/>
      <c r="H68" s="5" t="s">
        <v>23</v>
      </c>
      <c r="I68" s="6">
        <v>44743</v>
      </c>
      <c r="J68" s="5" t="s">
        <v>87</v>
      </c>
      <c r="K68" s="5" t="s">
        <v>413</v>
      </c>
      <c r="L68" s="5"/>
      <c r="M68" s="5"/>
      <c r="N68" s="7"/>
      <c r="O68" s="5" t="s">
        <v>553</v>
      </c>
      <c r="P68" s="8">
        <v>546.29999999999995</v>
      </c>
      <c r="Q68" s="8">
        <f t="shared" si="0"/>
        <v>108468.56</v>
      </c>
    </row>
    <row r="69" spans="1:17" x14ac:dyDescent="0.25">
      <c r="A69" s="5"/>
      <c r="B69" s="5"/>
      <c r="C69" s="5"/>
      <c r="D69" s="5"/>
      <c r="E69" s="5"/>
      <c r="F69" s="5"/>
      <c r="G69" s="5"/>
      <c r="H69" s="5" t="s">
        <v>23</v>
      </c>
      <c r="I69" s="6">
        <v>44743</v>
      </c>
      <c r="J69" s="5" t="s">
        <v>88</v>
      </c>
      <c r="K69" s="5" t="s">
        <v>413</v>
      </c>
      <c r="L69" s="5"/>
      <c r="M69" s="5"/>
      <c r="N69" s="7"/>
      <c r="O69" s="5" t="s">
        <v>553</v>
      </c>
      <c r="P69" s="8">
        <v>546.29999999999995</v>
      </c>
      <c r="Q69" s="8">
        <f t="shared" ref="Q69:Q132" si="1">ROUND(Q68+P69,5)</f>
        <v>109014.86</v>
      </c>
    </row>
    <row r="70" spans="1:17" x14ac:dyDescent="0.25">
      <c r="A70" s="5"/>
      <c r="B70" s="5"/>
      <c r="C70" s="5"/>
      <c r="D70" s="5"/>
      <c r="E70" s="5"/>
      <c r="F70" s="5"/>
      <c r="G70" s="5"/>
      <c r="H70" s="5" t="s">
        <v>23</v>
      </c>
      <c r="I70" s="6">
        <v>44743</v>
      </c>
      <c r="J70" s="5" t="s">
        <v>89</v>
      </c>
      <c r="K70" s="5" t="s">
        <v>412</v>
      </c>
      <c r="L70" s="5"/>
      <c r="M70" s="5"/>
      <c r="N70" s="7"/>
      <c r="O70" s="5" t="s">
        <v>553</v>
      </c>
      <c r="P70" s="8">
        <v>3009.5</v>
      </c>
      <c r="Q70" s="8">
        <f t="shared" si="1"/>
        <v>112024.36</v>
      </c>
    </row>
    <row r="71" spans="1:17" x14ac:dyDescent="0.25">
      <c r="A71" s="5"/>
      <c r="B71" s="5"/>
      <c r="C71" s="5"/>
      <c r="D71" s="5"/>
      <c r="E71" s="5"/>
      <c r="F71" s="5"/>
      <c r="G71" s="5"/>
      <c r="H71" s="5" t="s">
        <v>23</v>
      </c>
      <c r="I71" s="6">
        <v>44743</v>
      </c>
      <c r="J71" s="5" t="s">
        <v>90</v>
      </c>
      <c r="K71" s="5" t="s">
        <v>412</v>
      </c>
      <c r="L71" s="5"/>
      <c r="M71" s="5"/>
      <c r="N71" s="7"/>
      <c r="O71" s="5" t="s">
        <v>553</v>
      </c>
      <c r="P71" s="8">
        <v>429.94</v>
      </c>
      <c r="Q71" s="8">
        <f t="shared" si="1"/>
        <v>112454.3</v>
      </c>
    </row>
    <row r="72" spans="1:17" x14ac:dyDescent="0.25">
      <c r="A72" s="5"/>
      <c r="B72" s="5"/>
      <c r="C72" s="5"/>
      <c r="D72" s="5"/>
      <c r="E72" s="5"/>
      <c r="F72" s="5"/>
      <c r="G72" s="5"/>
      <c r="H72" s="5" t="s">
        <v>23</v>
      </c>
      <c r="I72" s="6">
        <v>44743</v>
      </c>
      <c r="J72" s="5" t="s">
        <v>91</v>
      </c>
      <c r="K72" s="5" t="s">
        <v>412</v>
      </c>
      <c r="L72" s="5"/>
      <c r="M72" s="5"/>
      <c r="N72" s="7"/>
      <c r="O72" s="5" t="s">
        <v>553</v>
      </c>
      <c r="P72" s="8">
        <v>552.61</v>
      </c>
      <c r="Q72" s="8">
        <f t="shared" si="1"/>
        <v>113006.91</v>
      </c>
    </row>
    <row r="73" spans="1:17" x14ac:dyDescent="0.25">
      <c r="A73" s="5"/>
      <c r="B73" s="5"/>
      <c r="C73" s="5"/>
      <c r="D73" s="5"/>
      <c r="E73" s="5"/>
      <c r="F73" s="5"/>
      <c r="G73" s="5"/>
      <c r="H73" s="5" t="s">
        <v>23</v>
      </c>
      <c r="I73" s="6">
        <v>44743</v>
      </c>
      <c r="J73" s="5" t="s">
        <v>92</v>
      </c>
      <c r="K73" s="5" t="s">
        <v>412</v>
      </c>
      <c r="L73" s="5"/>
      <c r="M73" s="5"/>
      <c r="N73" s="7"/>
      <c r="O73" s="5" t="s">
        <v>553</v>
      </c>
      <c r="P73" s="8">
        <v>1207.6400000000001</v>
      </c>
      <c r="Q73" s="8">
        <f t="shared" si="1"/>
        <v>114214.55</v>
      </c>
    </row>
    <row r="74" spans="1:17" x14ac:dyDescent="0.25">
      <c r="A74" s="5"/>
      <c r="B74" s="5"/>
      <c r="C74" s="5"/>
      <c r="D74" s="5"/>
      <c r="E74" s="5"/>
      <c r="F74" s="5"/>
      <c r="G74" s="5"/>
      <c r="H74" s="5" t="s">
        <v>23</v>
      </c>
      <c r="I74" s="6">
        <v>44743</v>
      </c>
      <c r="J74" s="5" t="s">
        <v>93</v>
      </c>
      <c r="K74" s="5" t="s">
        <v>412</v>
      </c>
      <c r="L74" s="5"/>
      <c r="M74" s="5"/>
      <c r="N74" s="7"/>
      <c r="O74" s="5" t="s">
        <v>553</v>
      </c>
      <c r="P74" s="8">
        <v>508.48</v>
      </c>
      <c r="Q74" s="8">
        <f t="shared" si="1"/>
        <v>114723.03</v>
      </c>
    </row>
    <row r="75" spans="1:17" x14ac:dyDescent="0.25">
      <c r="A75" s="5"/>
      <c r="B75" s="5"/>
      <c r="C75" s="5"/>
      <c r="D75" s="5"/>
      <c r="E75" s="5"/>
      <c r="F75" s="5"/>
      <c r="G75" s="5"/>
      <c r="H75" s="5" t="s">
        <v>23</v>
      </c>
      <c r="I75" s="6">
        <v>44743</v>
      </c>
      <c r="J75" s="5" t="s">
        <v>94</v>
      </c>
      <c r="K75" s="5" t="s">
        <v>412</v>
      </c>
      <c r="L75" s="5"/>
      <c r="M75" s="5"/>
      <c r="N75" s="7"/>
      <c r="O75" s="5" t="s">
        <v>553</v>
      </c>
      <c r="P75" s="8">
        <v>2146.96</v>
      </c>
      <c r="Q75" s="8">
        <f t="shared" si="1"/>
        <v>116869.99</v>
      </c>
    </row>
    <row r="76" spans="1:17" x14ac:dyDescent="0.25">
      <c r="A76" s="5"/>
      <c r="B76" s="5"/>
      <c r="C76" s="5"/>
      <c r="D76" s="5"/>
      <c r="E76" s="5"/>
      <c r="F76" s="5"/>
      <c r="G76" s="5"/>
      <c r="H76" s="5" t="s">
        <v>23</v>
      </c>
      <c r="I76" s="6">
        <v>44743</v>
      </c>
      <c r="J76" s="5" t="s">
        <v>95</v>
      </c>
      <c r="K76" s="5" t="s">
        <v>412</v>
      </c>
      <c r="L76" s="5"/>
      <c r="M76" s="5"/>
      <c r="N76" s="7"/>
      <c r="O76" s="5" t="s">
        <v>553</v>
      </c>
      <c r="P76" s="8">
        <v>1295.7</v>
      </c>
      <c r="Q76" s="8">
        <f t="shared" si="1"/>
        <v>118165.69</v>
      </c>
    </row>
    <row r="77" spans="1:17" x14ac:dyDescent="0.25">
      <c r="A77" s="5"/>
      <c r="B77" s="5"/>
      <c r="C77" s="5"/>
      <c r="D77" s="5"/>
      <c r="E77" s="5"/>
      <c r="F77" s="5"/>
      <c r="G77" s="5"/>
      <c r="H77" s="5" t="s">
        <v>23</v>
      </c>
      <c r="I77" s="6">
        <v>44743</v>
      </c>
      <c r="J77" s="5" t="s">
        <v>96</v>
      </c>
      <c r="K77" s="5" t="s">
        <v>412</v>
      </c>
      <c r="L77" s="5"/>
      <c r="M77" s="5"/>
      <c r="N77" s="7"/>
      <c r="O77" s="5" t="s">
        <v>553</v>
      </c>
      <c r="P77" s="8">
        <v>1723.05</v>
      </c>
      <c r="Q77" s="8">
        <f t="shared" si="1"/>
        <v>119888.74</v>
      </c>
    </row>
    <row r="78" spans="1:17" x14ac:dyDescent="0.25">
      <c r="A78" s="5"/>
      <c r="B78" s="5"/>
      <c r="C78" s="5"/>
      <c r="D78" s="5"/>
      <c r="E78" s="5"/>
      <c r="F78" s="5"/>
      <c r="G78" s="5"/>
      <c r="H78" s="5" t="s">
        <v>23</v>
      </c>
      <c r="I78" s="6">
        <v>44743</v>
      </c>
      <c r="J78" s="5" t="s">
        <v>97</v>
      </c>
      <c r="K78" s="5" t="s">
        <v>412</v>
      </c>
      <c r="L78" s="5" t="s">
        <v>473</v>
      </c>
      <c r="M78" s="5"/>
      <c r="N78" s="7"/>
      <c r="O78" s="5" t="s">
        <v>553</v>
      </c>
      <c r="P78" s="8">
        <v>1500</v>
      </c>
      <c r="Q78" s="8">
        <f t="shared" si="1"/>
        <v>121388.74</v>
      </c>
    </row>
    <row r="79" spans="1:17" x14ac:dyDescent="0.25">
      <c r="A79" s="5"/>
      <c r="B79" s="5"/>
      <c r="C79" s="5"/>
      <c r="D79" s="5"/>
      <c r="E79" s="5"/>
      <c r="F79" s="5"/>
      <c r="G79" s="5"/>
      <c r="H79" s="5" t="s">
        <v>23</v>
      </c>
      <c r="I79" s="6">
        <v>44743</v>
      </c>
      <c r="J79" s="5" t="s">
        <v>97</v>
      </c>
      <c r="K79" s="5" t="s">
        <v>412</v>
      </c>
      <c r="L79" s="5" t="s">
        <v>474</v>
      </c>
      <c r="M79" s="5"/>
      <c r="N79" s="7"/>
      <c r="O79" s="5" t="s">
        <v>553</v>
      </c>
      <c r="P79" s="8">
        <v>805.6</v>
      </c>
      <c r="Q79" s="8">
        <f t="shared" si="1"/>
        <v>122194.34</v>
      </c>
    </row>
    <row r="80" spans="1:17" x14ac:dyDescent="0.25">
      <c r="A80" s="5"/>
      <c r="B80" s="5"/>
      <c r="C80" s="5"/>
      <c r="D80" s="5"/>
      <c r="E80" s="5"/>
      <c r="F80" s="5"/>
      <c r="G80" s="5"/>
      <c r="H80" s="5" t="s">
        <v>23</v>
      </c>
      <c r="I80" s="6">
        <v>44743</v>
      </c>
      <c r="J80" s="5" t="s">
        <v>98</v>
      </c>
      <c r="K80" s="5" t="s">
        <v>413</v>
      </c>
      <c r="L80" s="5"/>
      <c r="M80" s="5"/>
      <c r="N80" s="7"/>
      <c r="O80" s="5" t="s">
        <v>553</v>
      </c>
      <c r="P80" s="8">
        <v>930.58</v>
      </c>
      <c r="Q80" s="8">
        <f t="shared" si="1"/>
        <v>123124.92</v>
      </c>
    </row>
    <row r="81" spans="1:17" x14ac:dyDescent="0.25">
      <c r="A81" s="5"/>
      <c r="B81" s="5"/>
      <c r="C81" s="5"/>
      <c r="D81" s="5"/>
      <c r="E81" s="5"/>
      <c r="F81" s="5"/>
      <c r="G81" s="5"/>
      <c r="H81" s="5" t="s">
        <v>23</v>
      </c>
      <c r="I81" s="6">
        <v>44743</v>
      </c>
      <c r="J81" s="5" t="s">
        <v>99</v>
      </c>
      <c r="K81" s="5" t="s">
        <v>413</v>
      </c>
      <c r="L81" s="5"/>
      <c r="M81" s="5"/>
      <c r="N81" s="7"/>
      <c r="O81" s="5" t="s">
        <v>553</v>
      </c>
      <c r="P81" s="8">
        <v>565.5</v>
      </c>
      <c r="Q81" s="8">
        <f t="shared" si="1"/>
        <v>123690.42</v>
      </c>
    </row>
    <row r="82" spans="1:17" x14ac:dyDescent="0.25">
      <c r="A82" s="5"/>
      <c r="B82" s="5"/>
      <c r="C82" s="5"/>
      <c r="D82" s="5"/>
      <c r="E82" s="5"/>
      <c r="F82" s="5"/>
      <c r="G82" s="5"/>
      <c r="H82" s="5" t="s">
        <v>23</v>
      </c>
      <c r="I82" s="6">
        <v>44743</v>
      </c>
      <c r="J82" s="5" t="s">
        <v>100</v>
      </c>
      <c r="K82" s="5" t="s">
        <v>413</v>
      </c>
      <c r="L82" s="5"/>
      <c r="M82" s="5"/>
      <c r="N82" s="7"/>
      <c r="O82" s="5" t="s">
        <v>553</v>
      </c>
      <c r="P82" s="8">
        <v>236.46</v>
      </c>
      <c r="Q82" s="8">
        <f t="shared" si="1"/>
        <v>123926.88</v>
      </c>
    </row>
    <row r="83" spans="1:17" x14ac:dyDescent="0.25">
      <c r="A83" s="5"/>
      <c r="B83" s="5"/>
      <c r="C83" s="5"/>
      <c r="D83" s="5"/>
      <c r="E83" s="5"/>
      <c r="F83" s="5"/>
      <c r="G83" s="5"/>
      <c r="H83" s="5" t="s">
        <v>23</v>
      </c>
      <c r="I83" s="6">
        <v>44743</v>
      </c>
      <c r="J83" s="5" t="s">
        <v>101</v>
      </c>
      <c r="K83" s="5" t="s">
        <v>413</v>
      </c>
      <c r="L83" s="5"/>
      <c r="M83" s="5"/>
      <c r="N83" s="7"/>
      <c r="O83" s="5" t="s">
        <v>553</v>
      </c>
      <c r="P83" s="8">
        <v>546.29999999999995</v>
      </c>
      <c r="Q83" s="8">
        <f t="shared" si="1"/>
        <v>124473.18</v>
      </c>
    </row>
    <row r="84" spans="1:17" x14ac:dyDescent="0.25">
      <c r="A84" s="5"/>
      <c r="B84" s="5"/>
      <c r="C84" s="5"/>
      <c r="D84" s="5"/>
      <c r="E84" s="5"/>
      <c r="F84" s="5"/>
      <c r="G84" s="5"/>
      <c r="H84" s="5" t="s">
        <v>23</v>
      </c>
      <c r="I84" s="6">
        <v>44743</v>
      </c>
      <c r="J84" s="5" t="s">
        <v>102</v>
      </c>
      <c r="K84" s="5" t="s">
        <v>413</v>
      </c>
      <c r="L84" s="5"/>
      <c r="M84" s="5"/>
      <c r="N84" s="7"/>
      <c r="O84" s="5" t="s">
        <v>553</v>
      </c>
      <c r="P84" s="8">
        <v>500.58</v>
      </c>
      <c r="Q84" s="8">
        <f t="shared" si="1"/>
        <v>124973.75999999999</v>
      </c>
    </row>
    <row r="85" spans="1:17" x14ac:dyDescent="0.25">
      <c r="A85" s="5"/>
      <c r="B85" s="5"/>
      <c r="C85" s="5"/>
      <c r="D85" s="5"/>
      <c r="E85" s="5"/>
      <c r="F85" s="5"/>
      <c r="G85" s="5"/>
      <c r="H85" s="5" t="s">
        <v>23</v>
      </c>
      <c r="I85" s="6">
        <v>44743</v>
      </c>
      <c r="J85" s="5" t="s">
        <v>103</v>
      </c>
      <c r="K85" s="5" t="s">
        <v>413</v>
      </c>
      <c r="L85" s="5"/>
      <c r="M85" s="5"/>
      <c r="N85" s="7"/>
      <c r="O85" s="5" t="s">
        <v>553</v>
      </c>
      <c r="P85" s="8">
        <v>813.02</v>
      </c>
      <c r="Q85" s="8">
        <f t="shared" si="1"/>
        <v>125786.78</v>
      </c>
    </row>
    <row r="86" spans="1:17" x14ac:dyDescent="0.25">
      <c r="A86" s="5"/>
      <c r="B86" s="5"/>
      <c r="C86" s="5"/>
      <c r="D86" s="5"/>
      <c r="E86" s="5"/>
      <c r="F86" s="5"/>
      <c r="G86" s="5"/>
      <c r="H86" s="5" t="s">
        <v>23</v>
      </c>
      <c r="I86" s="6">
        <v>44743</v>
      </c>
      <c r="J86" s="5" t="s">
        <v>104</v>
      </c>
      <c r="K86" s="5" t="s">
        <v>413</v>
      </c>
      <c r="L86" s="5"/>
      <c r="M86" s="5"/>
      <c r="N86" s="7"/>
      <c r="O86" s="5" t="s">
        <v>553</v>
      </c>
      <c r="P86" s="8">
        <v>226.52</v>
      </c>
      <c r="Q86" s="8">
        <f t="shared" si="1"/>
        <v>126013.3</v>
      </c>
    </row>
    <row r="87" spans="1:17" x14ac:dyDescent="0.25">
      <c r="A87" s="5"/>
      <c r="B87" s="5"/>
      <c r="C87" s="5"/>
      <c r="D87" s="5"/>
      <c r="E87" s="5"/>
      <c r="F87" s="5"/>
      <c r="G87" s="5"/>
      <c r="H87" s="5" t="s">
        <v>23</v>
      </c>
      <c r="I87" s="6">
        <v>44743</v>
      </c>
      <c r="J87" s="5" t="s">
        <v>105</v>
      </c>
      <c r="K87" s="5" t="s">
        <v>413</v>
      </c>
      <c r="L87" s="5"/>
      <c r="M87" s="5"/>
      <c r="N87" s="7"/>
      <c r="O87" s="5" t="s">
        <v>553</v>
      </c>
      <c r="P87" s="8">
        <v>867.44</v>
      </c>
      <c r="Q87" s="8">
        <f t="shared" si="1"/>
        <v>126880.74</v>
      </c>
    </row>
    <row r="88" spans="1:17" x14ac:dyDescent="0.25">
      <c r="A88" s="5"/>
      <c r="B88" s="5"/>
      <c r="C88" s="5"/>
      <c r="D88" s="5"/>
      <c r="E88" s="5"/>
      <c r="F88" s="5"/>
      <c r="G88" s="5"/>
      <c r="H88" s="5" t="s">
        <v>23</v>
      </c>
      <c r="I88" s="6">
        <v>44744</v>
      </c>
      <c r="J88" s="5" t="s">
        <v>106</v>
      </c>
      <c r="K88" s="5" t="s">
        <v>413</v>
      </c>
      <c r="L88" s="5"/>
      <c r="M88" s="5"/>
      <c r="N88" s="7"/>
      <c r="O88" s="5" t="s">
        <v>553</v>
      </c>
      <c r="P88" s="8">
        <v>517.54999999999995</v>
      </c>
      <c r="Q88" s="8">
        <f t="shared" si="1"/>
        <v>127398.29</v>
      </c>
    </row>
    <row r="89" spans="1:17" x14ac:dyDescent="0.25">
      <c r="A89" s="5"/>
      <c r="B89" s="5"/>
      <c r="C89" s="5"/>
      <c r="D89" s="5"/>
      <c r="E89" s="5"/>
      <c r="F89" s="5"/>
      <c r="G89" s="5"/>
      <c r="H89" s="5" t="s">
        <v>23</v>
      </c>
      <c r="I89" s="6">
        <v>44744</v>
      </c>
      <c r="J89" s="5" t="s">
        <v>107</v>
      </c>
      <c r="K89" s="5" t="s">
        <v>413</v>
      </c>
      <c r="L89" s="5"/>
      <c r="M89" s="5"/>
      <c r="N89" s="7"/>
      <c r="O89" s="5" t="s">
        <v>553</v>
      </c>
      <c r="P89" s="8">
        <v>863.29</v>
      </c>
      <c r="Q89" s="8">
        <f t="shared" si="1"/>
        <v>128261.58</v>
      </c>
    </row>
    <row r="90" spans="1:17" x14ac:dyDescent="0.25">
      <c r="A90" s="5"/>
      <c r="B90" s="5"/>
      <c r="C90" s="5"/>
      <c r="D90" s="5"/>
      <c r="E90" s="5"/>
      <c r="F90" s="5"/>
      <c r="G90" s="5"/>
      <c r="H90" s="5" t="s">
        <v>23</v>
      </c>
      <c r="I90" s="6">
        <v>44744</v>
      </c>
      <c r="J90" s="5" t="s">
        <v>108</v>
      </c>
      <c r="K90" s="5" t="s">
        <v>413</v>
      </c>
      <c r="L90" s="5"/>
      <c r="M90" s="5"/>
      <c r="N90" s="7"/>
      <c r="O90" s="5" t="s">
        <v>553</v>
      </c>
      <c r="P90" s="8">
        <v>800.53</v>
      </c>
      <c r="Q90" s="8">
        <f t="shared" si="1"/>
        <v>129062.11</v>
      </c>
    </row>
    <row r="91" spans="1:17" x14ac:dyDescent="0.25">
      <c r="A91" s="5"/>
      <c r="B91" s="5"/>
      <c r="C91" s="5"/>
      <c r="D91" s="5"/>
      <c r="E91" s="5"/>
      <c r="F91" s="5"/>
      <c r="G91" s="5"/>
      <c r="H91" s="5" t="s">
        <v>23</v>
      </c>
      <c r="I91" s="6">
        <v>44744</v>
      </c>
      <c r="J91" s="5" t="s">
        <v>109</v>
      </c>
      <c r="K91" s="5" t="s">
        <v>413</v>
      </c>
      <c r="L91" s="5"/>
      <c r="M91" s="5"/>
      <c r="N91" s="7"/>
      <c r="O91" s="5" t="s">
        <v>553</v>
      </c>
      <c r="P91" s="8">
        <v>546.29999999999995</v>
      </c>
      <c r="Q91" s="8">
        <f t="shared" si="1"/>
        <v>129608.41</v>
      </c>
    </row>
    <row r="92" spans="1:17" x14ac:dyDescent="0.25">
      <c r="A92" s="5"/>
      <c r="B92" s="5"/>
      <c r="C92" s="5"/>
      <c r="D92" s="5"/>
      <c r="E92" s="5"/>
      <c r="F92" s="5"/>
      <c r="G92" s="5"/>
      <c r="H92" s="5" t="s">
        <v>23</v>
      </c>
      <c r="I92" s="6">
        <v>44744</v>
      </c>
      <c r="J92" s="5" t="s">
        <v>110</v>
      </c>
      <c r="K92" s="5" t="s">
        <v>413</v>
      </c>
      <c r="L92" s="5"/>
      <c r="M92" s="5"/>
      <c r="N92" s="7"/>
      <c r="O92" s="5" t="s">
        <v>553</v>
      </c>
      <c r="P92" s="8">
        <v>869.29</v>
      </c>
      <c r="Q92" s="8">
        <f t="shared" si="1"/>
        <v>130477.7</v>
      </c>
    </row>
    <row r="93" spans="1:17" x14ac:dyDescent="0.25">
      <c r="A93" s="5"/>
      <c r="B93" s="5"/>
      <c r="C93" s="5"/>
      <c r="D93" s="5"/>
      <c r="E93" s="5"/>
      <c r="F93" s="5"/>
      <c r="G93" s="5"/>
      <c r="H93" s="5" t="s">
        <v>23</v>
      </c>
      <c r="I93" s="6">
        <v>44744</v>
      </c>
      <c r="J93" s="5" t="s">
        <v>111</v>
      </c>
      <c r="K93" s="5" t="s">
        <v>413</v>
      </c>
      <c r="L93" s="5"/>
      <c r="M93" s="5"/>
      <c r="N93" s="7"/>
      <c r="O93" s="5" t="s">
        <v>553</v>
      </c>
      <c r="P93" s="8">
        <v>1366.16</v>
      </c>
      <c r="Q93" s="8">
        <f t="shared" si="1"/>
        <v>131843.85999999999</v>
      </c>
    </row>
    <row r="94" spans="1:17" x14ac:dyDescent="0.25">
      <c r="A94" s="5"/>
      <c r="B94" s="5"/>
      <c r="C94" s="5"/>
      <c r="D94" s="5"/>
      <c r="E94" s="5"/>
      <c r="F94" s="5"/>
      <c r="G94" s="5"/>
      <c r="H94" s="5" t="s">
        <v>23</v>
      </c>
      <c r="I94" s="6">
        <v>44744</v>
      </c>
      <c r="J94" s="5" t="s">
        <v>112</v>
      </c>
      <c r="K94" s="5" t="s">
        <v>413</v>
      </c>
      <c r="L94" s="5"/>
      <c r="M94" s="5"/>
      <c r="N94" s="7"/>
      <c r="O94" s="5" t="s">
        <v>553</v>
      </c>
      <c r="P94" s="8">
        <v>1069.73</v>
      </c>
      <c r="Q94" s="8">
        <f t="shared" si="1"/>
        <v>132913.59</v>
      </c>
    </row>
    <row r="95" spans="1:17" x14ac:dyDescent="0.25">
      <c r="A95" s="5"/>
      <c r="B95" s="5"/>
      <c r="C95" s="5"/>
      <c r="D95" s="5"/>
      <c r="E95" s="5"/>
      <c r="F95" s="5"/>
      <c r="G95" s="5"/>
      <c r="H95" s="5" t="s">
        <v>23</v>
      </c>
      <c r="I95" s="6">
        <v>44744</v>
      </c>
      <c r="J95" s="5" t="s">
        <v>113</v>
      </c>
      <c r="K95" s="5" t="s">
        <v>413</v>
      </c>
      <c r="L95" s="5"/>
      <c r="M95" s="5"/>
      <c r="N95" s="7"/>
      <c r="O95" s="5" t="s">
        <v>553</v>
      </c>
      <c r="P95" s="8">
        <v>92.94</v>
      </c>
      <c r="Q95" s="8">
        <f t="shared" si="1"/>
        <v>133006.53</v>
      </c>
    </row>
    <row r="96" spans="1:17" x14ac:dyDescent="0.25">
      <c r="A96" s="5"/>
      <c r="B96" s="5"/>
      <c r="C96" s="5"/>
      <c r="D96" s="5"/>
      <c r="E96" s="5"/>
      <c r="F96" s="5"/>
      <c r="G96" s="5"/>
      <c r="H96" s="5" t="s">
        <v>23</v>
      </c>
      <c r="I96" s="6">
        <v>44744</v>
      </c>
      <c r="J96" s="5" t="s">
        <v>114</v>
      </c>
      <c r="K96" s="5" t="s">
        <v>413</v>
      </c>
      <c r="L96" s="5"/>
      <c r="M96" s="5"/>
      <c r="N96" s="7"/>
      <c r="O96" s="5" t="s">
        <v>553</v>
      </c>
      <c r="P96" s="8">
        <v>558.9</v>
      </c>
      <c r="Q96" s="8">
        <f t="shared" si="1"/>
        <v>133565.43</v>
      </c>
    </row>
    <row r="97" spans="1:17" x14ac:dyDescent="0.25">
      <c r="A97" s="5"/>
      <c r="B97" s="5"/>
      <c r="C97" s="5"/>
      <c r="D97" s="5"/>
      <c r="E97" s="5"/>
      <c r="F97" s="5"/>
      <c r="G97" s="5"/>
      <c r="H97" s="5" t="s">
        <v>23</v>
      </c>
      <c r="I97" s="6">
        <v>44744</v>
      </c>
      <c r="J97" s="5" t="s">
        <v>115</v>
      </c>
      <c r="K97" s="5" t="s">
        <v>413</v>
      </c>
      <c r="L97" s="5"/>
      <c r="M97" s="5"/>
      <c r="N97" s="7"/>
      <c r="O97" s="5" t="s">
        <v>553</v>
      </c>
      <c r="P97" s="8">
        <v>873.45</v>
      </c>
      <c r="Q97" s="8">
        <f t="shared" si="1"/>
        <v>134438.88</v>
      </c>
    </row>
    <row r="98" spans="1:17" x14ac:dyDescent="0.25">
      <c r="A98" s="5"/>
      <c r="B98" s="5"/>
      <c r="C98" s="5"/>
      <c r="D98" s="5"/>
      <c r="E98" s="5"/>
      <c r="F98" s="5"/>
      <c r="G98" s="5"/>
      <c r="H98" s="5" t="s">
        <v>23</v>
      </c>
      <c r="I98" s="6">
        <v>44744</v>
      </c>
      <c r="J98" s="5" t="s">
        <v>116</v>
      </c>
      <c r="K98" s="5" t="s">
        <v>413</v>
      </c>
      <c r="L98" s="5"/>
      <c r="M98" s="5"/>
      <c r="N98" s="7"/>
      <c r="O98" s="5" t="s">
        <v>553</v>
      </c>
      <c r="P98" s="8">
        <v>153.9</v>
      </c>
      <c r="Q98" s="8">
        <f t="shared" si="1"/>
        <v>134592.78</v>
      </c>
    </row>
    <row r="99" spans="1:17" x14ac:dyDescent="0.25">
      <c r="A99" s="5"/>
      <c r="B99" s="5"/>
      <c r="C99" s="5"/>
      <c r="D99" s="5"/>
      <c r="E99" s="5"/>
      <c r="F99" s="5"/>
      <c r="G99" s="5"/>
      <c r="H99" s="5" t="s">
        <v>23</v>
      </c>
      <c r="I99" s="6">
        <v>44744</v>
      </c>
      <c r="J99" s="5" t="s">
        <v>117</v>
      </c>
      <c r="K99" s="5" t="s">
        <v>413</v>
      </c>
      <c r="L99" s="5"/>
      <c r="M99" s="5"/>
      <c r="N99" s="7"/>
      <c r="O99" s="5" t="s">
        <v>553</v>
      </c>
      <c r="P99" s="8">
        <v>476.2</v>
      </c>
      <c r="Q99" s="8">
        <f t="shared" si="1"/>
        <v>135068.98000000001</v>
      </c>
    </row>
    <row r="100" spans="1:17" x14ac:dyDescent="0.25">
      <c r="A100" s="5"/>
      <c r="B100" s="5"/>
      <c r="C100" s="5"/>
      <c r="D100" s="5"/>
      <c r="E100" s="5"/>
      <c r="F100" s="5"/>
      <c r="G100" s="5"/>
      <c r="H100" s="5" t="s">
        <v>23</v>
      </c>
      <c r="I100" s="6">
        <v>44744</v>
      </c>
      <c r="J100" s="5" t="s">
        <v>118</v>
      </c>
      <c r="K100" s="5" t="s">
        <v>413</v>
      </c>
      <c r="L100" s="5"/>
      <c r="M100" s="5"/>
      <c r="N100" s="7"/>
      <c r="O100" s="5" t="s">
        <v>553</v>
      </c>
      <c r="P100" s="8">
        <v>743.52</v>
      </c>
      <c r="Q100" s="8">
        <f t="shared" si="1"/>
        <v>135812.5</v>
      </c>
    </row>
    <row r="101" spans="1:17" x14ac:dyDescent="0.25">
      <c r="A101" s="5"/>
      <c r="B101" s="5"/>
      <c r="C101" s="5"/>
      <c r="D101" s="5"/>
      <c r="E101" s="5"/>
      <c r="F101" s="5"/>
      <c r="G101" s="5"/>
      <c r="H101" s="5" t="s">
        <v>23</v>
      </c>
      <c r="I101" s="6">
        <v>44745</v>
      </c>
      <c r="J101" s="5" t="s">
        <v>119</v>
      </c>
      <c r="K101" s="5" t="s">
        <v>412</v>
      </c>
      <c r="L101" s="5"/>
      <c r="M101" s="5"/>
      <c r="N101" s="7"/>
      <c r="O101" s="5" t="s">
        <v>553</v>
      </c>
      <c r="P101" s="8">
        <v>1495.7</v>
      </c>
      <c r="Q101" s="8">
        <f t="shared" si="1"/>
        <v>137308.20000000001</v>
      </c>
    </row>
    <row r="102" spans="1:17" x14ac:dyDescent="0.25">
      <c r="A102" s="5"/>
      <c r="B102" s="5"/>
      <c r="C102" s="5"/>
      <c r="D102" s="5"/>
      <c r="E102" s="5"/>
      <c r="F102" s="5"/>
      <c r="G102" s="5"/>
      <c r="H102" s="5" t="s">
        <v>23</v>
      </c>
      <c r="I102" s="6">
        <v>44746</v>
      </c>
      <c r="J102" s="5" t="s">
        <v>120</v>
      </c>
      <c r="K102" s="5" t="s">
        <v>412</v>
      </c>
      <c r="L102" s="5"/>
      <c r="M102" s="5"/>
      <c r="N102" s="7"/>
      <c r="O102" s="5" t="s">
        <v>553</v>
      </c>
      <c r="P102" s="8">
        <v>4830.1400000000003</v>
      </c>
      <c r="Q102" s="8">
        <f t="shared" si="1"/>
        <v>142138.34</v>
      </c>
    </row>
    <row r="103" spans="1:17" x14ac:dyDescent="0.25">
      <c r="A103" s="5"/>
      <c r="B103" s="5"/>
      <c r="C103" s="5"/>
      <c r="D103" s="5"/>
      <c r="E103" s="5"/>
      <c r="F103" s="5"/>
      <c r="G103" s="5"/>
      <c r="H103" s="5" t="s">
        <v>23</v>
      </c>
      <c r="I103" s="6">
        <v>44746</v>
      </c>
      <c r="J103" s="5" t="s">
        <v>121</v>
      </c>
      <c r="K103" s="5" t="s">
        <v>413</v>
      </c>
      <c r="L103" s="5"/>
      <c r="M103" s="5"/>
      <c r="N103" s="7"/>
      <c r="O103" s="5" t="s">
        <v>553</v>
      </c>
      <c r="P103" s="8">
        <v>838.35</v>
      </c>
      <c r="Q103" s="8">
        <f t="shared" si="1"/>
        <v>142976.69</v>
      </c>
    </row>
    <row r="104" spans="1:17" x14ac:dyDescent="0.25">
      <c r="A104" s="5"/>
      <c r="B104" s="5"/>
      <c r="C104" s="5"/>
      <c r="D104" s="5"/>
      <c r="E104" s="5"/>
      <c r="F104" s="5"/>
      <c r="G104" s="5"/>
      <c r="H104" s="5" t="s">
        <v>23</v>
      </c>
      <c r="I104" s="6">
        <v>44746</v>
      </c>
      <c r="J104" s="5" t="s">
        <v>122</v>
      </c>
      <c r="K104" s="5" t="s">
        <v>413</v>
      </c>
      <c r="L104" s="5"/>
      <c r="M104" s="5"/>
      <c r="N104" s="7"/>
      <c r="O104" s="5" t="s">
        <v>553</v>
      </c>
      <c r="P104" s="8">
        <v>467.44</v>
      </c>
      <c r="Q104" s="8">
        <f t="shared" si="1"/>
        <v>143444.13</v>
      </c>
    </row>
    <row r="105" spans="1:17" x14ac:dyDescent="0.25">
      <c r="A105" s="5"/>
      <c r="B105" s="5"/>
      <c r="C105" s="5"/>
      <c r="D105" s="5"/>
      <c r="E105" s="5"/>
      <c r="F105" s="5"/>
      <c r="G105" s="5"/>
      <c r="H105" s="5" t="s">
        <v>23</v>
      </c>
      <c r="I105" s="6">
        <v>44746</v>
      </c>
      <c r="J105" s="5" t="s">
        <v>123</v>
      </c>
      <c r="K105" s="5" t="s">
        <v>413</v>
      </c>
      <c r="L105" s="5"/>
      <c r="M105" s="5"/>
      <c r="N105" s="7"/>
      <c r="O105" s="5" t="s">
        <v>553</v>
      </c>
      <c r="P105" s="8">
        <v>0</v>
      </c>
      <c r="Q105" s="8">
        <f t="shared" si="1"/>
        <v>143444.13</v>
      </c>
    </row>
    <row r="106" spans="1:17" x14ac:dyDescent="0.25">
      <c r="A106" s="5"/>
      <c r="B106" s="5"/>
      <c r="C106" s="5"/>
      <c r="D106" s="5"/>
      <c r="E106" s="5"/>
      <c r="F106" s="5"/>
      <c r="G106" s="5"/>
      <c r="H106" s="5" t="s">
        <v>23</v>
      </c>
      <c r="I106" s="6">
        <v>44746</v>
      </c>
      <c r="J106" s="5" t="s">
        <v>124</v>
      </c>
      <c r="K106" s="5" t="s">
        <v>413</v>
      </c>
      <c r="L106" s="5"/>
      <c r="M106" s="5"/>
      <c r="N106" s="7"/>
      <c r="O106" s="5" t="s">
        <v>553</v>
      </c>
      <c r="P106" s="8">
        <v>284.7</v>
      </c>
      <c r="Q106" s="8">
        <f t="shared" si="1"/>
        <v>143728.82999999999</v>
      </c>
    </row>
    <row r="107" spans="1:17" x14ac:dyDescent="0.25">
      <c r="A107" s="5"/>
      <c r="B107" s="5"/>
      <c r="C107" s="5"/>
      <c r="D107" s="5"/>
      <c r="E107" s="5"/>
      <c r="F107" s="5"/>
      <c r="G107" s="5"/>
      <c r="H107" s="5" t="s">
        <v>23</v>
      </c>
      <c r="I107" s="6">
        <v>44746</v>
      </c>
      <c r="J107" s="5" t="s">
        <v>125</v>
      </c>
      <c r="K107" s="5" t="s">
        <v>413</v>
      </c>
      <c r="L107" s="5"/>
      <c r="M107" s="5"/>
      <c r="N107" s="7"/>
      <c r="O107" s="5" t="s">
        <v>553</v>
      </c>
      <c r="P107" s="8">
        <v>838.35</v>
      </c>
      <c r="Q107" s="8">
        <f t="shared" si="1"/>
        <v>144567.18</v>
      </c>
    </row>
    <row r="108" spans="1:17" x14ac:dyDescent="0.25">
      <c r="A108" s="5"/>
      <c r="B108" s="5"/>
      <c r="C108" s="5"/>
      <c r="D108" s="5"/>
      <c r="E108" s="5"/>
      <c r="F108" s="5"/>
      <c r="G108" s="5"/>
      <c r="H108" s="5" t="s">
        <v>23</v>
      </c>
      <c r="I108" s="6">
        <v>44746</v>
      </c>
      <c r="J108" s="5" t="s">
        <v>126</v>
      </c>
      <c r="K108" s="5" t="s">
        <v>413</v>
      </c>
      <c r="L108" s="5"/>
      <c r="M108" s="5"/>
      <c r="N108" s="7"/>
      <c r="O108" s="5" t="s">
        <v>553</v>
      </c>
      <c r="P108" s="8">
        <v>586.29999999999995</v>
      </c>
      <c r="Q108" s="8">
        <f t="shared" si="1"/>
        <v>145153.48000000001</v>
      </c>
    </row>
    <row r="109" spans="1:17" x14ac:dyDescent="0.25">
      <c r="A109" s="5"/>
      <c r="B109" s="5"/>
      <c r="C109" s="5"/>
      <c r="D109" s="5"/>
      <c r="E109" s="5"/>
      <c r="F109" s="5"/>
      <c r="G109" s="5"/>
      <c r="H109" s="5" t="s">
        <v>23</v>
      </c>
      <c r="I109" s="6">
        <v>44749</v>
      </c>
      <c r="J109" s="5" t="s">
        <v>127</v>
      </c>
      <c r="K109" s="5" t="s">
        <v>413</v>
      </c>
      <c r="L109" s="5"/>
      <c r="M109" s="5"/>
      <c r="N109" s="7"/>
      <c r="O109" s="5" t="s">
        <v>553</v>
      </c>
      <c r="P109" s="8">
        <v>92.94</v>
      </c>
      <c r="Q109" s="8">
        <f t="shared" si="1"/>
        <v>145246.42000000001</v>
      </c>
    </row>
    <row r="110" spans="1:17" x14ac:dyDescent="0.25">
      <c r="A110" s="5"/>
      <c r="B110" s="5"/>
      <c r="C110" s="5"/>
      <c r="D110" s="5"/>
      <c r="E110" s="5"/>
      <c r="F110" s="5"/>
      <c r="G110" s="5"/>
      <c r="H110" s="5" t="s">
        <v>23</v>
      </c>
      <c r="I110" s="6">
        <v>44749</v>
      </c>
      <c r="J110" s="5" t="s">
        <v>128</v>
      </c>
      <c r="K110" s="5" t="s">
        <v>413</v>
      </c>
      <c r="L110" s="5"/>
      <c r="M110" s="5"/>
      <c r="N110" s="7"/>
      <c r="O110" s="5" t="s">
        <v>553</v>
      </c>
      <c r="P110" s="8">
        <v>476.2</v>
      </c>
      <c r="Q110" s="8">
        <f t="shared" si="1"/>
        <v>145722.62</v>
      </c>
    </row>
    <row r="111" spans="1:17" x14ac:dyDescent="0.25">
      <c r="A111" s="5"/>
      <c r="B111" s="5"/>
      <c r="C111" s="5"/>
      <c r="D111" s="5"/>
      <c r="E111" s="5"/>
      <c r="F111" s="5"/>
      <c r="G111" s="5"/>
      <c r="H111" s="5" t="s">
        <v>23</v>
      </c>
      <c r="I111" s="6">
        <v>44749</v>
      </c>
      <c r="J111" s="5" t="s">
        <v>129</v>
      </c>
      <c r="K111" s="5" t="s">
        <v>413</v>
      </c>
      <c r="L111" s="5"/>
      <c r="M111" s="5"/>
      <c r="N111" s="7"/>
      <c r="O111" s="5" t="s">
        <v>553</v>
      </c>
      <c r="P111" s="8">
        <v>230.85</v>
      </c>
      <c r="Q111" s="8">
        <f t="shared" si="1"/>
        <v>145953.47</v>
      </c>
    </row>
    <row r="112" spans="1:17" x14ac:dyDescent="0.25">
      <c r="A112" s="5"/>
      <c r="B112" s="5"/>
      <c r="C112" s="5"/>
      <c r="D112" s="5"/>
      <c r="E112" s="5"/>
      <c r="F112" s="5"/>
      <c r="G112" s="5"/>
      <c r="H112" s="5" t="s">
        <v>23</v>
      </c>
      <c r="I112" s="6">
        <v>44751</v>
      </c>
      <c r="J112" s="5" t="s">
        <v>130</v>
      </c>
      <c r="K112" s="5" t="s">
        <v>413</v>
      </c>
      <c r="L112" s="5"/>
      <c r="M112" s="5"/>
      <c r="N112" s="7"/>
      <c r="O112" s="5" t="s">
        <v>553</v>
      </c>
      <c r="P112" s="8">
        <v>901.52</v>
      </c>
      <c r="Q112" s="8">
        <f t="shared" si="1"/>
        <v>146854.99</v>
      </c>
    </row>
    <row r="113" spans="1:17" x14ac:dyDescent="0.25">
      <c r="A113" s="5"/>
      <c r="B113" s="5"/>
      <c r="C113" s="5"/>
      <c r="D113" s="5"/>
      <c r="E113" s="5"/>
      <c r="F113" s="5"/>
      <c r="G113" s="5"/>
      <c r="H113" s="5" t="s">
        <v>23</v>
      </c>
      <c r="I113" s="6">
        <v>44753</v>
      </c>
      <c r="J113" s="5" t="s">
        <v>131</v>
      </c>
      <c r="K113" s="5" t="s">
        <v>413</v>
      </c>
      <c r="L113" s="5"/>
      <c r="M113" s="5"/>
      <c r="N113" s="7"/>
      <c r="O113" s="5" t="s">
        <v>553</v>
      </c>
      <c r="P113" s="8">
        <v>123.92</v>
      </c>
      <c r="Q113" s="8">
        <f t="shared" si="1"/>
        <v>146978.91</v>
      </c>
    </row>
    <row r="114" spans="1:17" x14ac:dyDescent="0.25">
      <c r="A114" s="5"/>
      <c r="B114" s="5"/>
      <c r="C114" s="5"/>
      <c r="D114" s="5"/>
      <c r="E114" s="5"/>
      <c r="F114" s="5"/>
      <c r="G114" s="5"/>
      <c r="H114" s="5" t="s">
        <v>23</v>
      </c>
      <c r="I114" s="6">
        <v>44753</v>
      </c>
      <c r="J114" s="5" t="s">
        <v>132</v>
      </c>
      <c r="K114" s="5" t="s">
        <v>412</v>
      </c>
      <c r="L114" s="5"/>
      <c r="M114" s="5"/>
      <c r="N114" s="7"/>
      <c r="O114" s="5" t="s">
        <v>553</v>
      </c>
      <c r="P114" s="8">
        <v>1295.7</v>
      </c>
      <c r="Q114" s="8">
        <f t="shared" si="1"/>
        <v>148274.60999999999</v>
      </c>
    </row>
    <row r="115" spans="1:17" x14ac:dyDescent="0.25">
      <c r="A115" s="5"/>
      <c r="B115" s="5"/>
      <c r="C115" s="5"/>
      <c r="D115" s="5"/>
      <c r="E115" s="5"/>
      <c r="F115" s="5"/>
      <c r="G115" s="5"/>
      <c r="H115" s="5" t="s">
        <v>23</v>
      </c>
      <c r="I115" s="6">
        <v>44754</v>
      </c>
      <c r="J115" s="5" t="s">
        <v>133</v>
      </c>
      <c r="K115" s="5" t="s">
        <v>413</v>
      </c>
      <c r="L115" s="5"/>
      <c r="M115" s="5"/>
      <c r="N115" s="7"/>
      <c r="O115" s="5" t="s">
        <v>553</v>
      </c>
      <c r="P115" s="8">
        <v>1102</v>
      </c>
      <c r="Q115" s="8">
        <f t="shared" si="1"/>
        <v>149376.60999999999</v>
      </c>
    </row>
    <row r="116" spans="1:17" x14ac:dyDescent="0.25">
      <c r="A116" s="5"/>
      <c r="B116" s="5"/>
      <c r="C116" s="5"/>
      <c r="D116" s="5"/>
      <c r="E116" s="5"/>
      <c r="F116" s="5"/>
      <c r="G116" s="5"/>
      <c r="H116" s="5" t="s">
        <v>23</v>
      </c>
      <c r="I116" s="6">
        <v>44754</v>
      </c>
      <c r="J116" s="5" t="s">
        <v>134</v>
      </c>
      <c r="K116" s="5" t="s">
        <v>413</v>
      </c>
      <c r="L116" s="5"/>
      <c r="M116" s="5"/>
      <c r="N116" s="7"/>
      <c r="O116" s="5" t="s">
        <v>553</v>
      </c>
      <c r="P116" s="8">
        <v>743.52</v>
      </c>
      <c r="Q116" s="8">
        <f t="shared" si="1"/>
        <v>150120.13</v>
      </c>
    </row>
    <row r="117" spans="1:17" x14ac:dyDescent="0.25">
      <c r="A117" s="5"/>
      <c r="B117" s="5"/>
      <c r="C117" s="5"/>
      <c r="D117" s="5"/>
      <c r="E117" s="5"/>
      <c r="F117" s="5"/>
      <c r="G117" s="5"/>
      <c r="H117" s="5" t="s">
        <v>23</v>
      </c>
      <c r="I117" s="6">
        <v>44754</v>
      </c>
      <c r="J117" s="5" t="s">
        <v>135</v>
      </c>
      <c r="K117" s="5" t="s">
        <v>413</v>
      </c>
      <c r="L117" s="5"/>
      <c r="M117" s="5"/>
      <c r="N117" s="7"/>
      <c r="O117" s="5" t="s">
        <v>553</v>
      </c>
      <c r="P117" s="8">
        <v>364.2</v>
      </c>
      <c r="Q117" s="8">
        <f t="shared" si="1"/>
        <v>150484.32999999999</v>
      </c>
    </row>
    <row r="118" spans="1:17" x14ac:dyDescent="0.25">
      <c r="A118" s="5"/>
      <c r="B118" s="5"/>
      <c r="C118" s="5"/>
      <c r="D118" s="5"/>
      <c r="E118" s="5"/>
      <c r="F118" s="5"/>
      <c r="G118" s="5"/>
      <c r="H118" s="5" t="s">
        <v>23</v>
      </c>
      <c r="I118" s="6">
        <v>44754</v>
      </c>
      <c r="J118" s="5" t="s">
        <v>136</v>
      </c>
      <c r="K118" s="5" t="s">
        <v>413</v>
      </c>
      <c r="L118" s="5"/>
      <c r="M118" s="5"/>
      <c r="N118" s="7"/>
      <c r="O118" s="5" t="s">
        <v>553</v>
      </c>
      <c r="P118" s="8">
        <v>608.22</v>
      </c>
      <c r="Q118" s="8">
        <f t="shared" si="1"/>
        <v>151092.54999999999</v>
      </c>
    </row>
    <row r="119" spans="1:17" x14ac:dyDescent="0.25">
      <c r="A119" s="5"/>
      <c r="B119" s="5"/>
      <c r="C119" s="5"/>
      <c r="D119" s="5"/>
      <c r="E119" s="5"/>
      <c r="F119" s="5"/>
      <c r="G119" s="5"/>
      <c r="H119" s="5" t="s">
        <v>23</v>
      </c>
      <c r="I119" s="6">
        <v>44754</v>
      </c>
      <c r="J119" s="5" t="s">
        <v>137</v>
      </c>
      <c r="K119" s="5" t="s">
        <v>413</v>
      </c>
      <c r="L119" s="5"/>
      <c r="M119" s="5"/>
      <c r="N119" s="7"/>
      <c r="O119" s="5" t="s">
        <v>553</v>
      </c>
      <c r="P119" s="8">
        <v>226.66</v>
      </c>
      <c r="Q119" s="8">
        <f t="shared" si="1"/>
        <v>151319.21</v>
      </c>
    </row>
    <row r="120" spans="1:17" x14ac:dyDescent="0.25">
      <c r="A120" s="5"/>
      <c r="B120" s="5"/>
      <c r="C120" s="5"/>
      <c r="D120" s="5"/>
      <c r="E120" s="5"/>
      <c r="F120" s="5"/>
      <c r="G120" s="5"/>
      <c r="H120" s="5" t="s">
        <v>23</v>
      </c>
      <c r="I120" s="6">
        <v>44754</v>
      </c>
      <c r="J120" s="5" t="s">
        <v>138</v>
      </c>
      <c r="K120" s="5" t="s">
        <v>413</v>
      </c>
      <c r="L120" s="5"/>
      <c r="M120" s="5"/>
      <c r="N120" s="7"/>
      <c r="O120" s="5" t="s">
        <v>553</v>
      </c>
      <c r="P120" s="8">
        <v>364.2</v>
      </c>
      <c r="Q120" s="8">
        <f t="shared" si="1"/>
        <v>151683.41</v>
      </c>
    </row>
    <row r="121" spans="1:17" x14ac:dyDescent="0.25">
      <c r="A121" s="5"/>
      <c r="B121" s="5"/>
      <c r="C121" s="5"/>
      <c r="D121" s="5"/>
      <c r="E121" s="5"/>
      <c r="F121" s="5"/>
      <c r="G121" s="5"/>
      <c r="H121" s="5" t="s">
        <v>23</v>
      </c>
      <c r="I121" s="6">
        <v>44754</v>
      </c>
      <c r="J121" s="5" t="s">
        <v>139</v>
      </c>
      <c r="K121" s="5" t="s">
        <v>413</v>
      </c>
      <c r="L121" s="5"/>
      <c r="M121" s="5"/>
      <c r="N121" s="7"/>
      <c r="O121" s="5" t="s">
        <v>553</v>
      </c>
      <c r="P121" s="8">
        <v>476.2</v>
      </c>
      <c r="Q121" s="8">
        <f t="shared" si="1"/>
        <v>152159.60999999999</v>
      </c>
    </row>
    <row r="122" spans="1:17" x14ac:dyDescent="0.25">
      <c r="A122" s="5"/>
      <c r="B122" s="5"/>
      <c r="C122" s="5"/>
      <c r="D122" s="5"/>
      <c r="E122" s="5"/>
      <c r="F122" s="5"/>
      <c r="G122" s="5"/>
      <c r="H122" s="5" t="s">
        <v>23</v>
      </c>
      <c r="I122" s="6">
        <v>44756</v>
      </c>
      <c r="J122" s="5" t="s">
        <v>121</v>
      </c>
      <c r="K122" s="5" t="s">
        <v>413</v>
      </c>
      <c r="L122" s="5"/>
      <c r="M122" s="5"/>
      <c r="N122" s="7"/>
      <c r="O122" s="5" t="s">
        <v>553</v>
      </c>
      <c r="P122" s="8">
        <v>443.38</v>
      </c>
      <c r="Q122" s="8">
        <f t="shared" si="1"/>
        <v>152602.99</v>
      </c>
    </row>
    <row r="123" spans="1:17" x14ac:dyDescent="0.25">
      <c r="A123" s="5"/>
      <c r="B123" s="5"/>
      <c r="C123" s="5"/>
      <c r="D123" s="5"/>
      <c r="E123" s="5"/>
      <c r="F123" s="5"/>
      <c r="G123" s="5"/>
      <c r="H123" s="5" t="s">
        <v>23</v>
      </c>
      <c r="I123" s="6">
        <v>44756</v>
      </c>
      <c r="J123" s="5" t="s">
        <v>79</v>
      </c>
      <c r="K123" s="5" t="s">
        <v>417</v>
      </c>
      <c r="L123" s="5" t="s">
        <v>475</v>
      </c>
      <c r="M123" s="5"/>
      <c r="N123" s="7"/>
      <c r="O123" s="5" t="s">
        <v>553</v>
      </c>
      <c r="P123" s="8">
        <v>0</v>
      </c>
      <c r="Q123" s="8">
        <f t="shared" si="1"/>
        <v>152602.99</v>
      </c>
    </row>
    <row r="124" spans="1:17" x14ac:dyDescent="0.25">
      <c r="A124" s="5"/>
      <c r="B124" s="5"/>
      <c r="C124" s="5"/>
      <c r="D124" s="5"/>
      <c r="E124" s="5"/>
      <c r="F124" s="5"/>
      <c r="G124" s="5"/>
      <c r="H124" s="5" t="s">
        <v>23</v>
      </c>
      <c r="I124" s="6">
        <v>44756</v>
      </c>
      <c r="J124" s="5" t="s">
        <v>79</v>
      </c>
      <c r="K124" s="5" t="s">
        <v>417</v>
      </c>
      <c r="L124" s="5" t="s">
        <v>476</v>
      </c>
      <c r="M124" s="5"/>
      <c r="N124" s="7"/>
      <c r="O124" s="5" t="s">
        <v>553</v>
      </c>
      <c r="P124" s="8">
        <v>1600</v>
      </c>
      <c r="Q124" s="8">
        <f t="shared" si="1"/>
        <v>154202.99</v>
      </c>
    </row>
    <row r="125" spans="1:17" x14ac:dyDescent="0.25">
      <c r="A125" s="5"/>
      <c r="B125" s="5"/>
      <c r="C125" s="5"/>
      <c r="D125" s="5"/>
      <c r="E125" s="5"/>
      <c r="F125" s="5"/>
      <c r="G125" s="5"/>
      <c r="H125" s="5" t="s">
        <v>23</v>
      </c>
      <c r="I125" s="6">
        <v>44756</v>
      </c>
      <c r="J125" s="5" t="s">
        <v>79</v>
      </c>
      <c r="K125" s="5" t="s">
        <v>417</v>
      </c>
      <c r="L125" s="5" t="s">
        <v>477</v>
      </c>
      <c r="M125" s="5"/>
      <c r="N125" s="7"/>
      <c r="O125" s="5" t="s">
        <v>553</v>
      </c>
      <c r="P125" s="8">
        <v>400</v>
      </c>
      <c r="Q125" s="8">
        <f t="shared" si="1"/>
        <v>154602.99</v>
      </c>
    </row>
    <row r="126" spans="1:17" x14ac:dyDescent="0.25">
      <c r="A126" s="5"/>
      <c r="B126" s="5"/>
      <c r="C126" s="5"/>
      <c r="D126" s="5"/>
      <c r="E126" s="5"/>
      <c r="F126" s="5"/>
      <c r="G126" s="5"/>
      <c r="H126" s="5" t="s">
        <v>23</v>
      </c>
      <c r="I126" s="6">
        <v>44756</v>
      </c>
      <c r="J126" s="5" t="s">
        <v>79</v>
      </c>
      <c r="K126" s="5" t="s">
        <v>417</v>
      </c>
      <c r="L126" s="5" t="s">
        <v>478</v>
      </c>
      <c r="M126" s="5"/>
      <c r="N126" s="7"/>
      <c r="O126" s="5" t="s">
        <v>553</v>
      </c>
      <c r="P126" s="8">
        <v>600</v>
      </c>
      <c r="Q126" s="8">
        <f t="shared" si="1"/>
        <v>155202.99</v>
      </c>
    </row>
    <row r="127" spans="1:17" x14ac:dyDescent="0.25">
      <c r="A127" s="5"/>
      <c r="B127" s="5"/>
      <c r="C127" s="5"/>
      <c r="D127" s="5"/>
      <c r="E127" s="5"/>
      <c r="F127" s="5"/>
      <c r="G127" s="5"/>
      <c r="H127" s="5" t="s">
        <v>23</v>
      </c>
      <c r="I127" s="6">
        <v>44756</v>
      </c>
      <c r="J127" s="5" t="s">
        <v>79</v>
      </c>
      <c r="K127" s="5" t="s">
        <v>417</v>
      </c>
      <c r="L127" s="5" t="s">
        <v>479</v>
      </c>
      <c r="M127" s="5"/>
      <c r="N127" s="7"/>
      <c r="O127" s="5" t="s">
        <v>553</v>
      </c>
      <c r="P127" s="8">
        <v>2500</v>
      </c>
      <c r="Q127" s="8">
        <f t="shared" si="1"/>
        <v>157702.99</v>
      </c>
    </row>
    <row r="128" spans="1:17" x14ac:dyDescent="0.25">
      <c r="A128" s="5"/>
      <c r="B128" s="5"/>
      <c r="C128" s="5"/>
      <c r="D128" s="5"/>
      <c r="E128" s="5"/>
      <c r="F128" s="5"/>
      <c r="G128" s="5"/>
      <c r="H128" s="5" t="s">
        <v>23</v>
      </c>
      <c r="I128" s="6">
        <v>44756</v>
      </c>
      <c r="J128" s="5" t="s">
        <v>80</v>
      </c>
      <c r="K128" s="5" t="s">
        <v>418</v>
      </c>
      <c r="L128" s="5" t="s">
        <v>480</v>
      </c>
      <c r="M128" s="5"/>
      <c r="N128" s="7"/>
      <c r="O128" s="5" t="s">
        <v>553</v>
      </c>
      <c r="P128" s="8">
        <v>0</v>
      </c>
      <c r="Q128" s="8">
        <f t="shared" si="1"/>
        <v>157702.99</v>
      </c>
    </row>
    <row r="129" spans="1:17" x14ac:dyDescent="0.25">
      <c r="A129" s="5"/>
      <c r="B129" s="5"/>
      <c r="C129" s="5"/>
      <c r="D129" s="5"/>
      <c r="E129" s="5"/>
      <c r="F129" s="5"/>
      <c r="G129" s="5"/>
      <c r="H129" s="5" t="s">
        <v>23</v>
      </c>
      <c r="I129" s="6">
        <v>44756</v>
      </c>
      <c r="J129" s="5" t="s">
        <v>80</v>
      </c>
      <c r="K129" s="5" t="s">
        <v>418</v>
      </c>
      <c r="L129" s="5" t="s">
        <v>481</v>
      </c>
      <c r="M129" s="5"/>
      <c r="N129" s="7"/>
      <c r="O129" s="5" t="s">
        <v>553</v>
      </c>
      <c r="P129" s="8">
        <v>0</v>
      </c>
      <c r="Q129" s="8">
        <f t="shared" si="1"/>
        <v>157702.99</v>
      </c>
    </row>
    <row r="130" spans="1:17" x14ac:dyDescent="0.25">
      <c r="A130" s="5"/>
      <c r="B130" s="5"/>
      <c r="C130" s="5"/>
      <c r="D130" s="5"/>
      <c r="E130" s="5"/>
      <c r="F130" s="5"/>
      <c r="G130" s="5"/>
      <c r="H130" s="5" t="s">
        <v>23</v>
      </c>
      <c r="I130" s="6">
        <v>44756</v>
      </c>
      <c r="J130" s="5" t="s">
        <v>80</v>
      </c>
      <c r="K130" s="5" t="s">
        <v>418</v>
      </c>
      <c r="L130" s="5"/>
      <c r="M130" s="5"/>
      <c r="N130" s="7"/>
      <c r="O130" s="5" t="s">
        <v>553</v>
      </c>
      <c r="P130" s="8">
        <v>20000</v>
      </c>
      <c r="Q130" s="8">
        <f t="shared" si="1"/>
        <v>177702.99</v>
      </c>
    </row>
    <row r="131" spans="1:17" x14ac:dyDescent="0.25">
      <c r="A131" s="5"/>
      <c r="B131" s="5"/>
      <c r="C131" s="5"/>
      <c r="D131" s="5"/>
      <c r="E131" s="5"/>
      <c r="F131" s="5"/>
      <c r="G131" s="5"/>
      <c r="H131" s="5" t="s">
        <v>23</v>
      </c>
      <c r="I131" s="6">
        <v>44756</v>
      </c>
      <c r="J131" s="5" t="s">
        <v>82</v>
      </c>
      <c r="K131" s="5" t="s">
        <v>408</v>
      </c>
      <c r="L131" s="5"/>
      <c r="M131" s="5"/>
      <c r="N131" s="7"/>
      <c r="O131" s="5" t="s">
        <v>553</v>
      </c>
      <c r="P131" s="8">
        <v>8150.44</v>
      </c>
      <c r="Q131" s="8">
        <f t="shared" si="1"/>
        <v>185853.43</v>
      </c>
    </row>
    <row r="132" spans="1:17" x14ac:dyDescent="0.25">
      <c r="A132" s="5"/>
      <c r="B132" s="5"/>
      <c r="C132" s="5"/>
      <c r="D132" s="5"/>
      <c r="E132" s="5"/>
      <c r="F132" s="5"/>
      <c r="G132" s="5"/>
      <c r="H132" s="5" t="s">
        <v>23</v>
      </c>
      <c r="I132" s="6">
        <v>44757</v>
      </c>
      <c r="J132" s="5" t="s">
        <v>140</v>
      </c>
      <c r="K132" s="5" t="s">
        <v>412</v>
      </c>
      <c r="L132" s="5"/>
      <c r="M132" s="5"/>
      <c r="N132" s="7"/>
      <c r="O132" s="5" t="s">
        <v>553</v>
      </c>
      <c r="P132" s="8">
        <v>805.6</v>
      </c>
      <c r="Q132" s="8">
        <f t="shared" si="1"/>
        <v>186659.03</v>
      </c>
    </row>
    <row r="133" spans="1:17" x14ac:dyDescent="0.25">
      <c r="A133" s="5"/>
      <c r="B133" s="5"/>
      <c r="C133" s="5"/>
      <c r="D133" s="5"/>
      <c r="E133" s="5"/>
      <c r="F133" s="5"/>
      <c r="G133" s="5"/>
      <c r="H133" s="5" t="s">
        <v>23</v>
      </c>
      <c r="I133" s="6">
        <v>44759</v>
      </c>
      <c r="J133" s="5" t="s">
        <v>141</v>
      </c>
      <c r="K133" s="5" t="s">
        <v>412</v>
      </c>
      <c r="L133" s="5"/>
      <c r="M133" s="5"/>
      <c r="N133" s="7"/>
      <c r="O133" s="5" t="s">
        <v>553</v>
      </c>
      <c r="P133" s="8">
        <v>88.26</v>
      </c>
      <c r="Q133" s="8">
        <f t="shared" ref="Q133:Q196" si="2">ROUND(Q132+P133,5)</f>
        <v>186747.29</v>
      </c>
    </row>
    <row r="134" spans="1:17" x14ac:dyDescent="0.25">
      <c r="A134" s="5"/>
      <c r="B134" s="5"/>
      <c r="C134" s="5"/>
      <c r="D134" s="5"/>
      <c r="E134" s="5"/>
      <c r="F134" s="5"/>
      <c r="G134" s="5"/>
      <c r="H134" s="5" t="s">
        <v>23</v>
      </c>
      <c r="I134" s="6">
        <v>44760</v>
      </c>
      <c r="J134" s="5" t="s">
        <v>142</v>
      </c>
      <c r="K134" s="5" t="s">
        <v>412</v>
      </c>
      <c r="L134" s="5"/>
      <c r="M134" s="5"/>
      <c r="N134" s="7"/>
      <c r="O134" s="5" t="s">
        <v>553</v>
      </c>
      <c r="P134" s="8">
        <v>250</v>
      </c>
      <c r="Q134" s="8">
        <f t="shared" si="2"/>
        <v>186997.29</v>
      </c>
    </row>
    <row r="135" spans="1:17" x14ac:dyDescent="0.25">
      <c r="A135" s="5"/>
      <c r="B135" s="5"/>
      <c r="C135" s="5"/>
      <c r="D135" s="5"/>
      <c r="E135" s="5"/>
      <c r="F135" s="5"/>
      <c r="G135" s="5"/>
      <c r="H135" s="5" t="s">
        <v>23</v>
      </c>
      <c r="I135" s="6">
        <v>44761</v>
      </c>
      <c r="J135" s="5" t="s">
        <v>143</v>
      </c>
      <c r="K135" s="5" t="s">
        <v>412</v>
      </c>
      <c r="L135" s="5"/>
      <c r="M135" s="5"/>
      <c r="N135" s="7"/>
      <c r="O135" s="5" t="s">
        <v>553</v>
      </c>
      <c r="P135" s="8">
        <v>2146.96</v>
      </c>
      <c r="Q135" s="8">
        <f t="shared" si="2"/>
        <v>189144.25</v>
      </c>
    </row>
    <row r="136" spans="1:17" x14ac:dyDescent="0.25">
      <c r="A136" s="5"/>
      <c r="B136" s="5"/>
      <c r="C136" s="5"/>
      <c r="D136" s="5"/>
      <c r="E136" s="5"/>
      <c r="F136" s="5"/>
      <c r="G136" s="5"/>
      <c r="H136" s="5" t="s">
        <v>23</v>
      </c>
      <c r="I136" s="6">
        <v>44762</v>
      </c>
      <c r="J136" s="5" t="s">
        <v>144</v>
      </c>
      <c r="K136" s="5" t="s">
        <v>413</v>
      </c>
      <c r="L136" s="5"/>
      <c r="M136" s="5"/>
      <c r="N136" s="7"/>
      <c r="O136" s="5" t="s">
        <v>553</v>
      </c>
      <c r="P136" s="8">
        <v>901.52</v>
      </c>
      <c r="Q136" s="8">
        <f t="shared" si="2"/>
        <v>190045.77</v>
      </c>
    </row>
    <row r="137" spans="1:17" x14ac:dyDescent="0.25">
      <c r="A137" s="5"/>
      <c r="B137" s="5"/>
      <c r="C137" s="5"/>
      <c r="D137" s="5"/>
      <c r="E137" s="5"/>
      <c r="F137" s="5"/>
      <c r="G137" s="5"/>
      <c r="H137" s="5" t="s">
        <v>23</v>
      </c>
      <c r="I137" s="6">
        <v>44762</v>
      </c>
      <c r="J137" s="5" t="s">
        <v>145</v>
      </c>
      <c r="K137" s="5" t="s">
        <v>413</v>
      </c>
      <c r="L137" s="5"/>
      <c r="M137" s="5"/>
      <c r="N137" s="7"/>
      <c r="O137" s="5" t="s">
        <v>553</v>
      </c>
      <c r="P137" s="8">
        <v>535</v>
      </c>
      <c r="Q137" s="8">
        <f t="shared" si="2"/>
        <v>190580.77</v>
      </c>
    </row>
    <row r="138" spans="1:17" x14ac:dyDescent="0.25">
      <c r="A138" s="5"/>
      <c r="B138" s="5"/>
      <c r="C138" s="5"/>
      <c r="D138" s="5"/>
      <c r="E138" s="5"/>
      <c r="F138" s="5"/>
      <c r="G138" s="5"/>
      <c r="H138" s="5" t="s">
        <v>23</v>
      </c>
      <c r="I138" s="6">
        <v>44762</v>
      </c>
      <c r="J138" s="5" t="s">
        <v>75</v>
      </c>
      <c r="K138" s="5" t="s">
        <v>412</v>
      </c>
      <c r="L138" s="5"/>
      <c r="M138" s="5"/>
      <c r="N138" s="7"/>
      <c r="O138" s="5" t="s">
        <v>553</v>
      </c>
      <c r="P138" s="8">
        <v>1723.45</v>
      </c>
      <c r="Q138" s="8">
        <f t="shared" si="2"/>
        <v>192304.22</v>
      </c>
    </row>
    <row r="139" spans="1:17" x14ac:dyDescent="0.25">
      <c r="A139" s="5"/>
      <c r="B139" s="5"/>
      <c r="C139" s="5"/>
      <c r="D139" s="5"/>
      <c r="E139" s="5"/>
      <c r="F139" s="5"/>
      <c r="G139" s="5"/>
      <c r="H139" s="5" t="s">
        <v>23</v>
      </c>
      <c r="I139" s="6">
        <v>44762</v>
      </c>
      <c r="J139" s="5" t="s">
        <v>146</v>
      </c>
      <c r="K139" s="5" t="s">
        <v>412</v>
      </c>
      <c r="L139" s="5"/>
      <c r="M139" s="5"/>
      <c r="N139" s="7"/>
      <c r="O139" s="5" t="s">
        <v>553</v>
      </c>
      <c r="P139" s="8">
        <v>508.48</v>
      </c>
      <c r="Q139" s="8">
        <f t="shared" si="2"/>
        <v>192812.7</v>
      </c>
    </row>
    <row r="140" spans="1:17" x14ac:dyDescent="0.25">
      <c r="A140" s="5"/>
      <c r="B140" s="5"/>
      <c r="C140" s="5"/>
      <c r="D140" s="5"/>
      <c r="E140" s="5"/>
      <c r="F140" s="5"/>
      <c r="G140" s="5"/>
      <c r="H140" s="5" t="s">
        <v>23</v>
      </c>
      <c r="I140" s="6">
        <v>44764</v>
      </c>
      <c r="J140" s="5" t="s">
        <v>147</v>
      </c>
      <c r="K140" s="5" t="s">
        <v>412</v>
      </c>
      <c r="L140" s="5"/>
      <c r="M140" s="5"/>
      <c r="N140" s="7"/>
      <c r="O140" s="5" t="s">
        <v>553</v>
      </c>
      <c r="P140" s="8">
        <v>429.94</v>
      </c>
      <c r="Q140" s="8">
        <f t="shared" si="2"/>
        <v>193242.64</v>
      </c>
    </row>
    <row r="141" spans="1:17" x14ac:dyDescent="0.25">
      <c r="A141" s="5"/>
      <c r="B141" s="5"/>
      <c r="C141" s="5"/>
      <c r="D141" s="5"/>
      <c r="E141" s="5"/>
      <c r="F141" s="5"/>
      <c r="G141" s="5"/>
      <c r="H141" s="5" t="s">
        <v>23</v>
      </c>
      <c r="I141" s="6">
        <v>44767</v>
      </c>
      <c r="J141" s="5" t="s">
        <v>148</v>
      </c>
      <c r="K141" s="5" t="s">
        <v>412</v>
      </c>
      <c r="L141" s="5"/>
      <c r="M141" s="5"/>
      <c r="N141" s="7"/>
      <c r="O141" s="5" t="s">
        <v>553</v>
      </c>
      <c r="P141" s="8">
        <v>572.04</v>
      </c>
      <c r="Q141" s="8">
        <f t="shared" si="2"/>
        <v>193814.68</v>
      </c>
    </row>
    <row r="142" spans="1:17" x14ac:dyDescent="0.25">
      <c r="A142" s="5"/>
      <c r="B142" s="5"/>
      <c r="C142" s="5"/>
      <c r="D142" s="5"/>
      <c r="E142" s="5"/>
      <c r="F142" s="5"/>
      <c r="G142" s="5"/>
      <c r="H142" s="5" t="s">
        <v>23</v>
      </c>
      <c r="I142" s="6">
        <v>44767</v>
      </c>
      <c r="J142" s="5" t="s">
        <v>149</v>
      </c>
      <c r="K142" s="5" t="s">
        <v>412</v>
      </c>
      <c r="L142" s="5"/>
      <c r="M142" s="5"/>
      <c r="N142" s="7"/>
      <c r="O142" s="5" t="s">
        <v>553</v>
      </c>
      <c r="P142" s="8">
        <v>3009.5</v>
      </c>
      <c r="Q142" s="8">
        <f t="shared" si="2"/>
        <v>196824.18</v>
      </c>
    </row>
    <row r="143" spans="1:17" x14ac:dyDescent="0.25">
      <c r="A143" s="5"/>
      <c r="B143" s="5"/>
      <c r="C143" s="5"/>
      <c r="D143" s="5"/>
      <c r="E143" s="5"/>
      <c r="F143" s="5"/>
      <c r="G143" s="5"/>
      <c r="H143" s="5" t="s">
        <v>23</v>
      </c>
      <c r="I143" s="6">
        <v>44768</v>
      </c>
      <c r="J143" s="5" t="s">
        <v>150</v>
      </c>
      <c r="K143" s="5" t="s">
        <v>413</v>
      </c>
      <c r="L143" s="5"/>
      <c r="M143" s="5"/>
      <c r="N143" s="7"/>
      <c r="O143" s="5" t="s">
        <v>553</v>
      </c>
      <c r="P143" s="8">
        <v>467.44</v>
      </c>
      <c r="Q143" s="8">
        <f t="shared" si="2"/>
        <v>197291.62</v>
      </c>
    </row>
    <row r="144" spans="1:17" x14ac:dyDescent="0.25">
      <c r="A144" s="5"/>
      <c r="B144" s="5"/>
      <c r="C144" s="5"/>
      <c r="D144" s="5"/>
      <c r="E144" s="5"/>
      <c r="F144" s="5"/>
      <c r="G144" s="5"/>
      <c r="H144" s="5" t="s">
        <v>23</v>
      </c>
      <c r="I144" s="6">
        <v>44769</v>
      </c>
      <c r="J144" s="5" t="s">
        <v>151</v>
      </c>
      <c r="K144" s="5" t="s">
        <v>411</v>
      </c>
      <c r="L144" s="5"/>
      <c r="M144" s="5"/>
      <c r="N144" s="7"/>
      <c r="O144" s="5" t="s">
        <v>553</v>
      </c>
      <c r="P144" s="8">
        <v>2250</v>
      </c>
      <c r="Q144" s="8">
        <f t="shared" si="2"/>
        <v>199541.62</v>
      </c>
    </row>
    <row r="145" spans="1:17" x14ac:dyDescent="0.25">
      <c r="A145" s="5"/>
      <c r="B145" s="5"/>
      <c r="C145" s="5"/>
      <c r="D145" s="5"/>
      <c r="E145" s="5"/>
      <c r="F145" s="5"/>
      <c r="G145" s="5"/>
      <c r="H145" s="5" t="s">
        <v>23</v>
      </c>
      <c r="I145" s="6">
        <v>44769</v>
      </c>
      <c r="J145" s="5" t="s">
        <v>152</v>
      </c>
      <c r="K145" s="5" t="s">
        <v>413</v>
      </c>
      <c r="L145" s="5"/>
      <c r="M145" s="5"/>
      <c r="N145" s="7"/>
      <c r="O145" s="5" t="s">
        <v>553</v>
      </c>
      <c r="P145" s="8">
        <v>60</v>
      </c>
      <c r="Q145" s="8">
        <f t="shared" si="2"/>
        <v>199601.62</v>
      </c>
    </row>
    <row r="146" spans="1:17" x14ac:dyDescent="0.25">
      <c r="A146" s="5"/>
      <c r="B146" s="5"/>
      <c r="C146" s="5"/>
      <c r="D146" s="5"/>
      <c r="E146" s="5"/>
      <c r="F146" s="5"/>
      <c r="G146" s="5"/>
      <c r="H146" s="5" t="s">
        <v>23</v>
      </c>
      <c r="I146" s="6">
        <v>44771</v>
      </c>
      <c r="J146" s="5" t="s">
        <v>153</v>
      </c>
      <c r="K146" s="5" t="s">
        <v>413</v>
      </c>
      <c r="L146" s="5"/>
      <c r="M146" s="5"/>
      <c r="N146" s="7"/>
      <c r="O146" s="5" t="s">
        <v>553</v>
      </c>
      <c r="P146" s="8">
        <v>343.15</v>
      </c>
      <c r="Q146" s="8">
        <f t="shared" si="2"/>
        <v>199944.77</v>
      </c>
    </row>
    <row r="147" spans="1:17" x14ac:dyDescent="0.25">
      <c r="A147" s="5"/>
      <c r="B147" s="5"/>
      <c r="C147" s="5"/>
      <c r="D147" s="5"/>
      <c r="E147" s="5"/>
      <c r="F147" s="5"/>
      <c r="G147" s="5"/>
      <c r="H147" s="5" t="s">
        <v>23</v>
      </c>
      <c r="I147" s="6">
        <v>44771</v>
      </c>
      <c r="J147" s="5" t="s">
        <v>154</v>
      </c>
      <c r="K147" s="5" t="s">
        <v>413</v>
      </c>
      <c r="L147" s="5"/>
      <c r="M147" s="5"/>
      <c r="N147" s="7"/>
      <c r="O147" s="5" t="s">
        <v>553</v>
      </c>
      <c r="P147" s="8">
        <v>772.54</v>
      </c>
      <c r="Q147" s="8">
        <f t="shared" si="2"/>
        <v>200717.31</v>
      </c>
    </row>
    <row r="148" spans="1:17" x14ac:dyDescent="0.25">
      <c r="A148" s="5"/>
      <c r="B148" s="5"/>
      <c r="C148" s="5"/>
      <c r="D148" s="5"/>
      <c r="E148" s="5"/>
      <c r="F148" s="5"/>
      <c r="G148" s="5"/>
      <c r="H148" s="5" t="s">
        <v>23</v>
      </c>
      <c r="I148" s="6">
        <v>44771</v>
      </c>
      <c r="J148" s="5" t="s">
        <v>155</v>
      </c>
      <c r="K148" s="5" t="s">
        <v>413</v>
      </c>
      <c r="L148" s="5"/>
      <c r="M148" s="5"/>
      <c r="N148" s="7"/>
      <c r="O148" s="5" t="s">
        <v>553</v>
      </c>
      <c r="P148" s="8">
        <v>761.88</v>
      </c>
      <c r="Q148" s="8">
        <f t="shared" si="2"/>
        <v>201479.19</v>
      </c>
    </row>
    <row r="149" spans="1:17" x14ac:dyDescent="0.25">
      <c r="A149" s="5"/>
      <c r="B149" s="5"/>
      <c r="C149" s="5"/>
      <c r="D149" s="5"/>
      <c r="E149" s="5"/>
      <c r="F149" s="5"/>
      <c r="G149" s="5"/>
      <c r="H149" s="5" t="s">
        <v>23</v>
      </c>
      <c r="I149" s="6">
        <v>44771</v>
      </c>
      <c r="J149" s="5" t="s">
        <v>156</v>
      </c>
      <c r="K149" s="5" t="s">
        <v>413</v>
      </c>
      <c r="L149" s="5"/>
      <c r="M149" s="5"/>
      <c r="N149" s="7"/>
      <c r="O149" s="5" t="s">
        <v>553</v>
      </c>
      <c r="P149" s="8">
        <v>932.1</v>
      </c>
      <c r="Q149" s="8">
        <f t="shared" si="2"/>
        <v>202411.29</v>
      </c>
    </row>
    <row r="150" spans="1:17" x14ac:dyDescent="0.25">
      <c r="A150" s="5"/>
      <c r="B150" s="5"/>
      <c r="C150" s="5"/>
      <c r="D150" s="5"/>
      <c r="E150" s="5"/>
      <c r="F150" s="5"/>
      <c r="G150" s="5"/>
      <c r="H150" s="5" t="s">
        <v>23</v>
      </c>
      <c r="I150" s="6">
        <v>44771</v>
      </c>
      <c r="J150" s="5" t="s">
        <v>157</v>
      </c>
      <c r="K150" s="5" t="s">
        <v>412</v>
      </c>
      <c r="L150" s="5"/>
      <c r="M150" s="5"/>
      <c r="N150" s="7"/>
      <c r="O150" s="5" t="s">
        <v>553</v>
      </c>
      <c r="P150" s="8">
        <v>1207.6400000000001</v>
      </c>
      <c r="Q150" s="8">
        <f t="shared" si="2"/>
        <v>203618.93</v>
      </c>
    </row>
    <row r="151" spans="1:17" x14ac:dyDescent="0.25">
      <c r="A151" s="5"/>
      <c r="B151" s="5"/>
      <c r="C151" s="5"/>
      <c r="D151" s="5"/>
      <c r="E151" s="5"/>
      <c r="F151" s="5"/>
      <c r="G151" s="5"/>
      <c r="H151" s="5" t="s">
        <v>23</v>
      </c>
      <c r="I151" s="6">
        <v>44771</v>
      </c>
      <c r="J151" s="5" t="s">
        <v>158</v>
      </c>
      <c r="K151" s="5" t="s">
        <v>412</v>
      </c>
      <c r="L151" s="5"/>
      <c r="M151" s="5"/>
      <c r="N151" s="7"/>
      <c r="O151" s="5" t="s">
        <v>553</v>
      </c>
      <c r="P151" s="8">
        <v>552.61</v>
      </c>
      <c r="Q151" s="8">
        <f t="shared" si="2"/>
        <v>204171.54</v>
      </c>
    </row>
    <row r="152" spans="1:17" x14ac:dyDescent="0.25">
      <c r="A152" s="5"/>
      <c r="B152" s="5"/>
      <c r="C152" s="5"/>
      <c r="D152" s="5"/>
      <c r="E152" s="5"/>
      <c r="F152" s="5"/>
      <c r="G152" s="5"/>
      <c r="H152" s="5" t="s">
        <v>23</v>
      </c>
      <c r="I152" s="6">
        <v>44774</v>
      </c>
      <c r="J152" s="5" t="s">
        <v>159</v>
      </c>
      <c r="K152" s="5" t="s">
        <v>419</v>
      </c>
      <c r="L152" s="5" t="s">
        <v>482</v>
      </c>
      <c r="M152" s="5"/>
      <c r="N152" s="7"/>
      <c r="O152" s="5" t="s">
        <v>553</v>
      </c>
      <c r="P152" s="8">
        <v>0</v>
      </c>
      <c r="Q152" s="8">
        <f t="shared" si="2"/>
        <v>204171.54</v>
      </c>
    </row>
    <row r="153" spans="1:17" x14ac:dyDescent="0.25">
      <c r="A153" s="5"/>
      <c r="B153" s="5"/>
      <c r="C153" s="5"/>
      <c r="D153" s="5"/>
      <c r="E153" s="5"/>
      <c r="F153" s="5"/>
      <c r="G153" s="5"/>
      <c r="H153" s="5" t="s">
        <v>23</v>
      </c>
      <c r="I153" s="6">
        <v>44774</v>
      </c>
      <c r="J153" s="5" t="s">
        <v>159</v>
      </c>
      <c r="K153" s="5" t="s">
        <v>419</v>
      </c>
      <c r="L153" s="5" t="s">
        <v>483</v>
      </c>
      <c r="M153" s="5"/>
      <c r="N153" s="7"/>
      <c r="O153" s="5" t="s">
        <v>553</v>
      </c>
      <c r="P153" s="8">
        <v>0</v>
      </c>
      <c r="Q153" s="8">
        <f t="shared" si="2"/>
        <v>204171.54</v>
      </c>
    </row>
    <row r="154" spans="1:17" x14ac:dyDescent="0.25">
      <c r="A154" s="5"/>
      <c r="B154" s="5"/>
      <c r="C154" s="5"/>
      <c r="D154" s="5"/>
      <c r="E154" s="5"/>
      <c r="F154" s="5"/>
      <c r="G154" s="5"/>
      <c r="H154" s="5" t="s">
        <v>23</v>
      </c>
      <c r="I154" s="6">
        <v>44774</v>
      </c>
      <c r="J154" s="5" t="s">
        <v>159</v>
      </c>
      <c r="K154" s="5" t="s">
        <v>419</v>
      </c>
      <c r="L154" s="5" t="s">
        <v>484</v>
      </c>
      <c r="M154" s="5"/>
      <c r="N154" s="7"/>
      <c r="O154" s="5" t="s">
        <v>553</v>
      </c>
      <c r="P154" s="8">
        <v>0</v>
      </c>
      <c r="Q154" s="8">
        <f t="shared" si="2"/>
        <v>204171.54</v>
      </c>
    </row>
    <row r="155" spans="1:17" x14ac:dyDescent="0.25">
      <c r="A155" s="5"/>
      <c r="B155" s="5"/>
      <c r="C155" s="5"/>
      <c r="D155" s="5"/>
      <c r="E155" s="5"/>
      <c r="F155" s="5"/>
      <c r="G155" s="5"/>
      <c r="H155" s="5" t="s">
        <v>23</v>
      </c>
      <c r="I155" s="6">
        <v>44774</v>
      </c>
      <c r="J155" s="5" t="s">
        <v>159</v>
      </c>
      <c r="K155" s="5" t="s">
        <v>419</v>
      </c>
      <c r="L155" s="5" t="s">
        <v>485</v>
      </c>
      <c r="M155" s="5"/>
      <c r="N155" s="7"/>
      <c r="O155" s="5" t="s">
        <v>553</v>
      </c>
      <c r="P155" s="8">
        <v>0</v>
      </c>
      <c r="Q155" s="8">
        <f t="shared" si="2"/>
        <v>204171.54</v>
      </c>
    </row>
    <row r="156" spans="1:17" x14ac:dyDescent="0.25">
      <c r="A156" s="5"/>
      <c r="B156" s="5"/>
      <c r="C156" s="5"/>
      <c r="D156" s="5"/>
      <c r="E156" s="5"/>
      <c r="F156" s="5"/>
      <c r="G156" s="5"/>
      <c r="H156" s="5" t="s">
        <v>23</v>
      </c>
      <c r="I156" s="6">
        <v>44774</v>
      </c>
      <c r="J156" s="5" t="s">
        <v>159</v>
      </c>
      <c r="K156" s="5" t="s">
        <v>419</v>
      </c>
      <c r="L156" s="5" t="s">
        <v>486</v>
      </c>
      <c r="M156" s="5"/>
      <c r="N156" s="7"/>
      <c r="O156" s="5" t="s">
        <v>553</v>
      </c>
      <c r="P156" s="8">
        <v>0</v>
      </c>
      <c r="Q156" s="8">
        <f t="shared" si="2"/>
        <v>204171.54</v>
      </c>
    </row>
    <row r="157" spans="1:17" x14ac:dyDescent="0.25">
      <c r="A157" s="5"/>
      <c r="B157" s="5"/>
      <c r="C157" s="5"/>
      <c r="D157" s="5"/>
      <c r="E157" s="5"/>
      <c r="F157" s="5"/>
      <c r="G157" s="5"/>
      <c r="H157" s="5" t="s">
        <v>23</v>
      </c>
      <c r="I157" s="6">
        <v>44774</v>
      </c>
      <c r="J157" s="5" t="s">
        <v>159</v>
      </c>
      <c r="K157" s="5" t="s">
        <v>419</v>
      </c>
      <c r="L157" s="5" t="s">
        <v>487</v>
      </c>
      <c r="M157" s="5"/>
      <c r="N157" s="7"/>
      <c r="O157" s="5" t="s">
        <v>553</v>
      </c>
      <c r="P157" s="8">
        <v>0</v>
      </c>
      <c r="Q157" s="8">
        <f t="shared" si="2"/>
        <v>204171.54</v>
      </c>
    </row>
    <row r="158" spans="1:17" x14ac:dyDescent="0.25">
      <c r="A158" s="5"/>
      <c r="B158" s="5"/>
      <c r="C158" s="5"/>
      <c r="D158" s="5"/>
      <c r="E158" s="5"/>
      <c r="F158" s="5"/>
      <c r="G158" s="5"/>
      <c r="H158" s="5" t="s">
        <v>23</v>
      </c>
      <c r="I158" s="6">
        <v>44774</v>
      </c>
      <c r="J158" s="5" t="s">
        <v>159</v>
      </c>
      <c r="K158" s="5" t="s">
        <v>419</v>
      </c>
      <c r="L158" s="5"/>
      <c r="M158" s="5"/>
      <c r="N158" s="7"/>
      <c r="O158" s="5" t="s">
        <v>553</v>
      </c>
      <c r="P158" s="8">
        <v>1860</v>
      </c>
      <c r="Q158" s="8">
        <f t="shared" si="2"/>
        <v>206031.54</v>
      </c>
    </row>
    <row r="159" spans="1:17" x14ac:dyDescent="0.25">
      <c r="A159" s="5"/>
      <c r="B159" s="5"/>
      <c r="C159" s="5"/>
      <c r="D159" s="5"/>
      <c r="E159" s="5"/>
      <c r="F159" s="5"/>
      <c r="G159" s="5"/>
      <c r="H159" s="5" t="s">
        <v>23</v>
      </c>
      <c r="I159" s="6">
        <v>44775</v>
      </c>
      <c r="J159" s="5" t="s">
        <v>160</v>
      </c>
      <c r="K159" s="5" t="s">
        <v>413</v>
      </c>
      <c r="L159" s="5"/>
      <c r="M159" s="5"/>
      <c r="N159" s="7"/>
      <c r="O159" s="5" t="s">
        <v>553</v>
      </c>
      <c r="P159" s="8">
        <v>1157.73</v>
      </c>
      <c r="Q159" s="8">
        <f t="shared" si="2"/>
        <v>207189.27</v>
      </c>
    </row>
    <row r="160" spans="1:17" x14ac:dyDescent="0.25">
      <c r="A160" s="5"/>
      <c r="B160" s="5"/>
      <c r="C160" s="5"/>
      <c r="D160" s="5"/>
      <c r="E160" s="5"/>
      <c r="F160" s="5"/>
      <c r="G160" s="5"/>
      <c r="H160" s="5" t="s">
        <v>23</v>
      </c>
      <c r="I160" s="6">
        <v>44775</v>
      </c>
      <c r="J160" s="5" t="s">
        <v>161</v>
      </c>
      <c r="K160" s="5" t="s">
        <v>412</v>
      </c>
      <c r="L160" s="5"/>
      <c r="M160" s="5"/>
      <c r="N160" s="7"/>
      <c r="O160" s="5" t="s">
        <v>553</v>
      </c>
      <c r="P160" s="8">
        <v>3195.73</v>
      </c>
      <c r="Q160" s="8">
        <f t="shared" si="2"/>
        <v>210385</v>
      </c>
    </row>
    <row r="161" spans="1:17" x14ac:dyDescent="0.25">
      <c r="A161" s="5"/>
      <c r="B161" s="5"/>
      <c r="C161" s="5"/>
      <c r="D161" s="5"/>
      <c r="E161" s="5"/>
      <c r="F161" s="5"/>
      <c r="G161" s="5"/>
      <c r="H161" s="5" t="s">
        <v>23</v>
      </c>
      <c r="I161" s="6">
        <v>44776</v>
      </c>
      <c r="J161" s="5" t="s">
        <v>162</v>
      </c>
      <c r="K161" s="5" t="s">
        <v>413</v>
      </c>
      <c r="L161" s="5"/>
      <c r="M161" s="5"/>
      <c r="N161" s="7"/>
      <c r="O161" s="5" t="s">
        <v>553</v>
      </c>
      <c r="P161" s="8">
        <v>838.35</v>
      </c>
      <c r="Q161" s="8">
        <f t="shared" si="2"/>
        <v>211223.35</v>
      </c>
    </row>
    <row r="162" spans="1:17" x14ac:dyDescent="0.25">
      <c r="A162" s="5"/>
      <c r="B162" s="5"/>
      <c r="C162" s="5"/>
      <c r="D162" s="5"/>
      <c r="E162" s="5"/>
      <c r="F162" s="5"/>
      <c r="G162" s="5"/>
      <c r="H162" s="5" t="s">
        <v>23</v>
      </c>
      <c r="I162" s="6">
        <v>44776</v>
      </c>
      <c r="J162" s="5" t="s">
        <v>163</v>
      </c>
      <c r="K162" s="5" t="s">
        <v>413</v>
      </c>
      <c r="L162" s="5"/>
      <c r="M162" s="5"/>
      <c r="N162" s="7"/>
      <c r="O162" s="5" t="s">
        <v>553</v>
      </c>
      <c r="P162" s="8">
        <v>51.3</v>
      </c>
      <c r="Q162" s="8">
        <f t="shared" si="2"/>
        <v>211274.65</v>
      </c>
    </row>
    <row r="163" spans="1:17" x14ac:dyDescent="0.25">
      <c r="A163" s="5"/>
      <c r="B163" s="5"/>
      <c r="C163" s="5"/>
      <c r="D163" s="5"/>
      <c r="E163" s="5"/>
      <c r="F163" s="5"/>
      <c r="G163" s="5"/>
      <c r="H163" s="5" t="s">
        <v>23</v>
      </c>
      <c r="I163" s="6">
        <v>44776</v>
      </c>
      <c r="J163" s="5" t="s">
        <v>164</v>
      </c>
      <c r="K163" s="5" t="s">
        <v>413</v>
      </c>
      <c r="L163" s="5"/>
      <c r="M163" s="5"/>
      <c r="N163" s="7"/>
      <c r="O163" s="5" t="s">
        <v>553</v>
      </c>
      <c r="P163" s="8">
        <v>261</v>
      </c>
      <c r="Q163" s="8">
        <f t="shared" si="2"/>
        <v>211535.65</v>
      </c>
    </row>
    <row r="164" spans="1:17" x14ac:dyDescent="0.25">
      <c r="A164" s="5"/>
      <c r="B164" s="5"/>
      <c r="C164" s="5"/>
      <c r="D164" s="5"/>
      <c r="E164" s="5"/>
      <c r="F164" s="5"/>
      <c r="G164" s="5"/>
      <c r="H164" s="5" t="s">
        <v>23</v>
      </c>
      <c r="I164" s="6">
        <v>44776</v>
      </c>
      <c r="J164" s="5" t="s">
        <v>165</v>
      </c>
      <c r="K164" s="5" t="s">
        <v>413</v>
      </c>
      <c r="L164" s="5"/>
      <c r="M164" s="5"/>
      <c r="N164" s="7"/>
      <c r="O164" s="5" t="s">
        <v>553</v>
      </c>
      <c r="P164" s="8">
        <v>76.95</v>
      </c>
      <c r="Q164" s="8">
        <f t="shared" si="2"/>
        <v>211612.6</v>
      </c>
    </row>
    <row r="165" spans="1:17" x14ac:dyDescent="0.25">
      <c r="A165" s="5"/>
      <c r="B165" s="5"/>
      <c r="C165" s="5"/>
      <c r="D165" s="5"/>
      <c r="E165" s="5"/>
      <c r="F165" s="5"/>
      <c r="G165" s="5"/>
      <c r="H165" s="5" t="s">
        <v>23</v>
      </c>
      <c r="I165" s="6">
        <v>44776</v>
      </c>
      <c r="J165" s="5" t="s">
        <v>166</v>
      </c>
      <c r="K165" s="5" t="s">
        <v>413</v>
      </c>
      <c r="L165" s="5"/>
      <c r="M165" s="5"/>
      <c r="N165" s="7"/>
      <c r="O165" s="5" t="s">
        <v>553</v>
      </c>
      <c r="P165" s="8">
        <v>355.77</v>
      </c>
      <c r="Q165" s="8">
        <f t="shared" si="2"/>
        <v>211968.37</v>
      </c>
    </row>
    <row r="166" spans="1:17" x14ac:dyDescent="0.25">
      <c r="A166" s="5"/>
      <c r="B166" s="5"/>
      <c r="C166" s="5"/>
      <c r="D166" s="5"/>
      <c r="E166" s="5"/>
      <c r="F166" s="5"/>
      <c r="G166" s="5"/>
      <c r="H166" s="5" t="s">
        <v>23</v>
      </c>
      <c r="I166" s="6">
        <v>44776</v>
      </c>
      <c r="J166" s="5" t="s">
        <v>167</v>
      </c>
      <c r="K166" s="5" t="s">
        <v>413</v>
      </c>
      <c r="L166" s="5"/>
      <c r="M166" s="5"/>
      <c r="N166" s="7"/>
      <c r="O166" s="5" t="s">
        <v>553</v>
      </c>
      <c r="P166" s="8">
        <v>401.48</v>
      </c>
      <c r="Q166" s="8">
        <f t="shared" si="2"/>
        <v>212369.85</v>
      </c>
    </row>
    <row r="167" spans="1:17" x14ac:dyDescent="0.25">
      <c r="A167" s="5"/>
      <c r="B167" s="5"/>
      <c r="C167" s="5"/>
      <c r="D167" s="5"/>
      <c r="E167" s="5"/>
      <c r="F167" s="5"/>
      <c r="G167" s="5"/>
      <c r="H167" s="5" t="s">
        <v>23</v>
      </c>
      <c r="I167" s="6">
        <v>44776</v>
      </c>
      <c r="J167" s="5" t="s">
        <v>168</v>
      </c>
      <c r="K167" s="5" t="s">
        <v>413</v>
      </c>
      <c r="L167" s="5"/>
      <c r="M167" s="5"/>
      <c r="N167" s="7"/>
      <c r="O167" s="5" t="s">
        <v>553</v>
      </c>
      <c r="P167" s="8">
        <v>546.29999999999995</v>
      </c>
      <c r="Q167" s="8">
        <f t="shared" si="2"/>
        <v>212916.15</v>
      </c>
    </row>
    <row r="168" spans="1:17" x14ac:dyDescent="0.25">
      <c r="A168" s="5"/>
      <c r="B168" s="5"/>
      <c r="C168" s="5"/>
      <c r="D168" s="5"/>
      <c r="E168" s="5"/>
      <c r="F168" s="5"/>
      <c r="G168" s="5"/>
      <c r="H168" s="5" t="s">
        <v>23</v>
      </c>
      <c r="I168" s="6">
        <v>44776</v>
      </c>
      <c r="J168" s="5" t="s">
        <v>169</v>
      </c>
      <c r="K168" s="5" t="s">
        <v>413</v>
      </c>
      <c r="L168" s="5"/>
      <c r="M168" s="5"/>
      <c r="N168" s="7"/>
      <c r="O168" s="5" t="s">
        <v>553</v>
      </c>
      <c r="P168" s="8">
        <v>123.92</v>
      </c>
      <c r="Q168" s="8">
        <f t="shared" si="2"/>
        <v>213040.07</v>
      </c>
    </row>
    <row r="169" spans="1:17" x14ac:dyDescent="0.25">
      <c r="A169" s="5"/>
      <c r="B169" s="5"/>
      <c r="C169" s="5"/>
      <c r="D169" s="5"/>
      <c r="E169" s="5"/>
      <c r="F169" s="5"/>
      <c r="G169" s="5"/>
      <c r="H169" s="5" t="s">
        <v>23</v>
      </c>
      <c r="I169" s="6">
        <v>44776</v>
      </c>
      <c r="J169" s="5" t="s">
        <v>170</v>
      </c>
      <c r="K169" s="5" t="s">
        <v>413</v>
      </c>
      <c r="L169" s="5"/>
      <c r="M169" s="5"/>
      <c r="N169" s="7"/>
      <c r="O169" s="5" t="s">
        <v>553</v>
      </c>
      <c r="P169" s="8">
        <v>908.35</v>
      </c>
      <c r="Q169" s="8">
        <f t="shared" si="2"/>
        <v>213948.42</v>
      </c>
    </row>
    <row r="170" spans="1:17" x14ac:dyDescent="0.25">
      <c r="A170" s="5"/>
      <c r="B170" s="5"/>
      <c r="C170" s="5"/>
      <c r="D170" s="5"/>
      <c r="E170" s="5"/>
      <c r="F170" s="5"/>
      <c r="G170" s="5"/>
      <c r="H170" s="5" t="s">
        <v>23</v>
      </c>
      <c r="I170" s="6">
        <v>44776</v>
      </c>
      <c r="J170" s="5" t="s">
        <v>171</v>
      </c>
      <c r="K170" s="5" t="s">
        <v>412</v>
      </c>
      <c r="L170" s="5"/>
      <c r="M170" s="5"/>
      <c r="N170" s="7"/>
      <c r="O170" s="5" t="s">
        <v>553</v>
      </c>
      <c r="P170" s="8">
        <v>2952.76</v>
      </c>
      <c r="Q170" s="8">
        <f t="shared" si="2"/>
        <v>216901.18</v>
      </c>
    </row>
    <row r="171" spans="1:17" x14ac:dyDescent="0.25">
      <c r="A171" s="5"/>
      <c r="B171" s="5"/>
      <c r="C171" s="5"/>
      <c r="D171" s="5"/>
      <c r="E171" s="5"/>
      <c r="F171" s="5"/>
      <c r="G171" s="5"/>
      <c r="H171" s="5" t="s">
        <v>23</v>
      </c>
      <c r="I171" s="6">
        <v>44776</v>
      </c>
      <c r="J171" s="5" t="s">
        <v>172</v>
      </c>
      <c r="K171" s="5" t="s">
        <v>420</v>
      </c>
      <c r="L171" s="5" t="s">
        <v>488</v>
      </c>
      <c r="M171" s="5"/>
      <c r="N171" s="7"/>
      <c r="O171" s="5" t="s">
        <v>553</v>
      </c>
      <c r="P171" s="8">
        <v>0</v>
      </c>
      <c r="Q171" s="8">
        <f t="shared" si="2"/>
        <v>216901.18</v>
      </c>
    </row>
    <row r="172" spans="1:17" x14ac:dyDescent="0.25">
      <c r="A172" s="5"/>
      <c r="B172" s="5"/>
      <c r="C172" s="5"/>
      <c r="D172" s="5"/>
      <c r="E172" s="5"/>
      <c r="F172" s="5"/>
      <c r="G172" s="5"/>
      <c r="H172" s="5" t="s">
        <v>23</v>
      </c>
      <c r="I172" s="6">
        <v>44776</v>
      </c>
      <c r="J172" s="5" t="s">
        <v>172</v>
      </c>
      <c r="K172" s="5" t="s">
        <v>420</v>
      </c>
      <c r="L172" s="5" t="s">
        <v>489</v>
      </c>
      <c r="M172" s="5"/>
      <c r="N172" s="7"/>
      <c r="O172" s="5" t="s">
        <v>553</v>
      </c>
      <c r="P172" s="8">
        <v>3410</v>
      </c>
      <c r="Q172" s="8">
        <f t="shared" si="2"/>
        <v>220311.18</v>
      </c>
    </row>
    <row r="173" spans="1:17" x14ac:dyDescent="0.25">
      <c r="A173" s="5"/>
      <c r="B173" s="5"/>
      <c r="C173" s="5"/>
      <c r="D173" s="5"/>
      <c r="E173" s="5"/>
      <c r="F173" s="5"/>
      <c r="G173" s="5"/>
      <c r="H173" s="5" t="s">
        <v>23</v>
      </c>
      <c r="I173" s="6">
        <v>44776</v>
      </c>
      <c r="J173" s="5" t="s">
        <v>173</v>
      </c>
      <c r="K173" s="5" t="s">
        <v>421</v>
      </c>
      <c r="L173" s="5" t="s">
        <v>490</v>
      </c>
      <c r="M173" s="5"/>
      <c r="N173" s="7"/>
      <c r="O173" s="5" t="s">
        <v>553</v>
      </c>
      <c r="P173" s="8">
        <v>0</v>
      </c>
      <c r="Q173" s="8">
        <f t="shared" si="2"/>
        <v>220311.18</v>
      </c>
    </row>
    <row r="174" spans="1:17" x14ac:dyDescent="0.25">
      <c r="A174" s="5"/>
      <c r="B174" s="5"/>
      <c r="C174" s="5"/>
      <c r="D174" s="5"/>
      <c r="E174" s="5"/>
      <c r="F174" s="5"/>
      <c r="G174" s="5"/>
      <c r="H174" s="5" t="s">
        <v>23</v>
      </c>
      <c r="I174" s="6">
        <v>44776</v>
      </c>
      <c r="J174" s="5" t="s">
        <v>173</v>
      </c>
      <c r="K174" s="5" t="s">
        <v>421</v>
      </c>
      <c r="L174" s="5" t="s">
        <v>491</v>
      </c>
      <c r="M174" s="5"/>
      <c r="N174" s="7"/>
      <c r="O174" s="5" t="s">
        <v>553</v>
      </c>
      <c r="P174" s="8">
        <v>0</v>
      </c>
      <c r="Q174" s="8">
        <f t="shared" si="2"/>
        <v>220311.18</v>
      </c>
    </row>
    <row r="175" spans="1:17" x14ac:dyDescent="0.25">
      <c r="A175" s="5"/>
      <c r="B175" s="5"/>
      <c r="C175" s="5"/>
      <c r="D175" s="5"/>
      <c r="E175" s="5"/>
      <c r="F175" s="5"/>
      <c r="G175" s="5"/>
      <c r="H175" s="5" t="s">
        <v>23</v>
      </c>
      <c r="I175" s="6">
        <v>44776</v>
      </c>
      <c r="J175" s="5" t="s">
        <v>173</v>
      </c>
      <c r="K175" s="5" t="s">
        <v>421</v>
      </c>
      <c r="L175" s="5" t="s">
        <v>492</v>
      </c>
      <c r="M175" s="5"/>
      <c r="N175" s="7"/>
      <c r="O175" s="5" t="s">
        <v>553</v>
      </c>
      <c r="P175" s="8">
        <v>0</v>
      </c>
      <c r="Q175" s="8">
        <f t="shared" si="2"/>
        <v>220311.18</v>
      </c>
    </row>
    <row r="176" spans="1:17" x14ac:dyDescent="0.25">
      <c r="A176" s="5"/>
      <c r="B176" s="5"/>
      <c r="C176" s="5"/>
      <c r="D176" s="5"/>
      <c r="E176" s="5"/>
      <c r="F176" s="5"/>
      <c r="G176" s="5"/>
      <c r="H176" s="5" t="s">
        <v>23</v>
      </c>
      <c r="I176" s="6">
        <v>44776</v>
      </c>
      <c r="J176" s="5" t="s">
        <v>173</v>
      </c>
      <c r="K176" s="5" t="s">
        <v>421</v>
      </c>
      <c r="L176" s="5"/>
      <c r="M176" s="5"/>
      <c r="N176" s="7"/>
      <c r="O176" s="5" t="s">
        <v>553</v>
      </c>
      <c r="P176" s="8">
        <v>1300</v>
      </c>
      <c r="Q176" s="8">
        <f t="shared" si="2"/>
        <v>221611.18</v>
      </c>
    </row>
    <row r="177" spans="1:17" x14ac:dyDescent="0.25">
      <c r="A177" s="5"/>
      <c r="B177" s="5"/>
      <c r="C177" s="5"/>
      <c r="D177" s="5"/>
      <c r="E177" s="5"/>
      <c r="F177" s="5"/>
      <c r="G177" s="5"/>
      <c r="H177" s="5" t="s">
        <v>23</v>
      </c>
      <c r="I177" s="6">
        <v>44776</v>
      </c>
      <c r="J177" s="5" t="s">
        <v>174</v>
      </c>
      <c r="K177" s="5" t="s">
        <v>413</v>
      </c>
      <c r="L177" s="5"/>
      <c r="M177" s="5"/>
      <c r="N177" s="7"/>
      <c r="O177" s="5" t="s">
        <v>553</v>
      </c>
      <c r="P177" s="8">
        <v>891.52</v>
      </c>
      <c r="Q177" s="8">
        <f t="shared" si="2"/>
        <v>222502.7</v>
      </c>
    </row>
    <row r="178" spans="1:17" x14ac:dyDescent="0.25">
      <c r="A178" s="5"/>
      <c r="B178" s="5"/>
      <c r="C178" s="5"/>
      <c r="D178" s="5"/>
      <c r="E178" s="5"/>
      <c r="F178" s="5"/>
      <c r="G178" s="5"/>
      <c r="H178" s="5" t="s">
        <v>23</v>
      </c>
      <c r="I178" s="6">
        <v>44776</v>
      </c>
      <c r="J178" s="5" t="s">
        <v>175</v>
      </c>
      <c r="K178" s="5" t="s">
        <v>413</v>
      </c>
      <c r="L178" s="5"/>
      <c r="M178" s="5"/>
      <c r="N178" s="7"/>
      <c r="O178" s="5" t="s">
        <v>553</v>
      </c>
      <c r="P178" s="8">
        <v>495.47</v>
      </c>
      <c r="Q178" s="8">
        <f t="shared" si="2"/>
        <v>222998.17</v>
      </c>
    </row>
    <row r="179" spans="1:17" x14ac:dyDescent="0.25">
      <c r="A179" s="5"/>
      <c r="B179" s="5"/>
      <c r="C179" s="5"/>
      <c r="D179" s="5"/>
      <c r="E179" s="5"/>
      <c r="F179" s="5"/>
      <c r="G179" s="5"/>
      <c r="H179" s="5" t="s">
        <v>23</v>
      </c>
      <c r="I179" s="6">
        <v>44777</v>
      </c>
      <c r="J179" s="5" t="s">
        <v>176</v>
      </c>
      <c r="K179" s="5" t="s">
        <v>412</v>
      </c>
      <c r="L179" s="5"/>
      <c r="M179" s="5"/>
      <c r="N179" s="7"/>
      <c r="O179" s="5" t="s">
        <v>553</v>
      </c>
      <c r="P179" s="8">
        <v>1102</v>
      </c>
      <c r="Q179" s="8">
        <f t="shared" si="2"/>
        <v>224100.17</v>
      </c>
    </row>
    <row r="180" spans="1:17" x14ac:dyDescent="0.25">
      <c r="A180" s="5"/>
      <c r="B180" s="5"/>
      <c r="C180" s="5"/>
      <c r="D180" s="5"/>
      <c r="E180" s="5"/>
      <c r="F180" s="5"/>
      <c r="G180" s="5"/>
      <c r="H180" s="5" t="s">
        <v>23</v>
      </c>
      <c r="I180" s="6">
        <v>44778</v>
      </c>
      <c r="J180" s="5" t="s">
        <v>177</v>
      </c>
      <c r="K180" s="5" t="s">
        <v>413</v>
      </c>
      <c r="L180" s="5"/>
      <c r="M180" s="5"/>
      <c r="N180" s="7"/>
      <c r="O180" s="5" t="s">
        <v>553</v>
      </c>
      <c r="P180" s="8">
        <v>687.5</v>
      </c>
      <c r="Q180" s="8">
        <f t="shared" si="2"/>
        <v>224787.67</v>
      </c>
    </row>
    <row r="181" spans="1:17" x14ac:dyDescent="0.25">
      <c r="A181" s="5"/>
      <c r="B181" s="5"/>
      <c r="C181" s="5"/>
      <c r="D181" s="5"/>
      <c r="E181" s="5"/>
      <c r="F181" s="5"/>
      <c r="G181" s="5"/>
      <c r="H181" s="5" t="s">
        <v>23</v>
      </c>
      <c r="I181" s="6">
        <v>44778</v>
      </c>
      <c r="J181" s="5" t="s">
        <v>178</v>
      </c>
      <c r="K181" s="5" t="s">
        <v>413</v>
      </c>
      <c r="L181" s="5"/>
      <c r="M181" s="5"/>
      <c r="N181" s="7"/>
      <c r="O181" s="5" t="s">
        <v>553</v>
      </c>
      <c r="P181" s="8">
        <v>966.81</v>
      </c>
      <c r="Q181" s="8">
        <f t="shared" si="2"/>
        <v>225754.48</v>
      </c>
    </row>
    <row r="182" spans="1:17" x14ac:dyDescent="0.25">
      <c r="A182" s="5"/>
      <c r="B182" s="5"/>
      <c r="C182" s="5"/>
      <c r="D182" s="5"/>
      <c r="E182" s="5"/>
      <c r="F182" s="5"/>
      <c r="G182" s="5"/>
      <c r="H182" s="5" t="s">
        <v>23</v>
      </c>
      <c r="I182" s="6">
        <v>44778</v>
      </c>
      <c r="J182" s="5" t="s">
        <v>179</v>
      </c>
      <c r="K182" s="5" t="s">
        <v>413</v>
      </c>
      <c r="L182" s="5"/>
      <c r="M182" s="5"/>
      <c r="N182" s="7"/>
      <c r="O182" s="5" t="s">
        <v>553</v>
      </c>
      <c r="P182" s="8">
        <v>913.78</v>
      </c>
      <c r="Q182" s="8">
        <f t="shared" si="2"/>
        <v>226668.26</v>
      </c>
    </row>
    <row r="183" spans="1:17" x14ac:dyDescent="0.25">
      <c r="A183" s="5"/>
      <c r="B183" s="5"/>
      <c r="C183" s="5"/>
      <c r="D183" s="5"/>
      <c r="E183" s="5"/>
      <c r="F183" s="5"/>
      <c r="G183" s="5"/>
      <c r="H183" s="5" t="s">
        <v>23</v>
      </c>
      <c r="I183" s="6">
        <v>44778</v>
      </c>
      <c r="J183" s="5" t="s">
        <v>180</v>
      </c>
      <c r="K183" s="5" t="s">
        <v>413</v>
      </c>
      <c r="L183" s="5"/>
      <c r="M183" s="5"/>
      <c r="N183" s="7"/>
      <c r="O183" s="5" t="s">
        <v>553</v>
      </c>
      <c r="P183" s="8">
        <v>880.53</v>
      </c>
      <c r="Q183" s="8">
        <f t="shared" si="2"/>
        <v>227548.79</v>
      </c>
    </row>
    <row r="184" spans="1:17" x14ac:dyDescent="0.25">
      <c r="A184" s="5"/>
      <c r="B184" s="5"/>
      <c r="C184" s="5"/>
      <c r="D184" s="5"/>
      <c r="E184" s="5"/>
      <c r="F184" s="5"/>
      <c r="G184" s="5"/>
      <c r="H184" s="5" t="s">
        <v>23</v>
      </c>
      <c r="I184" s="6">
        <v>44778</v>
      </c>
      <c r="J184" s="5" t="s">
        <v>181</v>
      </c>
      <c r="K184" s="5" t="s">
        <v>413</v>
      </c>
      <c r="L184" s="5"/>
      <c r="M184" s="5"/>
      <c r="N184" s="7"/>
      <c r="O184" s="5" t="s">
        <v>553</v>
      </c>
      <c r="P184" s="8">
        <v>338.14</v>
      </c>
      <c r="Q184" s="8">
        <f t="shared" si="2"/>
        <v>227886.93</v>
      </c>
    </row>
    <row r="185" spans="1:17" x14ac:dyDescent="0.25">
      <c r="A185" s="5"/>
      <c r="B185" s="5"/>
      <c r="C185" s="5"/>
      <c r="D185" s="5"/>
      <c r="E185" s="5"/>
      <c r="F185" s="5"/>
      <c r="G185" s="5"/>
      <c r="H185" s="5" t="s">
        <v>23</v>
      </c>
      <c r="I185" s="6">
        <v>44778</v>
      </c>
      <c r="J185" s="5" t="s">
        <v>182</v>
      </c>
      <c r="K185" s="5" t="s">
        <v>413</v>
      </c>
      <c r="L185" s="5"/>
      <c r="M185" s="5"/>
      <c r="N185" s="7"/>
      <c r="O185" s="5" t="s">
        <v>553</v>
      </c>
      <c r="P185" s="8">
        <v>860.54</v>
      </c>
      <c r="Q185" s="8">
        <f t="shared" si="2"/>
        <v>228747.47</v>
      </c>
    </row>
    <row r="186" spans="1:17" x14ac:dyDescent="0.25">
      <c r="A186" s="5"/>
      <c r="B186" s="5"/>
      <c r="C186" s="5"/>
      <c r="D186" s="5"/>
      <c r="E186" s="5"/>
      <c r="F186" s="5"/>
      <c r="G186" s="5"/>
      <c r="H186" s="5" t="s">
        <v>23</v>
      </c>
      <c r="I186" s="6">
        <v>44778</v>
      </c>
      <c r="J186" s="5" t="s">
        <v>183</v>
      </c>
      <c r="K186" s="5" t="s">
        <v>413</v>
      </c>
      <c r="L186" s="5"/>
      <c r="M186" s="5"/>
      <c r="N186" s="7"/>
      <c r="O186" s="5" t="s">
        <v>553</v>
      </c>
      <c r="P186" s="8">
        <v>943.29</v>
      </c>
      <c r="Q186" s="8">
        <f t="shared" si="2"/>
        <v>229690.76</v>
      </c>
    </row>
    <row r="187" spans="1:17" x14ac:dyDescent="0.25">
      <c r="A187" s="5"/>
      <c r="B187" s="5"/>
      <c r="C187" s="5"/>
      <c r="D187" s="5"/>
      <c r="E187" s="5"/>
      <c r="F187" s="5"/>
      <c r="G187" s="5"/>
      <c r="H187" s="5" t="s">
        <v>23</v>
      </c>
      <c r="I187" s="6">
        <v>44778</v>
      </c>
      <c r="J187" s="5" t="s">
        <v>184</v>
      </c>
      <c r="K187" s="5" t="s">
        <v>413</v>
      </c>
      <c r="L187" s="5"/>
      <c r="M187" s="5"/>
      <c r="N187" s="7"/>
      <c r="O187" s="5" t="s">
        <v>553</v>
      </c>
      <c r="P187" s="8">
        <v>116.95</v>
      </c>
      <c r="Q187" s="8">
        <f t="shared" si="2"/>
        <v>229807.71</v>
      </c>
    </row>
    <row r="188" spans="1:17" x14ac:dyDescent="0.25">
      <c r="A188" s="5"/>
      <c r="B188" s="5"/>
      <c r="C188" s="5"/>
      <c r="D188" s="5"/>
      <c r="E188" s="5"/>
      <c r="F188" s="5"/>
      <c r="G188" s="5"/>
      <c r="H188" s="5" t="s">
        <v>23</v>
      </c>
      <c r="I188" s="6">
        <v>44778</v>
      </c>
      <c r="J188" s="5" t="s">
        <v>185</v>
      </c>
      <c r="K188" s="5" t="s">
        <v>413</v>
      </c>
      <c r="L188" s="5"/>
      <c r="M188" s="5"/>
      <c r="N188" s="7"/>
      <c r="O188" s="5" t="s">
        <v>553</v>
      </c>
      <c r="P188" s="8">
        <v>116.95</v>
      </c>
      <c r="Q188" s="8">
        <f t="shared" si="2"/>
        <v>229924.66</v>
      </c>
    </row>
    <row r="189" spans="1:17" x14ac:dyDescent="0.25">
      <c r="A189" s="5"/>
      <c r="B189" s="5"/>
      <c r="C189" s="5"/>
      <c r="D189" s="5"/>
      <c r="E189" s="5"/>
      <c r="F189" s="5"/>
      <c r="G189" s="5"/>
      <c r="H189" s="5" t="s">
        <v>23</v>
      </c>
      <c r="I189" s="6">
        <v>44778</v>
      </c>
      <c r="J189" s="5" t="s">
        <v>186</v>
      </c>
      <c r="K189" s="5" t="s">
        <v>413</v>
      </c>
      <c r="L189" s="5"/>
      <c r="M189" s="5"/>
      <c r="N189" s="7"/>
      <c r="O189" s="5" t="s">
        <v>553</v>
      </c>
      <c r="P189" s="8">
        <v>91.3</v>
      </c>
      <c r="Q189" s="8">
        <f t="shared" si="2"/>
        <v>230015.96</v>
      </c>
    </row>
    <row r="190" spans="1:17" x14ac:dyDescent="0.25">
      <c r="A190" s="5"/>
      <c r="B190" s="5"/>
      <c r="C190" s="5"/>
      <c r="D190" s="5"/>
      <c r="E190" s="5"/>
      <c r="F190" s="5"/>
      <c r="G190" s="5"/>
      <c r="H190" s="5" t="s">
        <v>23</v>
      </c>
      <c r="I190" s="6">
        <v>44778</v>
      </c>
      <c r="J190" s="5" t="s">
        <v>187</v>
      </c>
      <c r="K190" s="5" t="s">
        <v>413</v>
      </c>
      <c r="L190" s="5"/>
      <c r="M190" s="5"/>
      <c r="N190" s="7"/>
      <c r="O190" s="5" t="s">
        <v>553</v>
      </c>
      <c r="P190" s="8">
        <v>849.88</v>
      </c>
      <c r="Q190" s="8">
        <f t="shared" si="2"/>
        <v>230865.84</v>
      </c>
    </row>
    <row r="191" spans="1:17" x14ac:dyDescent="0.25">
      <c r="A191" s="5"/>
      <c r="B191" s="5"/>
      <c r="C191" s="5"/>
      <c r="D191" s="5"/>
      <c r="E191" s="5"/>
      <c r="F191" s="5"/>
      <c r="G191" s="5"/>
      <c r="H191" s="5" t="s">
        <v>23</v>
      </c>
      <c r="I191" s="6">
        <v>44778</v>
      </c>
      <c r="J191" s="5" t="s">
        <v>188</v>
      </c>
      <c r="K191" s="5" t="s">
        <v>413</v>
      </c>
      <c r="L191" s="5"/>
      <c r="M191" s="5"/>
      <c r="N191" s="7"/>
      <c r="O191" s="5" t="s">
        <v>553</v>
      </c>
      <c r="P191" s="8">
        <v>168.25</v>
      </c>
      <c r="Q191" s="8">
        <f t="shared" si="2"/>
        <v>231034.09</v>
      </c>
    </row>
    <row r="192" spans="1:17" x14ac:dyDescent="0.25">
      <c r="A192" s="5"/>
      <c r="B192" s="5"/>
      <c r="C192" s="5"/>
      <c r="D192" s="5"/>
      <c r="E192" s="5"/>
      <c r="F192" s="5"/>
      <c r="G192" s="5"/>
      <c r="H192" s="5" t="s">
        <v>23</v>
      </c>
      <c r="I192" s="6">
        <v>44778</v>
      </c>
      <c r="J192" s="5" t="s">
        <v>189</v>
      </c>
      <c r="K192" s="5" t="s">
        <v>413</v>
      </c>
      <c r="L192" s="5"/>
      <c r="M192" s="5"/>
      <c r="N192" s="7"/>
      <c r="O192" s="5" t="s">
        <v>553</v>
      </c>
      <c r="P192" s="8">
        <v>702.55</v>
      </c>
      <c r="Q192" s="8">
        <f t="shared" si="2"/>
        <v>231736.64</v>
      </c>
    </row>
    <row r="193" spans="1:17" x14ac:dyDescent="0.25">
      <c r="A193" s="5"/>
      <c r="B193" s="5"/>
      <c r="C193" s="5"/>
      <c r="D193" s="5"/>
      <c r="E193" s="5"/>
      <c r="F193" s="5"/>
      <c r="G193" s="5"/>
      <c r="H193" s="5" t="s">
        <v>23</v>
      </c>
      <c r="I193" s="6">
        <v>44778</v>
      </c>
      <c r="J193" s="5" t="s">
        <v>190</v>
      </c>
      <c r="K193" s="5" t="s">
        <v>413</v>
      </c>
      <c r="L193" s="5"/>
      <c r="M193" s="5"/>
      <c r="N193" s="7"/>
      <c r="O193" s="5" t="s">
        <v>553</v>
      </c>
      <c r="P193" s="8">
        <v>575</v>
      </c>
      <c r="Q193" s="8">
        <f t="shared" si="2"/>
        <v>232311.64</v>
      </c>
    </row>
    <row r="194" spans="1:17" x14ac:dyDescent="0.25">
      <c r="A194" s="5"/>
      <c r="B194" s="5"/>
      <c r="C194" s="5"/>
      <c r="D194" s="5"/>
      <c r="E194" s="5"/>
      <c r="F194" s="5"/>
      <c r="G194" s="5"/>
      <c r="H194" s="5" t="s">
        <v>23</v>
      </c>
      <c r="I194" s="6">
        <v>44778</v>
      </c>
      <c r="J194" s="5" t="s">
        <v>191</v>
      </c>
      <c r="K194" s="5" t="s">
        <v>413</v>
      </c>
      <c r="L194" s="5"/>
      <c r="M194" s="5"/>
      <c r="N194" s="7"/>
      <c r="O194" s="5" t="s">
        <v>553</v>
      </c>
      <c r="P194" s="8">
        <v>310</v>
      </c>
      <c r="Q194" s="8">
        <f t="shared" si="2"/>
        <v>232621.64</v>
      </c>
    </row>
    <row r="195" spans="1:17" x14ac:dyDescent="0.25">
      <c r="A195" s="5"/>
      <c r="B195" s="5"/>
      <c r="C195" s="5"/>
      <c r="D195" s="5"/>
      <c r="E195" s="5"/>
      <c r="F195" s="5"/>
      <c r="G195" s="5"/>
      <c r="H195" s="5" t="s">
        <v>23</v>
      </c>
      <c r="I195" s="6">
        <v>44778</v>
      </c>
      <c r="J195" s="5" t="s">
        <v>192</v>
      </c>
      <c r="K195" s="5" t="s">
        <v>413</v>
      </c>
      <c r="L195" s="5"/>
      <c r="M195" s="5"/>
      <c r="N195" s="7"/>
      <c r="O195" s="5" t="s">
        <v>553</v>
      </c>
      <c r="P195" s="8">
        <v>1020.1</v>
      </c>
      <c r="Q195" s="8">
        <f t="shared" si="2"/>
        <v>233641.74</v>
      </c>
    </row>
    <row r="196" spans="1:17" x14ac:dyDescent="0.25">
      <c r="A196" s="5"/>
      <c r="B196" s="5"/>
      <c r="C196" s="5"/>
      <c r="D196" s="5"/>
      <c r="E196" s="5"/>
      <c r="F196" s="5"/>
      <c r="G196" s="5"/>
      <c r="H196" s="5" t="s">
        <v>23</v>
      </c>
      <c r="I196" s="6">
        <v>44778</v>
      </c>
      <c r="J196" s="5" t="s">
        <v>193</v>
      </c>
      <c r="K196" s="5" t="s">
        <v>413</v>
      </c>
      <c r="L196" s="5"/>
      <c r="M196" s="5"/>
      <c r="N196" s="7"/>
      <c r="O196" s="5" t="s">
        <v>553</v>
      </c>
      <c r="P196" s="8">
        <v>729.6</v>
      </c>
      <c r="Q196" s="8">
        <f t="shared" si="2"/>
        <v>234371.34</v>
      </c>
    </row>
    <row r="197" spans="1:17" x14ac:dyDescent="0.25">
      <c r="A197" s="5"/>
      <c r="B197" s="5"/>
      <c r="C197" s="5"/>
      <c r="D197" s="5"/>
      <c r="E197" s="5"/>
      <c r="F197" s="5"/>
      <c r="G197" s="5"/>
      <c r="H197" s="5" t="s">
        <v>23</v>
      </c>
      <c r="I197" s="6">
        <v>44778</v>
      </c>
      <c r="J197" s="5" t="s">
        <v>194</v>
      </c>
      <c r="K197" s="5" t="s">
        <v>413</v>
      </c>
      <c r="L197" s="5"/>
      <c r="M197" s="5"/>
      <c r="N197" s="7"/>
      <c r="O197" s="5" t="s">
        <v>553</v>
      </c>
      <c r="P197" s="8">
        <v>606.29999999999995</v>
      </c>
      <c r="Q197" s="8">
        <f t="shared" ref="Q197:Q260" si="3">ROUND(Q196+P197,5)</f>
        <v>234977.64</v>
      </c>
    </row>
    <row r="198" spans="1:17" x14ac:dyDescent="0.25">
      <c r="A198" s="5"/>
      <c r="B198" s="5"/>
      <c r="C198" s="5"/>
      <c r="D198" s="5"/>
      <c r="E198" s="5"/>
      <c r="F198" s="5"/>
      <c r="G198" s="5"/>
      <c r="H198" s="5" t="s">
        <v>23</v>
      </c>
      <c r="I198" s="6">
        <v>44778</v>
      </c>
      <c r="J198" s="5" t="s">
        <v>195</v>
      </c>
      <c r="K198" s="5" t="s">
        <v>413</v>
      </c>
      <c r="L198" s="5"/>
      <c r="M198" s="5"/>
      <c r="N198" s="7"/>
      <c r="O198" s="5" t="s">
        <v>553</v>
      </c>
      <c r="P198" s="8">
        <v>933.45</v>
      </c>
      <c r="Q198" s="8">
        <f t="shared" si="3"/>
        <v>235911.09</v>
      </c>
    </row>
    <row r="199" spans="1:17" x14ac:dyDescent="0.25">
      <c r="A199" s="5"/>
      <c r="B199" s="5"/>
      <c r="C199" s="5"/>
      <c r="D199" s="5"/>
      <c r="E199" s="5"/>
      <c r="F199" s="5"/>
      <c r="G199" s="5"/>
      <c r="H199" s="5" t="s">
        <v>23</v>
      </c>
      <c r="I199" s="6">
        <v>44778</v>
      </c>
      <c r="J199" s="5" t="s">
        <v>196</v>
      </c>
      <c r="K199" s="5" t="s">
        <v>413</v>
      </c>
      <c r="L199" s="5"/>
      <c r="M199" s="5"/>
      <c r="N199" s="7"/>
      <c r="O199" s="5" t="s">
        <v>553</v>
      </c>
      <c r="P199" s="8">
        <v>831.52</v>
      </c>
      <c r="Q199" s="8">
        <f t="shared" si="3"/>
        <v>236742.61</v>
      </c>
    </row>
    <row r="200" spans="1:17" x14ac:dyDescent="0.25">
      <c r="A200" s="5"/>
      <c r="B200" s="5"/>
      <c r="C200" s="5"/>
      <c r="D200" s="5"/>
      <c r="E200" s="5"/>
      <c r="F200" s="5"/>
      <c r="G200" s="5"/>
      <c r="H200" s="5" t="s">
        <v>23</v>
      </c>
      <c r="I200" s="6">
        <v>44778</v>
      </c>
      <c r="J200" s="5" t="s">
        <v>197</v>
      </c>
      <c r="K200" s="5" t="s">
        <v>412</v>
      </c>
      <c r="L200" s="5"/>
      <c r="M200" s="5"/>
      <c r="N200" s="7"/>
      <c r="O200" s="5" t="s">
        <v>553</v>
      </c>
      <c r="P200" s="8">
        <v>44.13</v>
      </c>
      <c r="Q200" s="8">
        <f t="shared" si="3"/>
        <v>236786.74</v>
      </c>
    </row>
    <row r="201" spans="1:17" x14ac:dyDescent="0.25">
      <c r="A201" s="5"/>
      <c r="B201" s="5"/>
      <c r="C201" s="5"/>
      <c r="D201" s="5"/>
      <c r="E201" s="5"/>
      <c r="F201" s="5"/>
      <c r="G201" s="5"/>
      <c r="H201" s="5" t="s">
        <v>23</v>
      </c>
      <c r="I201" s="6">
        <v>44778</v>
      </c>
      <c r="J201" s="5" t="s">
        <v>198</v>
      </c>
      <c r="K201" s="5" t="s">
        <v>413</v>
      </c>
      <c r="L201" s="5"/>
      <c r="M201" s="5"/>
      <c r="N201" s="7"/>
      <c r="O201" s="5" t="s">
        <v>553</v>
      </c>
      <c r="P201" s="8">
        <v>507.41</v>
      </c>
      <c r="Q201" s="8">
        <f t="shared" si="3"/>
        <v>237294.15</v>
      </c>
    </row>
    <row r="202" spans="1:17" x14ac:dyDescent="0.25">
      <c r="A202" s="5"/>
      <c r="B202" s="5"/>
      <c r="C202" s="5"/>
      <c r="D202" s="5"/>
      <c r="E202" s="5"/>
      <c r="F202" s="5"/>
      <c r="G202" s="5"/>
      <c r="H202" s="5" t="s">
        <v>23</v>
      </c>
      <c r="I202" s="6">
        <v>44780</v>
      </c>
      <c r="J202" s="5" t="s">
        <v>199</v>
      </c>
      <c r="K202" s="5" t="s">
        <v>413</v>
      </c>
      <c r="L202" s="5"/>
      <c r="M202" s="5"/>
      <c r="N202" s="7"/>
      <c r="O202" s="5" t="s">
        <v>553</v>
      </c>
      <c r="P202" s="8">
        <v>596.95000000000005</v>
      </c>
      <c r="Q202" s="8">
        <f t="shared" si="3"/>
        <v>237891.1</v>
      </c>
    </row>
    <row r="203" spans="1:17" x14ac:dyDescent="0.25">
      <c r="A203" s="5"/>
      <c r="B203" s="5"/>
      <c r="C203" s="5"/>
      <c r="D203" s="5"/>
      <c r="E203" s="5"/>
      <c r="F203" s="5"/>
      <c r="G203" s="5"/>
      <c r="H203" s="5" t="s">
        <v>23</v>
      </c>
      <c r="I203" s="6">
        <v>44780</v>
      </c>
      <c r="J203" s="5" t="s">
        <v>200</v>
      </c>
      <c r="K203" s="5" t="s">
        <v>413</v>
      </c>
      <c r="L203" s="5"/>
      <c r="M203" s="5"/>
      <c r="N203" s="7"/>
      <c r="O203" s="5" t="s">
        <v>553</v>
      </c>
      <c r="P203" s="8">
        <v>580.65</v>
      </c>
      <c r="Q203" s="8">
        <f t="shared" si="3"/>
        <v>238471.75</v>
      </c>
    </row>
    <row r="204" spans="1:17" x14ac:dyDescent="0.25">
      <c r="A204" s="5"/>
      <c r="B204" s="5"/>
      <c r="C204" s="5"/>
      <c r="D204" s="5"/>
      <c r="E204" s="5"/>
      <c r="F204" s="5"/>
      <c r="G204" s="5"/>
      <c r="H204" s="5" t="s">
        <v>23</v>
      </c>
      <c r="I204" s="6">
        <v>44782</v>
      </c>
      <c r="J204" s="5" t="s">
        <v>201</v>
      </c>
      <c r="K204" s="5" t="s">
        <v>413</v>
      </c>
      <c r="L204" s="5"/>
      <c r="M204" s="5"/>
      <c r="N204" s="7"/>
      <c r="O204" s="5" t="s">
        <v>553</v>
      </c>
      <c r="P204" s="8">
        <v>1663.06</v>
      </c>
      <c r="Q204" s="8">
        <f t="shared" si="3"/>
        <v>240134.81</v>
      </c>
    </row>
    <row r="205" spans="1:17" x14ac:dyDescent="0.25">
      <c r="A205" s="5"/>
      <c r="B205" s="5"/>
      <c r="C205" s="5"/>
      <c r="D205" s="5"/>
      <c r="E205" s="5"/>
      <c r="F205" s="5"/>
      <c r="G205" s="5"/>
      <c r="H205" s="5" t="s">
        <v>23</v>
      </c>
      <c r="I205" s="6">
        <v>44782</v>
      </c>
      <c r="J205" s="5" t="s">
        <v>202</v>
      </c>
      <c r="K205" s="5" t="s">
        <v>413</v>
      </c>
      <c r="L205" s="5"/>
      <c r="M205" s="5"/>
      <c r="N205" s="7"/>
      <c r="O205" s="5" t="s">
        <v>553</v>
      </c>
      <c r="P205" s="8">
        <v>420.42</v>
      </c>
      <c r="Q205" s="8">
        <f t="shared" si="3"/>
        <v>240555.23</v>
      </c>
    </row>
    <row r="206" spans="1:17" x14ac:dyDescent="0.25">
      <c r="A206" s="5"/>
      <c r="B206" s="5"/>
      <c r="C206" s="5"/>
      <c r="D206" s="5"/>
      <c r="E206" s="5"/>
      <c r="F206" s="5"/>
      <c r="G206" s="5"/>
      <c r="H206" s="5" t="s">
        <v>23</v>
      </c>
      <c r="I206" s="6">
        <v>44782</v>
      </c>
      <c r="J206" s="5" t="s">
        <v>203</v>
      </c>
      <c r="K206" s="5" t="s">
        <v>413</v>
      </c>
      <c r="L206" s="5"/>
      <c r="M206" s="5"/>
      <c r="N206" s="7"/>
      <c r="O206" s="5" t="s">
        <v>553</v>
      </c>
      <c r="P206" s="8">
        <v>595</v>
      </c>
      <c r="Q206" s="8">
        <f t="shared" si="3"/>
        <v>241150.23</v>
      </c>
    </row>
    <row r="207" spans="1:17" x14ac:dyDescent="0.25">
      <c r="A207" s="5"/>
      <c r="B207" s="5"/>
      <c r="C207" s="5"/>
      <c r="D207" s="5"/>
      <c r="E207" s="5"/>
      <c r="F207" s="5"/>
      <c r="G207" s="5"/>
      <c r="H207" s="5" t="s">
        <v>23</v>
      </c>
      <c r="I207" s="6">
        <v>44782</v>
      </c>
      <c r="J207" s="5" t="s">
        <v>204</v>
      </c>
      <c r="K207" s="5" t="s">
        <v>413</v>
      </c>
      <c r="L207" s="5"/>
      <c r="M207" s="5"/>
      <c r="N207" s="7"/>
      <c r="O207" s="5" t="s">
        <v>553</v>
      </c>
      <c r="P207" s="8">
        <v>765.56</v>
      </c>
      <c r="Q207" s="8">
        <f t="shared" si="3"/>
        <v>241915.79</v>
      </c>
    </row>
    <row r="208" spans="1:17" x14ac:dyDescent="0.25">
      <c r="A208" s="5"/>
      <c r="B208" s="5"/>
      <c r="C208" s="5"/>
      <c r="D208" s="5"/>
      <c r="E208" s="5"/>
      <c r="F208" s="5"/>
      <c r="G208" s="5"/>
      <c r="H208" s="5" t="s">
        <v>23</v>
      </c>
      <c r="I208" s="6">
        <v>44782</v>
      </c>
      <c r="J208" s="5" t="s">
        <v>205</v>
      </c>
      <c r="K208" s="5" t="s">
        <v>413</v>
      </c>
      <c r="L208" s="5"/>
      <c r="M208" s="5"/>
      <c r="N208" s="7"/>
      <c r="O208" s="5" t="s">
        <v>553</v>
      </c>
      <c r="P208" s="8">
        <v>961.52</v>
      </c>
      <c r="Q208" s="8">
        <f t="shared" si="3"/>
        <v>242877.31</v>
      </c>
    </row>
    <row r="209" spans="1:17" x14ac:dyDescent="0.25">
      <c r="A209" s="5"/>
      <c r="B209" s="5"/>
      <c r="C209" s="5"/>
      <c r="D209" s="5"/>
      <c r="E209" s="5"/>
      <c r="F209" s="5"/>
      <c r="G209" s="5"/>
      <c r="H209" s="5" t="s">
        <v>23</v>
      </c>
      <c r="I209" s="6">
        <v>44782</v>
      </c>
      <c r="J209" s="5" t="s">
        <v>206</v>
      </c>
      <c r="K209" s="5" t="s">
        <v>412</v>
      </c>
      <c r="L209" s="5"/>
      <c r="M209" s="5"/>
      <c r="N209" s="7"/>
      <c r="O209" s="5" t="s">
        <v>553</v>
      </c>
      <c r="P209" s="8">
        <v>95</v>
      </c>
      <c r="Q209" s="8">
        <f t="shared" si="3"/>
        <v>242972.31</v>
      </c>
    </row>
    <row r="210" spans="1:17" x14ac:dyDescent="0.25">
      <c r="A210" s="5"/>
      <c r="B210" s="5"/>
      <c r="C210" s="5"/>
      <c r="D210" s="5"/>
      <c r="E210" s="5"/>
      <c r="F210" s="5"/>
      <c r="G210" s="5"/>
      <c r="H210" s="5" t="s">
        <v>23</v>
      </c>
      <c r="I210" s="6">
        <v>44783</v>
      </c>
      <c r="J210" s="5" t="s">
        <v>207</v>
      </c>
      <c r="K210" s="5" t="s">
        <v>412</v>
      </c>
      <c r="L210" s="5"/>
      <c r="M210" s="5"/>
      <c r="N210" s="7"/>
      <c r="O210" s="5" t="s">
        <v>553</v>
      </c>
      <c r="P210" s="8">
        <v>750</v>
      </c>
      <c r="Q210" s="8">
        <f t="shared" si="3"/>
        <v>243722.31</v>
      </c>
    </row>
    <row r="211" spans="1:17" x14ac:dyDescent="0.25">
      <c r="A211" s="5"/>
      <c r="B211" s="5"/>
      <c r="C211" s="5"/>
      <c r="D211" s="5"/>
      <c r="E211" s="5"/>
      <c r="F211" s="5"/>
      <c r="G211" s="5"/>
      <c r="H211" s="5" t="s">
        <v>23</v>
      </c>
      <c r="I211" s="6">
        <v>44783</v>
      </c>
      <c r="J211" s="5" t="s">
        <v>208</v>
      </c>
      <c r="K211" s="5" t="s">
        <v>412</v>
      </c>
      <c r="L211" s="5"/>
      <c r="M211" s="5"/>
      <c r="N211" s="7"/>
      <c r="O211" s="5" t="s">
        <v>553</v>
      </c>
      <c r="P211" s="8">
        <v>250</v>
      </c>
      <c r="Q211" s="8">
        <f t="shared" si="3"/>
        <v>243972.31</v>
      </c>
    </row>
    <row r="212" spans="1:17" x14ac:dyDescent="0.25">
      <c r="A212" s="5"/>
      <c r="B212" s="5"/>
      <c r="C212" s="5"/>
      <c r="D212" s="5"/>
      <c r="E212" s="5"/>
      <c r="F212" s="5"/>
      <c r="G212" s="5"/>
      <c r="H212" s="5" t="s">
        <v>23</v>
      </c>
      <c r="I212" s="6">
        <v>44784</v>
      </c>
      <c r="J212" s="5" t="s">
        <v>209</v>
      </c>
      <c r="K212" s="5" t="s">
        <v>413</v>
      </c>
      <c r="L212" s="5"/>
      <c r="M212" s="5"/>
      <c r="N212" s="7"/>
      <c r="O212" s="5" t="s">
        <v>553</v>
      </c>
      <c r="P212" s="8">
        <v>765.95</v>
      </c>
      <c r="Q212" s="8">
        <f t="shared" si="3"/>
        <v>244738.26</v>
      </c>
    </row>
    <row r="213" spans="1:17" x14ac:dyDescent="0.25">
      <c r="A213" s="5"/>
      <c r="B213" s="5"/>
      <c r="C213" s="5"/>
      <c r="D213" s="5"/>
      <c r="E213" s="5"/>
      <c r="F213" s="5"/>
      <c r="G213" s="5"/>
      <c r="H213" s="5" t="s">
        <v>23</v>
      </c>
      <c r="I213" s="6">
        <v>44784</v>
      </c>
      <c r="J213" s="5" t="s">
        <v>210</v>
      </c>
      <c r="K213" s="5" t="s">
        <v>413</v>
      </c>
      <c r="L213" s="5"/>
      <c r="M213" s="5"/>
      <c r="N213" s="7"/>
      <c r="O213" s="5" t="s">
        <v>553</v>
      </c>
      <c r="P213" s="8">
        <v>743.52</v>
      </c>
      <c r="Q213" s="8">
        <f t="shared" si="3"/>
        <v>245481.78</v>
      </c>
    </row>
    <row r="214" spans="1:17" x14ac:dyDescent="0.25">
      <c r="A214" s="5"/>
      <c r="B214" s="5"/>
      <c r="C214" s="5"/>
      <c r="D214" s="5"/>
      <c r="E214" s="5"/>
      <c r="F214" s="5"/>
      <c r="G214" s="5"/>
      <c r="H214" s="5" t="s">
        <v>23</v>
      </c>
      <c r="I214" s="6">
        <v>44784</v>
      </c>
      <c r="J214" s="5" t="s">
        <v>211</v>
      </c>
      <c r="K214" s="5" t="s">
        <v>413</v>
      </c>
      <c r="L214" s="5"/>
      <c r="M214" s="5"/>
      <c r="N214" s="7"/>
      <c r="O214" s="5" t="s">
        <v>553</v>
      </c>
      <c r="P214" s="8">
        <v>236.35</v>
      </c>
      <c r="Q214" s="8">
        <f t="shared" si="3"/>
        <v>245718.13</v>
      </c>
    </row>
    <row r="215" spans="1:17" x14ac:dyDescent="0.25">
      <c r="A215" s="5"/>
      <c r="B215" s="5"/>
      <c r="C215" s="5"/>
      <c r="D215" s="5"/>
      <c r="E215" s="5"/>
      <c r="F215" s="5"/>
      <c r="G215" s="5"/>
      <c r="H215" s="5" t="s">
        <v>23</v>
      </c>
      <c r="I215" s="6">
        <v>44784</v>
      </c>
      <c r="J215" s="5" t="s">
        <v>212</v>
      </c>
      <c r="K215" s="5" t="s">
        <v>413</v>
      </c>
      <c r="L215" s="5"/>
      <c r="M215" s="5"/>
      <c r="N215" s="7"/>
      <c r="O215" s="5" t="s">
        <v>553</v>
      </c>
      <c r="P215" s="8">
        <v>944.62</v>
      </c>
      <c r="Q215" s="8">
        <f t="shared" si="3"/>
        <v>246662.75</v>
      </c>
    </row>
    <row r="216" spans="1:17" x14ac:dyDescent="0.25">
      <c r="A216" s="5"/>
      <c r="B216" s="5"/>
      <c r="C216" s="5"/>
      <c r="D216" s="5"/>
      <c r="E216" s="5"/>
      <c r="F216" s="5"/>
      <c r="G216" s="5"/>
      <c r="H216" s="5" t="s">
        <v>23</v>
      </c>
      <c r="I216" s="6">
        <v>44784</v>
      </c>
      <c r="J216" s="5" t="s">
        <v>213</v>
      </c>
      <c r="K216" s="5" t="s">
        <v>412</v>
      </c>
      <c r="L216" s="5"/>
      <c r="M216" s="5"/>
      <c r="N216" s="7"/>
      <c r="O216" s="5" t="s">
        <v>553</v>
      </c>
      <c r="P216" s="8">
        <v>1017.5</v>
      </c>
      <c r="Q216" s="8">
        <f t="shared" si="3"/>
        <v>247680.25</v>
      </c>
    </row>
    <row r="217" spans="1:17" x14ac:dyDescent="0.25">
      <c r="A217" s="5"/>
      <c r="B217" s="5"/>
      <c r="C217" s="5"/>
      <c r="D217" s="5"/>
      <c r="E217" s="5"/>
      <c r="F217" s="5"/>
      <c r="G217" s="5"/>
      <c r="H217" s="5" t="s">
        <v>23</v>
      </c>
      <c r="I217" s="6">
        <v>44784</v>
      </c>
      <c r="J217" s="5" t="s">
        <v>214</v>
      </c>
      <c r="K217" s="5" t="s">
        <v>412</v>
      </c>
      <c r="L217" s="5"/>
      <c r="M217" s="5"/>
      <c r="N217" s="7"/>
      <c r="O217" s="5" t="s">
        <v>553</v>
      </c>
      <c r="P217" s="8">
        <v>237.56</v>
      </c>
      <c r="Q217" s="8">
        <f t="shared" si="3"/>
        <v>247917.81</v>
      </c>
    </row>
    <row r="218" spans="1:17" x14ac:dyDescent="0.25">
      <c r="A218" s="5"/>
      <c r="B218" s="5"/>
      <c r="C218" s="5"/>
      <c r="D218" s="5"/>
      <c r="E218" s="5"/>
      <c r="F218" s="5"/>
      <c r="G218" s="5"/>
      <c r="H218" s="5" t="s">
        <v>23</v>
      </c>
      <c r="I218" s="6">
        <v>44784</v>
      </c>
      <c r="J218" s="5" t="s">
        <v>215</v>
      </c>
      <c r="K218" s="5" t="s">
        <v>413</v>
      </c>
      <c r="L218" s="5"/>
      <c r="M218" s="5"/>
      <c r="N218" s="7"/>
      <c r="O218" s="5" t="s">
        <v>553</v>
      </c>
      <c r="P218" s="8">
        <v>60</v>
      </c>
      <c r="Q218" s="8">
        <f t="shared" si="3"/>
        <v>247977.81</v>
      </c>
    </row>
    <row r="219" spans="1:17" x14ac:dyDescent="0.25">
      <c r="A219" s="5"/>
      <c r="B219" s="5"/>
      <c r="C219" s="5"/>
      <c r="D219" s="5"/>
      <c r="E219" s="5"/>
      <c r="F219" s="5"/>
      <c r="G219" s="5"/>
      <c r="H219" s="5" t="s">
        <v>23</v>
      </c>
      <c r="I219" s="6">
        <v>44784</v>
      </c>
      <c r="J219" s="5" t="s">
        <v>216</v>
      </c>
      <c r="K219" s="5" t="s">
        <v>413</v>
      </c>
      <c r="L219" s="5"/>
      <c r="M219" s="5"/>
      <c r="N219" s="7"/>
      <c r="O219" s="5" t="s">
        <v>553</v>
      </c>
      <c r="P219" s="8">
        <v>70</v>
      </c>
      <c r="Q219" s="8">
        <f t="shared" si="3"/>
        <v>248047.81</v>
      </c>
    </row>
    <row r="220" spans="1:17" x14ac:dyDescent="0.25">
      <c r="A220" s="5"/>
      <c r="B220" s="5"/>
      <c r="C220" s="5"/>
      <c r="D220" s="5"/>
      <c r="E220" s="5"/>
      <c r="F220" s="5"/>
      <c r="G220" s="5"/>
      <c r="H220" s="5" t="s">
        <v>23</v>
      </c>
      <c r="I220" s="6">
        <v>44785</v>
      </c>
      <c r="J220" s="5" t="s">
        <v>217</v>
      </c>
      <c r="K220" s="5" t="s">
        <v>412</v>
      </c>
      <c r="L220" s="5"/>
      <c r="M220" s="5"/>
      <c r="N220" s="7"/>
      <c r="O220" s="5" t="s">
        <v>553</v>
      </c>
      <c r="P220" s="8">
        <v>372.47</v>
      </c>
      <c r="Q220" s="8">
        <f t="shared" si="3"/>
        <v>248420.28</v>
      </c>
    </row>
    <row r="221" spans="1:17" x14ac:dyDescent="0.25">
      <c r="A221" s="5"/>
      <c r="B221" s="5"/>
      <c r="C221" s="5"/>
      <c r="D221" s="5"/>
      <c r="E221" s="5"/>
      <c r="F221" s="5"/>
      <c r="G221" s="5"/>
      <c r="H221" s="5" t="s">
        <v>23</v>
      </c>
      <c r="I221" s="6">
        <v>44785</v>
      </c>
      <c r="J221" s="5" t="s">
        <v>218</v>
      </c>
      <c r="K221" s="5" t="s">
        <v>422</v>
      </c>
      <c r="L221" s="5" t="s">
        <v>493</v>
      </c>
      <c r="M221" s="5"/>
      <c r="N221" s="7"/>
      <c r="O221" s="5" t="s">
        <v>553</v>
      </c>
      <c r="P221" s="8">
        <v>22500</v>
      </c>
      <c r="Q221" s="8">
        <f t="shared" si="3"/>
        <v>270920.28000000003</v>
      </c>
    </row>
    <row r="222" spans="1:17" x14ac:dyDescent="0.25">
      <c r="A222" s="5"/>
      <c r="B222" s="5"/>
      <c r="C222" s="5"/>
      <c r="D222" s="5"/>
      <c r="E222" s="5"/>
      <c r="F222" s="5"/>
      <c r="G222" s="5"/>
      <c r="H222" s="5" t="s">
        <v>23</v>
      </c>
      <c r="I222" s="6">
        <v>44787</v>
      </c>
      <c r="J222" s="5" t="s">
        <v>81</v>
      </c>
      <c r="K222" s="5" t="s">
        <v>420</v>
      </c>
      <c r="L222" s="5"/>
      <c r="M222" s="5"/>
      <c r="N222" s="7"/>
      <c r="O222" s="5" t="s">
        <v>553</v>
      </c>
      <c r="P222" s="8">
        <v>17200</v>
      </c>
      <c r="Q222" s="8">
        <f t="shared" si="3"/>
        <v>288120.28000000003</v>
      </c>
    </row>
    <row r="223" spans="1:17" x14ac:dyDescent="0.25">
      <c r="A223" s="5"/>
      <c r="B223" s="5"/>
      <c r="C223" s="5"/>
      <c r="D223" s="5"/>
      <c r="E223" s="5"/>
      <c r="F223" s="5"/>
      <c r="G223" s="5"/>
      <c r="H223" s="5" t="s">
        <v>23</v>
      </c>
      <c r="I223" s="6">
        <v>44788</v>
      </c>
      <c r="J223" s="5" t="s">
        <v>219</v>
      </c>
      <c r="K223" s="5" t="s">
        <v>413</v>
      </c>
      <c r="L223" s="5"/>
      <c r="M223" s="5"/>
      <c r="N223" s="7"/>
      <c r="O223" s="5" t="s">
        <v>553</v>
      </c>
      <c r="P223" s="8">
        <v>1653.08</v>
      </c>
      <c r="Q223" s="8">
        <f t="shared" si="3"/>
        <v>289773.36</v>
      </c>
    </row>
    <row r="224" spans="1:17" x14ac:dyDescent="0.25">
      <c r="A224" s="5"/>
      <c r="B224" s="5"/>
      <c r="C224" s="5"/>
      <c r="D224" s="5"/>
      <c r="E224" s="5"/>
      <c r="F224" s="5"/>
      <c r="G224" s="5"/>
      <c r="H224" s="5" t="s">
        <v>23</v>
      </c>
      <c r="I224" s="6">
        <v>44788</v>
      </c>
      <c r="J224" s="5" t="s">
        <v>220</v>
      </c>
      <c r="K224" s="5" t="s">
        <v>413</v>
      </c>
      <c r="L224" s="5"/>
      <c r="M224" s="5"/>
      <c r="N224" s="7"/>
      <c r="O224" s="5" t="s">
        <v>553</v>
      </c>
      <c r="P224" s="8">
        <v>927.17</v>
      </c>
      <c r="Q224" s="8">
        <f t="shared" si="3"/>
        <v>290700.53000000003</v>
      </c>
    </row>
    <row r="225" spans="1:17" x14ac:dyDescent="0.25">
      <c r="A225" s="5"/>
      <c r="B225" s="5"/>
      <c r="C225" s="5"/>
      <c r="D225" s="5"/>
      <c r="E225" s="5"/>
      <c r="F225" s="5"/>
      <c r="G225" s="5"/>
      <c r="H225" s="5" t="s">
        <v>23</v>
      </c>
      <c r="I225" s="6">
        <v>44788</v>
      </c>
      <c r="J225" s="5" t="s">
        <v>221</v>
      </c>
      <c r="K225" s="5" t="s">
        <v>413</v>
      </c>
      <c r="L225" s="5"/>
      <c r="M225" s="5"/>
      <c r="N225" s="7"/>
      <c r="O225" s="5" t="s">
        <v>553</v>
      </c>
      <c r="P225" s="8">
        <v>426.42</v>
      </c>
      <c r="Q225" s="8">
        <f t="shared" si="3"/>
        <v>291126.95</v>
      </c>
    </row>
    <row r="226" spans="1:17" x14ac:dyDescent="0.25">
      <c r="A226" s="5"/>
      <c r="B226" s="5"/>
      <c r="C226" s="5"/>
      <c r="D226" s="5"/>
      <c r="E226" s="5"/>
      <c r="F226" s="5"/>
      <c r="G226" s="5"/>
      <c r="H226" s="5" t="s">
        <v>23</v>
      </c>
      <c r="I226" s="6">
        <v>44788</v>
      </c>
      <c r="J226" s="5" t="s">
        <v>222</v>
      </c>
      <c r="K226" s="5" t="s">
        <v>413</v>
      </c>
      <c r="L226" s="5"/>
      <c r="M226" s="5"/>
      <c r="N226" s="7"/>
      <c r="O226" s="5" t="s">
        <v>553</v>
      </c>
      <c r="P226" s="8">
        <v>1142.58</v>
      </c>
      <c r="Q226" s="8">
        <f t="shared" si="3"/>
        <v>292269.53000000003</v>
      </c>
    </row>
    <row r="227" spans="1:17" x14ac:dyDescent="0.25">
      <c r="A227" s="5"/>
      <c r="B227" s="5"/>
      <c r="C227" s="5"/>
      <c r="D227" s="5"/>
      <c r="E227" s="5"/>
      <c r="F227" s="5"/>
      <c r="G227" s="5"/>
      <c r="H227" s="5" t="s">
        <v>23</v>
      </c>
      <c r="I227" s="6">
        <v>44788</v>
      </c>
      <c r="J227" s="5" t="s">
        <v>223</v>
      </c>
      <c r="K227" s="5" t="s">
        <v>413</v>
      </c>
      <c r="L227" s="5"/>
      <c r="M227" s="5"/>
      <c r="N227" s="7"/>
      <c r="O227" s="5" t="s">
        <v>553</v>
      </c>
      <c r="P227" s="8">
        <v>1003.75</v>
      </c>
      <c r="Q227" s="8">
        <f t="shared" si="3"/>
        <v>293273.28000000003</v>
      </c>
    </row>
    <row r="228" spans="1:17" x14ac:dyDescent="0.25">
      <c r="A228" s="5"/>
      <c r="B228" s="5"/>
      <c r="C228" s="5"/>
      <c r="D228" s="5"/>
      <c r="E228" s="5"/>
      <c r="F228" s="5"/>
      <c r="G228" s="5"/>
      <c r="H228" s="5" t="s">
        <v>23</v>
      </c>
      <c r="I228" s="6">
        <v>44788</v>
      </c>
      <c r="J228" s="5" t="s">
        <v>224</v>
      </c>
      <c r="K228" s="5" t="s">
        <v>413</v>
      </c>
      <c r="L228" s="5"/>
      <c r="M228" s="5"/>
      <c r="N228" s="7"/>
      <c r="O228" s="5" t="s">
        <v>553</v>
      </c>
      <c r="P228" s="8">
        <v>936.14</v>
      </c>
      <c r="Q228" s="8">
        <f t="shared" si="3"/>
        <v>294209.42</v>
      </c>
    </row>
    <row r="229" spans="1:17" x14ac:dyDescent="0.25">
      <c r="A229" s="5"/>
      <c r="B229" s="5"/>
      <c r="C229" s="5"/>
      <c r="D229" s="5"/>
      <c r="E229" s="5"/>
      <c r="F229" s="5"/>
      <c r="G229" s="5"/>
      <c r="H229" s="5" t="s">
        <v>23</v>
      </c>
      <c r="I229" s="6">
        <v>44788</v>
      </c>
      <c r="J229" s="5" t="s">
        <v>225</v>
      </c>
      <c r="K229" s="5" t="s">
        <v>413</v>
      </c>
      <c r="L229" s="5"/>
      <c r="M229" s="5"/>
      <c r="N229" s="7"/>
      <c r="O229" s="5" t="s">
        <v>553</v>
      </c>
      <c r="P229" s="8">
        <v>955.44</v>
      </c>
      <c r="Q229" s="8">
        <f t="shared" si="3"/>
        <v>295164.86</v>
      </c>
    </row>
    <row r="230" spans="1:17" x14ac:dyDescent="0.25">
      <c r="A230" s="5"/>
      <c r="B230" s="5"/>
      <c r="C230" s="5"/>
      <c r="D230" s="5"/>
      <c r="E230" s="5"/>
      <c r="F230" s="5"/>
      <c r="G230" s="5"/>
      <c r="H230" s="5" t="s">
        <v>23</v>
      </c>
      <c r="I230" s="6">
        <v>44788</v>
      </c>
      <c r="J230" s="5" t="s">
        <v>226</v>
      </c>
      <c r="K230" s="5" t="s">
        <v>413</v>
      </c>
      <c r="L230" s="5"/>
      <c r="M230" s="5"/>
      <c r="N230" s="7"/>
      <c r="O230" s="5" t="s">
        <v>553</v>
      </c>
      <c r="P230" s="8">
        <v>1412.9</v>
      </c>
      <c r="Q230" s="8">
        <f t="shared" si="3"/>
        <v>296577.76</v>
      </c>
    </row>
    <row r="231" spans="1:17" x14ac:dyDescent="0.25">
      <c r="A231" s="5"/>
      <c r="B231" s="5"/>
      <c r="C231" s="5"/>
      <c r="D231" s="5"/>
      <c r="E231" s="5"/>
      <c r="F231" s="5"/>
      <c r="G231" s="5"/>
      <c r="H231" s="5" t="s">
        <v>23</v>
      </c>
      <c r="I231" s="6">
        <v>44788</v>
      </c>
      <c r="J231" s="5" t="s">
        <v>227</v>
      </c>
      <c r="K231" s="5" t="s">
        <v>413</v>
      </c>
      <c r="L231" s="5"/>
      <c r="M231" s="5"/>
      <c r="N231" s="7"/>
      <c r="O231" s="5" t="s">
        <v>553</v>
      </c>
      <c r="P231" s="8">
        <v>123.4</v>
      </c>
      <c r="Q231" s="8">
        <f t="shared" si="3"/>
        <v>296701.15999999997</v>
      </c>
    </row>
    <row r="232" spans="1:17" x14ac:dyDescent="0.25">
      <c r="A232" s="5"/>
      <c r="B232" s="5"/>
      <c r="C232" s="5"/>
      <c r="D232" s="5"/>
      <c r="E232" s="5"/>
      <c r="F232" s="5"/>
      <c r="G232" s="5"/>
      <c r="H232" s="5" t="s">
        <v>23</v>
      </c>
      <c r="I232" s="6">
        <v>44788</v>
      </c>
      <c r="J232" s="5" t="s">
        <v>228</v>
      </c>
      <c r="K232" s="5" t="s">
        <v>413</v>
      </c>
      <c r="L232" s="5"/>
      <c r="M232" s="5"/>
      <c r="N232" s="7"/>
      <c r="O232" s="5" t="s">
        <v>553</v>
      </c>
      <c r="P232" s="8">
        <v>775.9</v>
      </c>
      <c r="Q232" s="8">
        <f t="shared" si="3"/>
        <v>297477.06</v>
      </c>
    </row>
    <row r="233" spans="1:17" x14ac:dyDescent="0.25">
      <c r="A233" s="5"/>
      <c r="B233" s="5"/>
      <c r="C233" s="5"/>
      <c r="D233" s="5"/>
      <c r="E233" s="5"/>
      <c r="F233" s="5"/>
      <c r="G233" s="5"/>
      <c r="H233" s="5" t="s">
        <v>23</v>
      </c>
      <c r="I233" s="6">
        <v>44788</v>
      </c>
      <c r="J233" s="5" t="s">
        <v>229</v>
      </c>
      <c r="K233" s="5" t="s">
        <v>412</v>
      </c>
      <c r="L233" s="5"/>
      <c r="M233" s="5"/>
      <c r="N233" s="7"/>
      <c r="O233" s="5" t="s">
        <v>553</v>
      </c>
      <c r="P233" s="8">
        <v>254.24</v>
      </c>
      <c r="Q233" s="8">
        <f t="shared" si="3"/>
        <v>297731.3</v>
      </c>
    </row>
    <row r="234" spans="1:17" x14ac:dyDescent="0.25">
      <c r="A234" s="5"/>
      <c r="B234" s="5"/>
      <c r="C234" s="5"/>
      <c r="D234" s="5"/>
      <c r="E234" s="5"/>
      <c r="F234" s="5"/>
      <c r="G234" s="5"/>
      <c r="H234" s="5" t="s">
        <v>23</v>
      </c>
      <c r="I234" s="6">
        <v>44789</v>
      </c>
      <c r="J234" s="5" t="s">
        <v>230</v>
      </c>
      <c r="K234" s="5" t="s">
        <v>412</v>
      </c>
      <c r="L234" s="5"/>
      <c r="M234" s="5"/>
      <c r="N234" s="7"/>
      <c r="O234" s="5" t="s">
        <v>553</v>
      </c>
      <c r="P234" s="8">
        <v>370.2</v>
      </c>
      <c r="Q234" s="8">
        <f t="shared" si="3"/>
        <v>298101.5</v>
      </c>
    </row>
    <row r="235" spans="1:17" x14ac:dyDescent="0.25">
      <c r="A235" s="5"/>
      <c r="B235" s="5"/>
      <c r="C235" s="5"/>
      <c r="D235" s="5"/>
      <c r="E235" s="5"/>
      <c r="F235" s="5"/>
      <c r="G235" s="5"/>
      <c r="H235" s="5" t="s">
        <v>23</v>
      </c>
      <c r="I235" s="6">
        <v>44790</v>
      </c>
      <c r="J235" s="5" t="s">
        <v>231</v>
      </c>
      <c r="K235" s="5" t="s">
        <v>412</v>
      </c>
      <c r="L235" s="5"/>
      <c r="M235" s="5"/>
      <c r="N235" s="7"/>
      <c r="O235" s="5" t="s">
        <v>553</v>
      </c>
      <c r="P235" s="8">
        <v>902.25</v>
      </c>
      <c r="Q235" s="8">
        <f t="shared" si="3"/>
        <v>299003.75</v>
      </c>
    </row>
    <row r="236" spans="1:17" x14ac:dyDescent="0.25">
      <c r="A236" s="5"/>
      <c r="B236" s="5"/>
      <c r="C236" s="5"/>
      <c r="D236" s="5"/>
      <c r="E236" s="5"/>
      <c r="F236" s="5"/>
      <c r="G236" s="5"/>
      <c r="H236" s="5" t="s">
        <v>23</v>
      </c>
      <c r="I236" s="6">
        <v>44795</v>
      </c>
      <c r="J236" s="5" t="s">
        <v>232</v>
      </c>
      <c r="K236" s="5" t="s">
        <v>413</v>
      </c>
      <c r="L236" s="5"/>
      <c r="M236" s="5"/>
      <c r="N236" s="7"/>
      <c r="O236" s="5" t="s">
        <v>553</v>
      </c>
      <c r="P236" s="8">
        <v>618.54</v>
      </c>
      <c r="Q236" s="8">
        <f t="shared" si="3"/>
        <v>299622.28999999998</v>
      </c>
    </row>
    <row r="237" spans="1:17" x14ac:dyDescent="0.25">
      <c r="A237" s="5"/>
      <c r="B237" s="5"/>
      <c r="C237" s="5"/>
      <c r="D237" s="5"/>
      <c r="E237" s="5"/>
      <c r="F237" s="5"/>
      <c r="G237" s="5"/>
      <c r="H237" s="5" t="s">
        <v>23</v>
      </c>
      <c r="I237" s="6">
        <v>44795</v>
      </c>
      <c r="J237" s="5" t="s">
        <v>233</v>
      </c>
      <c r="K237" s="5" t="s">
        <v>413</v>
      </c>
      <c r="L237" s="5"/>
      <c r="M237" s="5"/>
      <c r="N237" s="7"/>
      <c r="O237" s="5" t="s">
        <v>553</v>
      </c>
      <c r="P237" s="8">
        <v>896.46</v>
      </c>
      <c r="Q237" s="8">
        <f t="shared" si="3"/>
        <v>300518.75</v>
      </c>
    </row>
    <row r="238" spans="1:17" x14ac:dyDescent="0.25">
      <c r="A238" s="5"/>
      <c r="B238" s="5"/>
      <c r="C238" s="5"/>
      <c r="D238" s="5"/>
      <c r="E238" s="5"/>
      <c r="F238" s="5"/>
      <c r="G238" s="5"/>
      <c r="H238" s="5" t="s">
        <v>23</v>
      </c>
      <c r="I238" s="6">
        <v>44795</v>
      </c>
      <c r="J238" s="5" t="s">
        <v>234</v>
      </c>
      <c r="K238" s="5" t="s">
        <v>413</v>
      </c>
      <c r="L238" s="5"/>
      <c r="M238" s="5"/>
      <c r="N238" s="7"/>
      <c r="O238" s="5" t="s">
        <v>553</v>
      </c>
      <c r="P238" s="8">
        <v>604.45000000000005</v>
      </c>
      <c r="Q238" s="8">
        <f t="shared" si="3"/>
        <v>301123.20000000001</v>
      </c>
    </row>
    <row r="239" spans="1:17" x14ac:dyDescent="0.25">
      <c r="A239" s="5"/>
      <c r="B239" s="5"/>
      <c r="C239" s="5"/>
      <c r="D239" s="5"/>
      <c r="E239" s="5"/>
      <c r="F239" s="5"/>
      <c r="G239" s="5"/>
      <c r="H239" s="5" t="s">
        <v>23</v>
      </c>
      <c r="I239" s="6">
        <v>44795</v>
      </c>
      <c r="J239" s="5" t="s">
        <v>235</v>
      </c>
      <c r="K239" s="5" t="s">
        <v>413</v>
      </c>
      <c r="L239" s="5"/>
      <c r="M239" s="5"/>
      <c r="N239" s="7"/>
      <c r="O239" s="5" t="s">
        <v>553</v>
      </c>
      <c r="P239" s="8">
        <v>743.52</v>
      </c>
      <c r="Q239" s="8">
        <f t="shared" si="3"/>
        <v>301866.71999999997</v>
      </c>
    </row>
    <row r="240" spans="1:17" x14ac:dyDescent="0.25">
      <c r="A240" s="5"/>
      <c r="B240" s="5"/>
      <c r="C240" s="5"/>
      <c r="D240" s="5"/>
      <c r="E240" s="5"/>
      <c r="F240" s="5"/>
      <c r="G240" s="5"/>
      <c r="H240" s="5" t="s">
        <v>23</v>
      </c>
      <c r="I240" s="6">
        <v>44795</v>
      </c>
      <c r="J240" s="5" t="s">
        <v>236</v>
      </c>
      <c r="K240" s="5" t="s">
        <v>413</v>
      </c>
      <c r="L240" s="5"/>
      <c r="M240" s="5"/>
      <c r="N240" s="7"/>
      <c r="O240" s="5" t="s">
        <v>553</v>
      </c>
      <c r="P240" s="8">
        <v>1024.4000000000001</v>
      </c>
      <c r="Q240" s="8">
        <f t="shared" si="3"/>
        <v>302891.12</v>
      </c>
    </row>
    <row r="241" spans="1:17" x14ac:dyDescent="0.25">
      <c r="A241" s="5"/>
      <c r="B241" s="5"/>
      <c r="C241" s="5"/>
      <c r="D241" s="5"/>
      <c r="E241" s="5"/>
      <c r="F241" s="5"/>
      <c r="G241" s="5"/>
      <c r="H241" s="5" t="s">
        <v>23</v>
      </c>
      <c r="I241" s="6">
        <v>44795</v>
      </c>
      <c r="J241" s="5" t="s">
        <v>237</v>
      </c>
      <c r="K241" s="5" t="s">
        <v>413</v>
      </c>
      <c r="L241" s="5"/>
      <c r="M241" s="5"/>
      <c r="N241" s="7"/>
      <c r="O241" s="5" t="s">
        <v>553</v>
      </c>
      <c r="P241" s="8">
        <v>686.3</v>
      </c>
      <c r="Q241" s="8">
        <f t="shared" si="3"/>
        <v>303577.42</v>
      </c>
    </row>
    <row r="242" spans="1:17" x14ac:dyDescent="0.25">
      <c r="A242" s="5"/>
      <c r="B242" s="5"/>
      <c r="C242" s="5"/>
      <c r="D242" s="5"/>
      <c r="E242" s="5"/>
      <c r="F242" s="5"/>
      <c r="G242" s="5"/>
      <c r="H242" s="5" t="s">
        <v>23</v>
      </c>
      <c r="I242" s="6">
        <v>44795</v>
      </c>
      <c r="J242" s="5" t="s">
        <v>238</v>
      </c>
      <c r="K242" s="5" t="s">
        <v>413</v>
      </c>
      <c r="L242" s="5"/>
      <c r="M242" s="5"/>
      <c r="N242" s="7"/>
      <c r="O242" s="5" t="s">
        <v>553</v>
      </c>
      <c r="P242" s="8">
        <v>340.95</v>
      </c>
      <c r="Q242" s="8">
        <f t="shared" si="3"/>
        <v>303918.37</v>
      </c>
    </row>
    <row r="243" spans="1:17" x14ac:dyDescent="0.25">
      <c r="A243" s="5"/>
      <c r="B243" s="5"/>
      <c r="C243" s="5"/>
      <c r="D243" s="5"/>
      <c r="E243" s="5"/>
      <c r="F243" s="5"/>
      <c r="G243" s="5"/>
      <c r="H243" s="5" t="s">
        <v>23</v>
      </c>
      <c r="I243" s="6">
        <v>44795</v>
      </c>
      <c r="J243" s="5" t="s">
        <v>239</v>
      </c>
      <c r="K243" s="5" t="s">
        <v>413</v>
      </c>
      <c r="L243" s="5"/>
      <c r="M243" s="5"/>
      <c r="N243" s="7"/>
      <c r="O243" s="5" t="s">
        <v>553</v>
      </c>
      <c r="P243" s="8">
        <v>70</v>
      </c>
      <c r="Q243" s="8">
        <f t="shared" si="3"/>
        <v>303988.37</v>
      </c>
    </row>
    <row r="244" spans="1:17" x14ac:dyDescent="0.25">
      <c r="A244" s="5"/>
      <c r="B244" s="5"/>
      <c r="C244" s="5"/>
      <c r="D244" s="5"/>
      <c r="E244" s="5"/>
      <c r="F244" s="5"/>
      <c r="G244" s="5"/>
      <c r="H244" s="5" t="s">
        <v>23</v>
      </c>
      <c r="I244" s="6">
        <v>44795</v>
      </c>
      <c r="J244" s="5" t="s">
        <v>240</v>
      </c>
      <c r="K244" s="5" t="s">
        <v>413</v>
      </c>
      <c r="L244" s="5"/>
      <c r="M244" s="5"/>
      <c r="N244" s="7"/>
      <c r="O244" s="5" t="s">
        <v>553</v>
      </c>
      <c r="P244" s="8">
        <v>101</v>
      </c>
      <c r="Q244" s="8">
        <f t="shared" si="3"/>
        <v>304089.37</v>
      </c>
    </row>
    <row r="245" spans="1:17" x14ac:dyDescent="0.25">
      <c r="A245" s="5"/>
      <c r="B245" s="5"/>
      <c r="C245" s="5"/>
      <c r="D245" s="5"/>
      <c r="E245" s="5"/>
      <c r="F245" s="5"/>
      <c r="G245" s="5"/>
      <c r="H245" s="5" t="s">
        <v>23</v>
      </c>
      <c r="I245" s="6">
        <v>44795</v>
      </c>
      <c r="J245" s="5" t="s">
        <v>241</v>
      </c>
      <c r="K245" s="5" t="s">
        <v>413</v>
      </c>
      <c r="L245" s="5"/>
      <c r="M245" s="5"/>
      <c r="N245" s="7"/>
      <c r="O245" s="5" t="s">
        <v>553</v>
      </c>
      <c r="P245" s="8">
        <v>908.35</v>
      </c>
      <c r="Q245" s="8">
        <f t="shared" si="3"/>
        <v>304997.71999999997</v>
      </c>
    </row>
    <row r="246" spans="1:17" x14ac:dyDescent="0.25">
      <c r="A246" s="5"/>
      <c r="B246" s="5"/>
      <c r="C246" s="5"/>
      <c r="D246" s="5"/>
      <c r="E246" s="5"/>
      <c r="F246" s="5"/>
      <c r="G246" s="5"/>
      <c r="H246" s="5" t="s">
        <v>23</v>
      </c>
      <c r="I246" s="6">
        <v>44795</v>
      </c>
      <c r="J246" s="5" t="s">
        <v>242</v>
      </c>
      <c r="K246" s="5" t="s">
        <v>412</v>
      </c>
      <c r="L246" s="5"/>
      <c r="M246" s="5"/>
      <c r="N246" s="7"/>
      <c r="O246" s="5" t="s">
        <v>553</v>
      </c>
      <c r="P246" s="8">
        <v>1888.97</v>
      </c>
      <c r="Q246" s="8">
        <f t="shared" si="3"/>
        <v>306886.69</v>
      </c>
    </row>
    <row r="247" spans="1:17" x14ac:dyDescent="0.25">
      <c r="A247" s="5"/>
      <c r="B247" s="5"/>
      <c r="C247" s="5"/>
      <c r="D247" s="5"/>
      <c r="E247" s="5"/>
      <c r="F247" s="5"/>
      <c r="G247" s="5"/>
      <c r="H247" s="5" t="s">
        <v>23</v>
      </c>
      <c r="I247" s="6">
        <v>44795</v>
      </c>
      <c r="J247" s="5" t="s">
        <v>243</v>
      </c>
      <c r="K247" s="5" t="s">
        <v>412</v>
      </c>
      <c r="L247" s="5"/>
      <c r="M247" s="5"/>
      <c r="N247" s="7"/>
      <c r="O247" s="5" t="s">
        <v>553</v>
      </c>
      <c r="P247" s="8">
        <v>286</v>
      </c>
      <c r="Q247" s="8">
        <f t="shared" si="3"/>
        <v>307172.69</v>
      </c>
    </row>
    <row r="248" spans="1:17" x14ac:dyDescent="0.25">
      <c r="A248" s="5"/>
      <c r="B248" s="5"/>
      <c r="C248" s="5"/>
      <c r="D248" s="5"/>
      <c r="E248" s="5"/>
      <c r="F248" s="5"/>
      <c r="G248" s="5"/>
      <c r="H248" s="5" t="s">
        <v>23</v>
      </c>
      <c r="I248" s="6">
        <v>44796</v>
      </c>
      <c r="J248" s="5" t="s">
        <v>244</v>
      </c>
      <c r="K248" s="5" t="s">
        <v>413</v>
      </c>
      <c r="L248" s="5"/>
      <c r="M248" s="5"/>
      <c r="N248" s="7"/>
      <c r="O248" s="5" t="s">
        <v>553</v>
      </c>
      <c r="P248" s="8">
        <v>659.51</v>
      </c>
      <c r="Q248" s="8">
        <f t="shared" si="3"/>
        <v>307832.2</v>
      </c>
    </row>
    <row r="249" spans="1:17" x14ac:dyDescent="0.25">
      <c r="A249" s="5"/>
      <c r="B249" s="5"/>
      <c r="C249" s="5"/>
      <c r="D249" s="5"/>
      <c r="E249" s="5"/>
      <c r="F249" s="5"/>
      <c r="G249" s="5"/>
      <c r="H249" s="5" t="s">
        <v>23</v>
      </c>
      <c r="I249" s="6">
        <v>44796</v>
      </c>
      <c r="J249" s="5" t="s">
        <v>245</v>
      </c>
      <c r="K249" s="5" t="s">
        <v>413</v>
      </c>
      <c r="L249" s="5"/>
      <c r="M249" s="5"/>
      <c r="N249" s="7"/>
      <c r="O249" s="5" t="s">
        <v>553</v>
      </c>
      <c r="P249" s="8">
        <v>666.98</v>
      </c>
      <c r="Q249" s="8">
        <f t="shared" si="3"/>
        <v>308499.18</v>
      </c>
    </row>
    <row r="250" spans="1:17" x14ac:dyDescent="0.25">
      <c r="A250" s="5"/>
      <c r="B250" s="5"/>
      <c r="C250" s="5"/>
      <c r="D250" s="5"/>
      <c r="E250" s="5"/>
      <c r="F250" s="5"/>
      <c r="G250" s="5"/>
      <c r="H250" s="5" t="s">
        <v>23</v>
      </c>
      <c r="I250" s="6">
        <v>44796</v>
      </c>
      <c r="J250" s="5" t="s">
        <v>246</v>
      </c>
      <c r="K250" s="5" t="s">
        <v>413</v>
      </c>
      <c r="L250" s="5"/>
      <c r="M250" s="5"/>
      <c r="N250" s="7"/>
      <c r="O250" s="5" t="s">
        <v>553</v>
      </c>
      <c r="P250" s="8">
        <v>70</v>
      </c>
      <c r="Q250" s="8">
        <f t="shared" si="3"/>
        <v>308569.18</v>
      </c>
    </row>
    <row r="251" spans="1:17" x14ac:dyDescent="0.25">
      <c r="A251" s="5"/>
      <c r="B251" s="5"/>
      <c r="C251" s="5"/>
      <c r="D251" s="5"/>
      <c r="E251" s="5"/>
      <c r="F251" s="5"/>
      <c r="G251" s="5"/>
      <c r="H251" s="5" t="s">
        <v>23</v>
      </c>
      <c r="I251" s="6">
        <v>44796</v>
      </c>
      <c r="J251" s="5" t="s">
        <v>247</v>
      </c>
      <c r="K251" s="5" t="s">
        <v>413</v>
      </c>
      <c r="L251" s="5"/>
      <c r="M251" s="5"/>
      <c r="N251" s="7"/>
      <c r="O251" s="5" t="s">
        <v>553</v>
      </c>
      <c r="P251" s="8">
        <v>440</v>
      </c>
      <c r="Q251" s="8">
        <f t="shared" si="3"/>
        <v>309009.18</v>
      </c>
    </row>
    <row r="252" spans="1:17" x14ac:dyDescent="0.25">
      <c r="A252" s="5"/>
      <c r="B252" s="5"/>
      <c r="C252" s="5"/>
      <c r="D252" s="5"/>
      <c r="E252" s="5"/>
      <c r="F252" s="5"/>
      <c r="G252" s="5"/>
      <c r="H252" s="5" t="s">
        <v>23</v>
      </c>
      <c r="I252" s="6">
        <v>44796</v>
      </c>
      <c r="J252" s="5" t="s">
        <v>248</v>
      </c>
      <c r="K252" s="5" t="s">
        <v>412</v>
      </c>
      <c r="L252" s="5"/>
      <c r="M252" s="5"/>
      <c r="N252" s="7"/>
      <c r="O252" s="5" t="s">
        <v>553</v>
      </c>
      <c r="P252" s="8">
        <v>566</v>
      </c>
      <c r="Q252" s="8">
        <f t="shared" si="3"/>
        <v>309575.18</v>
      </c>
    </row>
    <row r="253" spans="1:17" x14ac:dyDescent="0.25">
      <c r="A253" s="5"/>
      <c r="B253" s="5"/>
      <c r="C253" s="5"/>
      <c r="D253" s="5"/>
      <c r="E253" s="5"/>
      <c r="F253" s="5"/>
      <c r="G253" s="5"/>
      <c r="H253" s="5" t="s">
        <v>23</v>
      </c>
      <c r="I253" s="6">
        <v>44797</v>
      </c>
      <c r="J253" s="5" t="s">
        <v>249</v>
      </c>
      <c r="K253" s="5" t="s">
        <v>413</v>
      </c>
      <c r="L253" s="5"/>
      <c r="M253" s="5"/>
      <c r="N253" s="7"/>
      <c r="O253" s="5" t="s">
        <v>553</v>
      </c>
      <c r="P253" s="8">
        <v>553</v>
      </c>
      <c r="Q253" s="8">
        <f t="shared" si="3"/>
        <v>310128.18</v>
      </c>
    </row>
    <row r="254" spans="1:17" x14ac:dyDescent="0.25">
      <c r="A254" s="5"/>
      <c r="B254" s="5"/>
      <c r="C254" s="5"/>
      <c r="D254" s="5"/>
      <c r="E254" s="5"/>
      <c r="F254" s="5"/>
      <c r="G254" s="5"/>
      <c r="H254" s="5" t="s">
        <v>23</v>
      </c>
      <c r="I254" s="6">
        <v>44797</v>
      </c>
      <c r="J254" s="5" t="s">
        <v>250</v>
      </c>
      <c r="K254" s="5" t="s">
        <v>413</v>
      </c>
      <c r="L254" s="5"/>
      <c r="M254" s="5"/>
      <c r="N254" s="7"/>
      <c r="O254" s="5" t="s">
        <v>553</v>
      </c>
      <c r="P254" s="8">
        <v>906.02</v>
      </c>
      <c r="Q254" s="8">
        <f t="shared" si="3"/>
        <v>311034.2</v>
      </c>
    </row>
    <row r="255" spans="1:17" x14ac:dyDescent="0.25">
      <c r="A255" s="5"/>
      <c r="B255" s="5"/>
      <c r="C255" s="5"/>
      <c r="D255" s="5"/>
      <c r="E255" s="5"/>
      <c r="F255" s="5"/>
      <c r="G255" s="5"/>
      <c r="H255" s="5" t="s">
        <v>23</v>
      </c>
      <c r="I255" s="6">
        <v>44797</v>
      </c>
      <c r="J255" s="5" t="s">
        <v>251</v>
      </c>
      <c r="K255" s="5" t="s">
        <v>413</v>
      </c>
      <c r="L255" s="5"/>
      <c r="M255" s="5"/>
      <c r="N255" s="7"/>
      <c r="O255" s="5" t="s">
        <v>553</v>
      </c>
      <c r="P255" s="8">
        <v>586.29999999999995</v>
      </c>
      <c r="Q255" s="8">
        <f t="shared" si="3"/>
        <v>311620.5</v>
      </c>
    </row>
    <row r="256" spans="1:17" x14ac:dyDescent="0.25">
      <c r="A256" s="5"/>
      <c r="B256" s="5"/>
      <c r="C256" s="5"/>
      <c r="D256" s="5"/>
      <c r="E256" s="5"/>
      <c r="F256" s="5"/>
      <c r="G256" s="5"/>
      <c r="H256" s="5" t="s">
        <v>23</v>
      </c>
      <c r="I256" s="6">
        <v>44797</v>
      </c>
      <c r="J256" s="5" t="s">
        <v>252</v>
      </c>
      <c r="K256" s="5" t="s">
        <v>413</v>
      </c>
      <c r="L256" s="5"/>
      <c r="M256" s="5"/>
      <c r="N256" s="7"/>
      <c r="O256" s="5" t="s">
        <v>553</v>
      </c>
      <c r="P256" s="8">
        <v>997.95</v>
      </c>
      <c r="Q256" s="8">
        <f t="shared" si="3"/>
        <v>312618.45</v>
      </c>
    </row>
    <row r="257" spans="1:17" x14ac:dyDescent="0.25">
      <c r="A257" s="5"/>
      <c r="B257" s="5"/>
      <c r="C257" s="5"/>
      <c r="D257" s="5"/>
      <c r="E257" s="5"/>
      <c r="F257" s="5"/>
      <c r="G257" s="5"/>
      <c r="H257" s="5" t="s">
        <v>23</v>
      </c>
      <c r="I257" s="6">
        <v>44797</v>
      </c>
      <c r="J257" s="5" t="s">
        <v>253</v>
      </c>
      <c r="K257" s="5" t="s">
        <v>413</v>
      </c>
      <c r="L257" s="5"/>
      <c r="M257" s="5"/>
      <c r="N257" s="7"/>
      <c r="O257" s="5" t="s">
        <v>553</v>
      </c>
      <c r="P257" s="8">
        <v>627.55999999999995</v>
      </c>
      <c r="Q257" s="8">
        <f t="shared" si="3"/>
        <v>313246.01</v>
      </c>
    </row>
    <row r="258" spans="1:17" x14ac:dyDescent="0.25">
      <c r="A258" s="5"/>
      <c r="B258" s="5"/>
      <c r="C258" s="5"/>
      <c r="D258" s="5"/>
      <c r="E258" s="5"/>
      <c r="F258" s="5"/>
      <c r="G258" s="5"/>
      <c r="H258" s="5" t="s">
        <v>23</v>
      </c>
      <c r="I258" s="6">
        <v>44797</v>
      </c>
      <c r="J258" s="5" t="s">
        <v>254</v>
      </c>
      <c r="K258" s="5" t="s">
        <v>413</v>
      </c>
      <c r="L258" s="5"/>
      <c r="M258" s="5"/>
      <c r="N258" s="7"/>
      <c r="O258" s="5" t="s">
        <v>553</v>
      </c>
      <c r="P258" s="8">
        <v>763.1</v>
      </c>
      <c r="Q258" s="8">
        <f t="shared" si="3"/>
        <v>314009.11</v>
      </c>
    </row>
    <row r="259" spans="1:17" x14ac:dyDescent="0.25">
      <c r="A259" s="5"/>
      <c r="B259" s="5"/>
      <c r="C259" s="5"/>
      <c r="D259" s="5"/>
      <c r="E259" s="5"/>
      <c r="F259" s="5"/>
      <c r="G259" s="5"/>
      <c r="H259" s="5" t="s">
        <v>23</v>
      </c>
      <c r="I259" s="6">
        <v>44797</v>
      </c>
      <c r="J259" s="5" t="s">
        <v>255</v>
      </c>
      <c r="K259" s="5" t="s">
        <v>413</v>
      </c>
      <c r="L259" s="5"/>
      <c r="M259" s="5"/>
      <c r="N259" s="7"/>
      <c r="O259" s="5" t="s">
        <v>553</v>
      </c>
      <c r="P259" s="8">
        <v>808.75</v>
      </c>
      <c r="Q259" s="8">
        <f t="shared" si="3"/>
        <v>314817.86</v>
      </c>
    </row>
    <row r="260" spans="1:17" x14ac:dyDescent="0.25">
      <c r="A260" s="5"/>
      <c r="B260" s="5"/>
      <c r="C260" s="5"/>
      <c r="D260" s="5"/>
      <c r="E260" s="5"/>
      <c r="F260" s="5"/>
      <c r="G260" s="5"/>
      <c r="H260" s="5" t="s">
        <v>23</v>
      </c>
      <c r="I260" s="6">
        <v>44797</v>
      </c>
      <c r="J260" s="5" t="s">
        <v>256</v>
      </c>
      <c r="K260" s="5" t="s">
        <v>413</v>
      </c>
      <c r="L260" s="5"/>
      <c r="M260" s="5"/>
      <c r="N260" s="7"/>
      <c r="O260" s="5" t="s">
        <v>553</v>
      </c>
      <c r="P260" s="8">
        <v>457.75</v>
      </c>
      <c r="Q260" s="8">
        <f t="shared" si="3"/>
        <v>315275.61</v>
      </c>
    </row>
    <row r="261" spans="1:17" x14ac:dyDescent="0.25">
      <c r="A261" s="5"/>
      <c r="B261" s="5"/>
      <c r="C261" s="5"/>
      <c r="D261" s="5"/>
      <c r="E261" s="5"/>
      <c r="F261" s="5"/>
      <c r="G261" s="5"/>
      <c r="H261" s="5" t="s">
        <v>23</v>
      </c>
      <c r="I261" s="6">
        <v>44797</v>
      </c>
      <c r="J261" s="5" t="s">
        <v>257</v>
      </c>
      <c r="K261" s="5" t="s">
        <v>412</v>
      </c>
      <c r="L261" s="5"/>
      <c r="M261" s="5"/>
      <c r="N261" s="7"/>
      <c r="O261" s="5" t="s">
        <v>553</v>
      </c>
      <c r="P261" s="8">
        <v>1260.56</v>
      </c>
      <c r="Q261" s="8">
        <f t="shared" ref="Q261:Q324" si="4">ROUND(Q260+P261,5)</f>
        <v>316536.17</v>
      </c>
    </row>
    <row r="262" spans="1:17" x14ac:dyDescent="0.25">
      <c r="A262" s="5"/>
      <c r="B262" s="5"/>
      <c r="C262" s="5"/>
      <c r="D262" s="5"/>
      <c r="E262" s="5"/>
      <c r="F262" s="5"/>
      <c r="G262" s="5"/>
      <c r="H262" s="5" t="s">
        <v>23</v>
      </c>
      <c r="I262" s="6">
        <v>44797</v>
      </c>
      <c r="J262" s="5" t="s">
        <v>258</v>
      </c>
      <c r="K262" s="5" t="s">
        <v>412</v>
      </c>
      <c r="L262" s="5"/>
      <c r="M262" s="5"/>
      <c r="N262" s="7"/>
      <c r="O262" s="5" t="s">
        <v>553</v>
      </c>
      <c r="P262" s="8">
        <v>254.24</v>
      </c>
      <c r="Q262" s="8">
        <f t="shared" si="4"/>
        <v>316790.40999999997</v>
      </c>
    </row>
    <row r="263" spans="1:17" x14ac:dyDescent="0.25">
      <c r="A263" s="5"/>
      <c r="B263" s="5"/>
      <c r="C263" s="5"/>
      <c r="D263" s="5"/>
      <c r="E263" s="5"/>
      <c r="F263" s="5"/>
      <c r="G263" s="5"/>
      <c r="H263" s="5" t="s">
        <v>23</v>
      </c>
      <c r="I263" s="6">
        <v>44797</v>
      </c>
      <c r="J263" s="5" t="s">
        <v>259</v>
      </c>
      <c r="K263" s="5" t="s">
        <v>413</v>
      </c>
      <c r="L263" s="5"/>
      <c r="M263" s="5"/>
      <c r="N263" s="7"/>
      <c r="O263" s="5" t="s">
        <v>553</v>
      </c>
      <c r="P263" s="8">
        <v>863.83</v>
      </c>
      <c r="Q263" s="8">
        <f t="shared" si="4"/>
        <v>317654.24</v>
      </c>
    </row>
    <row r="264" spans="1:17" x14ac:dyDescent="0.25">
      <c r="A264" s="5"/>
      <c r="B264" s="5"/>
      <c r="C264" s="5"/>
      <c r="D264" s="5"/>
      <c r="E264" s="5"/>
      <c r="F264" s="5"/>
      <c r="G264" s="5"/>
      <c r="H264" s="5" t="s">
        <v>23</v>
      </c>
      <c r="I264" s="6">
        <v>44797</v>
      </c>
      <c r="J264" s="5" t="s">
        <v>260</v>
      </c>
      <c r="K264" s="5" t="s">
        <v>413</v>
      </c>
      <c r="L264" s="5"/>
      <c r="M264" s="5"/>
      <c r="N264" s="7"/>
      <c r="O264" s="5" t="s">
        <v>553</v>
      </c>
      <c r="P264" s="8">
        <v>1079.05</v>
      </c>
      <c r="Q264" s="8">
        <f t="shared" si="4"/>
        <v>318733.28999999998</v>
      </c>
    </row>
    <row r="265" spans="1:17" x14ac:dyDescent="0.25">
      <c r="A265" s="5"/>
      <c r="B265" s="5"/>
      <c r="C265" s="5"/>
      <c r="D265" s="5"/>
      <c r="E265" s="5"/>
      <c r="F265" s="5"/>
      <c r="G265" s="5"/>
      <c r="H265" s="5" t="s">
        <v>23</v>
      </c>
      <c r="I265" s="6">
        <v>44798</v>
      </c>
      <c r="J265" s="5" t="s">
        <v>261</v>
      </c>
      <c r="K265" s="5" t="s">
        <v>412</v>
      </c>
      <c r="L265" s="5"/>
      <c r="M265" s="5"/>
      <c r="N265" s="7"/>
      <c r="O265" s="5" t="s">
        <v>553</v>
      </c>
      <c r="P265" s="8">
        <v>5177.28</v>
      </c>
      <c r="Q265" s="8">
        <f t="shared" si="4"/>
        <v>323910.57</v>
      </c>
    </row>
    <row r="266" spans="1:17" x14ac:dyDescent="0.25">
      <c r="A266" s="5"/>
      <c r="B266" s="5"/>
      <c r="C266" s="5"/>
      <c r="D266" s="5"/>
      <c r="E266" s="5"/>
      <c r="F266" s="5"/>
      <c r="G266" s="5"/>
      <c r="H266" s="5" t="s">
        <v>23</v>
      </c>
      <c r="I266" s="6">
        <v>44798</v>
      </c>
      <c r="J266" s="5" t="s">
        <v>262</v>
      </c>
      <c r="K266" s="5" t="s">
        <v>412</v>
      </c>
      <c r="L266" s="5"/>
      <c r="M266" s="5"/>
      <c r="N266" s="7"/>
      <c r="O266" s="5" t="s">
        <v>553</v>
      </c>
      <c r="P266" s="8">
        <v>118</v>
      </c>
      <c r="Q266" s="8">
        <f t="shared" si="4"/>
        <v>324028.57</v>
      </c>
    </row>
    <row r="267" spans="1:17" x14ac:dyDescent="0.25">
      <c r="A267" s="5"/>
      <c r="B267" s="5"/>
      <c r="C267" s="5"/>
      <c r="D267" s="5"/>
      <c r="E267" s="5"/>
      <c r="F267" s="5"/>
      <c r="G267" s="5"/>
      <c r="H267" s="5" t="s">
        <v>23</v>
      </c>
      <c r="I267" s="6">
        <v>44798</v>
      </c>
      <c r="J267" s="5" t="s">
        <v>263</v>
      </c>
      <c r="K267" s="5" t="s">
        <v>413</v>
      </c>
      <c r="L267" s="5"/>
      <c r="M267" s="5"/>
      <c r="N267" s="7"/>
      <c r="O267" s="5" t="s">
        <v>553</v>
      </c>
      <c r="P267" s="8">
        <v>1079.05</v>
      </c>
      <c r="Q267" s="8">
        <f t="shared" si="4"/>
        <v>325107.62</v>
      </c>
    </row>
    <row r="268" spans="1:17" x14ac:dyDescent="0.25">
      <c r="A268" s="5"/>
      <c r="B268" s="5"/>
      <c r="C268" s="5"/>
      <c r="D268" s="5"/>
      <c r="E268" s="5"/>
      <c r="F268" s="5"/>
      <c r="G268" s="5"/>
      <c r="H268" s="5" t="s">
        <v>23</v>
      </c>
      <c r="I268" s="6">
        <v>44799</v>
      </c>
      <c r="J268" s="5" t="s">
        <v>264</v>
      </c>
      <c r="K268" s="5" t="s">
        <v>413</v>
      </c>
      <c r="L268" s="5"/>
      <c r="M268" s="5"/>
      <c r="N268" s="7"/>
      <c r="O268" s="5" t="s">
        <v>553</v>
      </c>
      <c r="P268" s="8">
        <v>388.82</v>
      </c>
      <c r="Q268" s="8">
        <f t="shared" si="4"/>
        <v>325496.44</v>
      </c>
    </row>
    <row r="269" spans="1:17" x14ac:dyDescent="0.25">
      <c r="A269" s="5"/>
      <c r="B269" s="5"/>
      <c r="C269" s="5"/>
      <c r="D269" s="5"/>
      <c r="E269" s="5"/>
      <c r="F269" s="5"/>
      <c r="G269" s="5"/>
      <c r="H269" s="5" t="s">
        <v>23</v>
      </c>
      <c r="I269" s="6">
        <v>44799</v>
      </c>
      <c r="J269" s="5" t="s">
        <v>265</v>
      </c>
      <c r="K269" s="5" t="s">
        <v>413</v>
      </c>
      <c r="L269" s="5"/>
      <c r="M269" s="5"/>
      <c r="N269" s="7"/>
      <c r="O269" s="5" t="s">
        <v>553</v>
      </c>
      <c r="P269" s="8">
        <v>877.2</v>
      </c>
      <c r="Q269" s="8">
        <f t="shared" si="4"/>
        <v>326373.64</v>
      </c>
    </row>
    <row r="270" spans="1:17" x14ac:dyDescent="0.25">
      <c r="A270" s="5"/>
      <c r="B270" s="5"/>
      <c r="C270" s="5"/>
      <c r="D270" s="5"/>
      <c r="E270" s="5"/>
      <c r="F270" s="5"/>
      <c r="G270" s="5"/>
      <c r="H270" s="5" t="s">
        <v>23</v>
      </c>
      <c r="I270" s="6">
        <v>44799</v>
      </c>
      <c r="J270" s="5" t="s">
        <v>266</v>
      </c>
      <c r="K270" s="5" t="s">
        <v>413</v>
      </c>
      <c r="L270" s="5"/>
      <c r="M270" s="5"/>
      <c r="N270" s="7"/>
      <c r="O270" s="5" t="s">
        <v>553</v>
      </c>
      <c r="P270" s="8">
        <v>426.5</v>
      </c>
      <c r="Q270" s="8">
        <f t="shared" si="4"/>
        <v>326800.14</v>
      </c>
    </row>
    <row r="271" spans="1:17" x14ac:dyDescent="0.25">
      <c r="A271" s="5"/>
      <c r="B271" s="5"/>
      <c r="C271" s="5"/>
      <c r="D271" s="5"/>
      <c r="E271" s="5"/>
      <c r="F271" s="5"/>
      <c r="G271" s="5"/>
      <c r="H271" s="5" t="s">
        <v>23</v>
      </c>
      <c r="I271" s="6">
        <v>44799</v>
      </c>
      <c r="J271" s="5" t="s">
        <v>267</v>
      </c>
      <c r="K271" s="5" t="s">
        <v>413</v>
      </c>
      <c r="L271" s="5"/>
      <c r="M271" s="5"/>
      <c r="N271" s="7"/>
      <c r="O271" s="5" t="s">
        <v>553</v>
      </c>
      <c r="P271" s="8">
        <v>839.56</v>
      </c>
      <c r="Q271" s="8">
        <f t="shared" si="4"/>
        <v>327639.7</v>
      </c>
    </row>
    <row r="272" spans="1:17" x14ac:dyDescent="0.25">
      <c r="A272" s="5"/>
      <c r="B272" s="5"/>
      <c r="C272" s="5"/>
      <c r="D272" s="5"/>
      <c r="E272" s="5"/>
      <c r="F272" s="5"/>
      <c r="G272" s="5"/>
      <c r="H272" s="5" t="s">
        <v>23</v>
      </c>
      <c r="I272" s="6">
        <v>44800</v>
      </c>
      <c r="J272" s="5" t="s">
        <v>268</v>
      </c>
      <c r="K272" s="5" t="s">
        <v>413</v>
      </c>
      <c r="L272" s="5"/>
      <c r="M272" s="5"/>
      <c r="N272" s="7"/>
      <c r="O272" s="5" t="s">
        <v>553</v>
      </c>
      <c r="P272" s="8">
        <v>324.74</v>
      </c>
      <c r="Q272" s="8">
        <f t="shared" si="4"/>
        <v>327964.44</v>
      </c>
    </row>
    <row r="273" spans="1:17" x14ac:dyDescent="0.25">
      <c r="A273" s="5"/>
      <c r="B273" s="5"/>
      <c r="C273" s="5"/>
      <c r="D273" s="5"/>
      <c r="E273" s="5"/>
      <c r="F273" s="5"/>
      <c r="G273" s="5"/>
      <c r="H273" s="5" t="s">
        <v>23</v>
      </c>
      <c r="I273" s="6">
        <v>44803</v>
      </c>
      <c r="J273" s="5" t="s">
        <v>269</v>
      </c>
      <c r="K273" s="5" t="s">
        <v>413</v>
      </c>
      <c r="L273" s="5"/>
      <c r="M273" s="5"/>
      <c r="N273" s="7"/>
      <c r="O273" s="5" t="s">
        <v>553</v>
      </c>
      <c r="P273" s="8">
        <v>920.81</v>
      </c>
      <c r="Q273" s="8">
        <f t="shared" si="4"/>
        <v>328885.25</v>
      </c>
    </row>
    <row r="274" spans="1:17" x14ac:dyDescent="0.25">
      <c r="A274" s="5"/>
      <c r="B274" s="5"/>
      <c r="C274" s="5"/>
      <c r="D274" s="5"/>
      <c r="E274" s="5"/>
      <c r="F274" s="5"/>
      <c r="G274" s="5"/>
      <c r="H274" s="5" t="s">
        <v>23</v>
      </c>
      <c r="I274" s="6">
        <v>44803</v>
      </c>
      <c r="J274" s="5" t="s">
        <v>270</v>
      </c>
      <c r="K274" s="5" t="s">
        <v>413</v>
      </c>
      <c r="L274" s="5"/>
      <c r="M274" s="5"/>
      <c r="N274" s="7"/>
      <c r="O274" s="5" t="s">
        <v>553</v>
      </c>
      <c r="P274" s="8">
        <v>640.78</v>
      </c>
      <c r="Q274" s="8">
        <f t="shared" si="4"/>
        <v>329526.03000000003</v>
      </c>
    </row>
    <row r="275" spans="1:17" x14ac:dyDescent="0.25">
      <c r="A275" s="5"/>
      <c r="B275" s="5"/>
      <c r="C275" s="5"/>
      <c r="D275" s="5"/>
      <c r="E275" s="5"/>
      <c r="F275" s="5"/>
      <c r="G275" s="5"/>
      <c r="H275" s="5" t="s">
        <v>23</v>
      </c>
      <c r="I275" s="6">
        <v>44803</v>
      </c>
      <c r="J275" s="5" t="s">
        <v>271</v>
      </c>
      <c r="K275" s="5" t="s">
        <v>413</v>
      </c>
      <c r="L275" s="5"/>
      <c r="M275" s="5"/>
      <c r="N275" s="7"/>
      <c r="O275" s="5" t="s">
        <v>553</v>
      </c>
      <c r="P275" s="8">
        <v>515</v>
      </c>
      <c r="Q275" s="8">
        <f t="shared" si="4"/>
        <v>330041.03000000003</v>
      </c>
    </row>
    <row r="276" spans="1:17" x14ac:dyDescent="0.25">
      <c r="A276" s="5"/>
      <c r="B276" s="5"/>
      <c r="C276" s="5"/>
      <c r="D276" s="5"/>
      <c r="E276" s="5"/>
      <c r="F276" s="5"/>
      <c r="G276" s="5"/>
      <c r="H276" s="5" t="s">
        <v>23</v>
      </c>
      <c r="I276" s="6">
        <v>44803</v>
      </c>
      <c r="J276" s="5" t="s">
        <v>272</v>
      </c>
      <c r="K276" s="5" t="s">
        <v>412</v>
      </c>
      <c r="L276" s="5"/>
      <c r="M276" s="5"/>
      <c r="N276" s="7"/>
      <c r="O276" s="5" t="s">
        <v>553</v>
      </c>
      <c r="P276" s="8">
        <v>1106</v>
      </c>
      <c r="Q276" s="8">
        <f t="shared" si="4"/>
        <v>331147.03000000003</v>
      </c>
    </row>
    <row r="277" spans="1:17" x14ac:dyDescent="0.25">
      <c r="A277" s="5"/>
      <c r="B277" s="5"/>
      <c r="C277" s="5"/>
      <c r="D277" s="5"/>
      <c r="E277" s="5"/>
      <c r="F277" s="5"/>
      <c r="G277" s="5"/>
      <c r="H277" s="5" t="s">
        <v>23</v>
      </c>
      <c r="I277" s="6">
        <v>44804</v>
      </c>
      <c r="J277" s="5" t="s">
        <v>273</v>
      </c>
      <c r="K277" s="5" t="s">
        <v>413</v>
      </c>
      <c r="L277" s="5"/>
      <c r="M277" s="5"/>
      <c r="N277" s="7"/>
      <c r="O277" s="5" t="s">
        <v>553</v>
      </c>
      <c r="P277" s="8">
        <v>163.92</v>
      </c>
      <c r="Q277" s="8">
        <f t="shared" si="4"/>
        <v>331310.95</v>
      </c>
    </row>
    <row r="278" spans="1:17" x14ac:dyDescent="0.25">
      <c r="A278" s="5"/>
      <c r="B278" s="5"/>
      <c r="C278" s="5"/>
      <c r="D278" s="5"/>
      <c r="E278" s="5"/>
      <c r="F278" s="5"/>
      <c r="G278" s="5"/>
      <c r="H278" s="5" t="s">
        <v>23</v>
      </c>
      <c r="I278" s="6">
        <v>44804</v>
      </c>
      <c r="J278" s="5" t="s">
        <v>274</v>
      </c>
      <c r="K278" s="5" t="s">
        <v>413</v>
      </c>
      <c r="L278" s="5"/>
      <c r="M278" s="5"/>
      <c r="N278" s="7"/>
      <c r="O278" s="5" t="s">
        <v>553</v>
      </c>
      <c r="P278" s="8">
        <v>1100.71</v>
      </c>
      <c r="Q278" s="8">
        <f t="shared" si="4"/>
        <v>332411.65999999997</v>
      </c>
    </row>
    <row r="279" spans="1:17" x14ac:dyDescent="0.25">
      <c r="A279" s="5"/>
      <c r="B279" s="5"/>
      <c r="C279" s="5"/>
      <c r="D279" s="5"/>
      <c r="E279" s="5"/>
      <c r="F279" s="5"/>
      <c r="G279" s="5"/>
      <c r="H279" s="5" t="s">
        <v>23</v>
      </c>
      <c r="I279" s="6">
        <v>44804</v>
      </c>
      <c r="J279" s="5" t="s">
        <v>275</v>
      </c>
      <c r="K279" s="5" t="s">
        <v>413</v>
      </c>
      <c r="L279" s="5"/>
      <c r="M279" s="5"/>
      <c r="N279" s="7"/>
      <c r="O279" s="5" t="s">
        <v>553</v>
      </c>
      <c r="P279" s="8">
        <v>409.3</v>
      </c>
      <c r="Q279" s="8">
        <f t="shared" si="4"/>
        <v>332820.96000000002</v>
      </c>
    </row>
    <row r="280" spans="1:17" x14ac:dyDescent="0.25">
      <c r="A280" s="5"/>
      <c r="B280" s="5"/>
      <c r="C280" s="5"/>
      <c r="D280" s="5"/>
      <c r="E280" s="5"/>
      <c r="F280" s="5"/>
      <c r="G280" s="5"/>
      <c r="H280" s="5" t="s">
        <v>23</v>
      </c>
      <c r="I280" s="6">
        <v>44804</v>
      </c>
      <c r="J280" s="5" t="s">
        <v>276</v>
      </c>
      <c r="K280" s="5" t="s">
        <v>413</v>
      </c>
      <c r="L280" s="5"/>
      <c r="M280" s="5"/>
      <c r="N280" s="7"/>
      <c r="O280" s="5" t="s">
        <v>553</v>
      </c>
      <c r="P280" s="8">
        <v>31</v>
      </c>
      <c r="Q280" s="8">
        <f t="shared" si="4"/>
        <v>332851.96000000002</v>
      </c>
    </row>
    <row r="281" spans="1:17" x14ac:dyDescent="0.25">
      <c r="A281" s="5"/>
      <c r="B281" s="5"/>
      <c r="C281" s="5"/>
      <c r="D281" s="5"/>
      <c r="E281" s="5"/>
      <c r="F281" s="5"/>
      <c r="G281" s="5"/>
      <c r="H281" s="5" t="s">
        <v>23</v>
      </c>
      <c r="I281" s="6">
        <v>44804</v>
      </c>
      <c r="J281" s="5" t="s">
        <v>277</v>
      </c>
      <c r="K281" s="5" t="s">
        <v>413</v>
      </c>
      <c r="L281" s="5"/>
      <c r="M281" s="5"/>
      <c r="N281" s="7"/>
      <c r="O281" s="5" t="s">
        <v>553</v>
      </c>
      <c r="P281" s="8">
        <v>709.93</v>
      </c>
      <c r="Q281" s="8">
        <f t="shared" si="4"/>
        <v>333561.89</v>
      </c>
    </row>
    <row r="282" spans="1:17" x14ac:dyDescent="0.25">
      <c r="A282" s="5"/>
      <c r="B282" s="5"/>
      <c r="C282" s="5"/>
      <c r="D282" s="5"/>
      <c r="E282" s="5"/>
      <c r="F282" s="5"/>
      <c r="G282" s="5"/>
      <c r="H282" s="5" t="s">
        <v>23</v>
      </c>
      <c r="I282" s="6">
        <v>44804</v>
      </c>
      <c r="J282" s="5" t="s">
        <v>278</v>
      </c>
      <c r="K282" s="5" t="s">
        <v>413</v>
      </c>
      <c r="L282" s="5"/>
      <c r="M282" s="5"/>
      <c r="N282" s="7"/>
      <c r="O282" s="5" t="s">
        <v>553</v>
      </c>
      <c r="P282" s="8">
        <v>55.65</v>
      </c>
      <c r="Q282" s="8">
        <f t="shared" si="4"/>
        <v>333617.53999999998</v>
      </c>
    </row>
    <row r="283" spans="1:17" x14ac:dyDescent="0.25">
      <c r="A283" s="5"/>
      <c r="B283" s="5"/>
      <c r="C283" s="5"/>
      <c r="D283" s="5"/>
      <c r="E283" s="5"/>
      <c r="F283" s="5"/>
      <c r="G283" s="5"/>
      <c r="H283" s="5" t="s">
        <v>23</v>
      </c>
      <c r="I283" s="6">
        <v>44804</v>
      </c>
      <c r="J283" s="5" t="s">
        <v>279</v>
      </c>
      <c r="K283" s="5" t="s">
        <v>412</v>
      </c>
      <c r="L283" s="5"/>
      <c r="M283" s="5"/>
      <c r="N283" s="7"/>
      <c r="O283" s="5" t="s">
        <v>553</v>
      </c>
      <c r="P283" s="8">
        <v>612</v>
      </c>
      <c r="Q283" s="8">
        <f t="shared" si="4"/>
        <v>334229.53999999998</v>
      </c>
    </row>
    <row r="284" spans="1:17" x14ac:dyDescent="0.25">
      <c r="A284" s="5"/>
      <c r="B284" s="5"/>
      <c r="C284" s="5"/>
      <c r="D284" s="5"/>
      <c r="E284" s="5"/>
      <c r="F284" s="5"/>
      <c r="G284" s="5"/>
      <c r="H284" s="5" t="s">
        <v>23</v>
      </c>
      <c r="I284" s="6">
        <v>44806</v>
      </c>
      <c r="J284" s="5" t="s">
        <v>280</v>
      </c>
      <c r="K284" s="5" t="s">
        <v>413</v>
      </c>
      <c r="L284" s="5"/>
      <c r="M284" s="5"/>
      <c r="N284" s="7"/>
      <c r="O284" s="5" t="s">
        <v>553</v>
      </c>
      <c r="P284" s="8">
        <v>901.52</v>
      </c>
      <c r="Q284" s="8">
        <f t="shared" si="4"/>
        <v>335131.06</v>
      </c>
    </row>
    <row r="285" spans="1:17" x14ac:dyDescent="0.25">
      <c r="A285" s="5"/>
      <c r="B285" s="5"/>
      <c r="C285" s="5"/>
      <c r="D285" s="5"/>
      <c r="E285" s="5"/>
      <c r="F285" s="5"/>
      <c r="G285" s="5"/>
      <c r="H285" s="5" t="s">
        <v>23</v>
      </c>
      <c r="I285" s="6">
        <v>44806</v>
      </c>
      <c r="J285" s="5" t="s">
        <v>281</v>
      </c>
      <c r="K285" s="5" t="s">
        <v>413</v>
      </c>
      <c r="L285" s="5"/>
      <c r="M285" s="5"/>
      <c r="N285" s="7"/>
      <c r="O285" s="5" t="s">
        <v>553</v>
      </c>
      <c r="P285" s="8">
        <v>400.38</v>
      </c>
      <c r="Q285" s="8">
        <f t="shared" si="4"/>
        <v>335531.44</v>
      </c>
    </row>
    <row r="286" spans="1:17" x14ac:dyDescent="0.25">
      <c r="A286" s="5"/>
      <c r="B286" s="5"/>
      <c r="C286" s="5"/>
      <c r="D286" s="5"/>
      <c r="E286" s="5"/>
      <c r="F286" s="5"/>
      <c r="G286" s="5"/>
      <c r="H286" s="5" t="s">
        <v>23</v>
      </c>
      <c r="I286" s="6">
        <v>44806</v>
      </c>
      <c r="J286" s="5" t="s">
        <v>282</v>
      </c>
      <c r="K286" s="5" t="s">
        <v>413</v>
      </c>
      <c r="L286" s="5"/>
      <c r="M286" s="5"/>
      <c r="N286" s="7"/>
      <c r="O286" s="5" t="s">
        <v>553</v>
      </c>
      <c r="P286" s="8">
        <v>284.5</v>
      </c>
      <c r="Q286" s="8">
        <f t="shared" si="4"/>
        <v>335815.94</v>
      </c>
    </row>
    <row r="287" spans="1:17" x14ac:dyDescent="0.25">
      <c r="A287" s="5"/>
      <c r="B287" s="5"/>
      <c r="C287" s="5"/>
      <c r="D287" s="5"/>
      <c r="E287" s="5"/>
      <c r="F287" s="5"/>
      <c r="G287" s="5"/>
      <c r="H287" s="5" t="s">
        <v>23</v>
      </c>
      <c r="I287" s="6">
        <v>44806</v>
      </c>
      <c r="J287" s="5" t="s">
        <v>283</v>
      </c>
      <c r="K287" s="5" t="s">
        <v>413</v>
      </c>
      <c r="L287" s="5"/>
      <c r="M287" s="5"/>
      <c r="N287" s="7"/>
      <c r="O287" s="5" t="s">
        <v>553</v>
      </c>
      <c r="P287" s="8">
        <v>729.25</v>
      </c>
      <c r="Q287" s="8">
        <f t="shared" si="4"/>
        <v>336545.19</v>
      </c>
    </row>
    <row r="288" spans="1:17" x14ac:dyDescent="0.25">
      <c r="A288" s="5"/>
      <c r="B288" s="5"/>
      <c r="C288" s="5"/>
      <c r="D288" s="5"/>
      <c r="E288" s="5"/>
      <c r="F288" s="5"/>
      <c r="G288" s="5"/>
      <c r="H288" s="5" t="s">
        <v>23</v>
      </c>
      <c r="I288" s="6">
        <v>44806</v>
      </c>
      <c r="J288" s="5" t="s">
        <v>284</v>
      </c>
      <c r="K288" s="5" t="s">
        <v>413</v>
      </c>
      <c r="L288" s="5"/>
      <c r="M288" s="5"/>
      <c r="N288" s="7"/>
      <c r="O288" s="5" t="s">
        <v>553</v>
      </c>
      <c r="P288" s="8">
        <v>256.86</v>
      </c>
      <c r="Q288" s="8">
        <f t="shared" si="4"/>
        <v>336802.05</v>
      </c>
    </row>
    <row r="289" spans="1:17" x14ac:dyDescent="0.25">
      <c r="A289" s="5"/>
      <c r="B289" s="5"/>
      <c r="C289" s="5"/>
      <c r="D289" s="5"/>
      <c r="E289" s="5"/>
      <c r="F289" s="5"/>
      <c r="G289" s="5"/>
      <c r="H289" s="5" t="s">
        <v>23</v>
      </c>
      <c r="I289" s="6">
        <v>44806</v>
      </c>
      <c r="J289" s="5" t="s">
        <v>285</v>
      </c>
      <c r="K289" s="5" t="s">
        <v>413</v>
      </c>
      <c r="L289" s="5"/>
      <c r="M289" s="5"/>
      <c r="N289" s="7"/>
      <c r="O289" s="5" t="s">
        <v>553</v>
      </c>
      <c r="P289" s="8">
        <v>683.29</v>
      </c>
      <c r="Q289" s="8">
        <f t="shared" si="4"/>
        <v>337485.34</v>
      </c>
    </row>
    <row r="290" spans="1:17" x14ac:dyDescent="0.25">
      <c r="A290" s="5"/>
      <c r="B290" s="5"/>
      <c r="C290" s="5"/>
      <c r="D290" s="5"/>
      <c r="E290" s="5"/>
      <c r="F290" s="5"/>
      <c r="G290" s="5"/>
      <c r="H290" s="5" t="s">
        <v>23</v>
      </c>
      <c r="I290" s="6">
        <v>44806</v>
      </c>
      <c r="J290" s="5" t="s">
        <v>286</v>
      </c>
      <c r="K290" s="5" t="s">
        <v>413</v>
      </c>
      <c r="L290" s="5"/>
      <c r="M290" s="5"/>
      <c r="N290" s="7"/>
      <c r="O290" s="5" t="s">
        <v>553</v>
      </c>
      <c r="P290" s="8">
        <v>220.55</v>
      </c>
      <c r="Q290" s="8">
        <f t="shared" si="4"/>
        <v>337705.89</v>
      </c>
    </row>
    <row r="291" spans="1:17" x14ac:dyDescent="0.25">
      <c r="A291" s="5"/>
      <c r="B291" s="5"/>
      <c r="C291" s="5"/>
      <c r="D291" s="5"/>
      <c r="E291" s="5"/>
      <c r="F291" s="5"/>
      <c r="G291" s="5"/>
      <c r="H291" s="5" t="s">
        <v>23</v>
      </c>
      <c r="I291" s="6">
        <v>44806</v>
      </c>
      <c r="J291" s="5" t="s">
        <v>287</v>
      </c>
      <c r="K291" s="5" t="s">
        <v>413</v>
      </c>
      <c r="L291" s="5"/>
      <c r="M291" s="5"/>
      <c r="N291" s="7"/>
      <c r="O291" s="5" t="s">
        <v>553</v>
      </c>
      <c r="P291" s="8">
        <v>504.7</v>
      </c>
      <c r="Q291" s="8">
        <f t="shared" si="4"/>
        <v>338210.59</v>
      </c>
    </row>
    <row r="292" spans="1:17" x14ac:dyDescent="0.25">
      <c r="A292" s="5"/>
      <c r="B292" s="5"/>
      <c r="C292" s="5"/>
      <c r="D292" s="5"/>
      <c r="E292" s="5"/>
      <c r="F292" s="5"/>
      <c r="G292" s="5"/>
      <c r="H292" s="5" t="s">
        <v>23</v>
      </c>
      <c r="I292" s="6">
        <v>44806</v>
      </c>
      <c r="J292" s="5" t="s">
        <v>288</v>
      </c>
      <c r="K292" s="5" t="s">
        <v>413</v>
      </c>
      <c r="L292" s="5"/>
      <c r="M292" s="5"/>
      <c r="N292" s="7"/>
      <c r="O292" s="5" t="s">
        <v>553</v>
      </c>
      <c r="P292" s="8">
        <v>140</v>
      </c>
      <c r="Q292" s="8">
        <f t="shared" si="4"/>
        <v>338350.59</v>
      </c>
    </row>
    <row r="293" spans="1:17" x14ac:dyDescent="0.25">
      <c r="A293" s="5"/>
      <c r="B293" s="5"/>
      <c r="C293" s="5"/>
      <c r="D293" s="5"/>
      <c r="E293" s="5"/>
      <c r="F293" s="5"/>
      <c r="G293" s="5"/>
      <c r="H293" s="5" t="s">
        <v>23</v>
      </c>
      <c r="I293" s="6">
        <v>44806</v>
      </c>
      <c r="J293" s="5" t="s">
        <v>289</v>
      </c>
      <c r="K293" s="5" t="s">
        <v>413</v>
      </c>
      <c r="L293" s="5"/>
      <c r="M293" s="5"/>
      <c r="N293" s="7"/>
      <c r="O293" s="5" t="s">
        <v>553</v>
      </c>
      <c r="P293" s="8">
        <v>321.47000000000003</v>
      </c>
      <c r="Q293" s="8">
        <f t="shared" si="4"/>
        <v>338672.06</v>
      </c>
    </row>
    <row r="294" spans="1:17" x14ac:dyDescent="0.25">
      <c r="A294" s="5"/>
      <c r="B294" s="5"/>
      <c r="C294" s="5"/>
      <c r="D294" s="5"/>
      <c r="E294" s="5"/>
      <c r="F294" s="5"/>
      <c r="G294" s="5"/>
      <c r="H294" s="5" t="s">
        <v>23</v>
      </c>
      <c r="I294" s="6">
        <v>44806</v>
      </c>
      <c r="J294" s="5" t="s">
        <v>290</v>
      </c>
      <c r="K294" s="5" t="s">
        <v>413</v>
      </c>
      <c r="L294" s="5"/>
      <c r="M294" s="5"/>
      <c r="N294" s="7"/>
      <c r="O294" s="5" t="s">
        <v>553</v>
      </c>
      <c r="P294" s="8">
        <v>1035.07</v>
      </c>
      <c r="Q294" s="8">
        <f t="shared" si="4"/>
        <v>339707.13</v>
      </c>
    </row>
    <row r="295" spans="1:17" x14ac:dyDescent="0.25">
      <c r="A295" s="5"/>
      <c r="B295" s="5"/>
      <c r="C295" s="5"/>
      <c r="D295" s="5"/>
      <c r="E295" s="5"/>
      <c r="F295" s="5"/>
      <c r="G295" s="5"/>
      <c r="H295" s="5" t="s">
        <v>23</v>
      </c>
      <c r="I295" s="6">
        <v>44806</v>
      </c>
      <c r="J295" s="5" t="s">
        <v>291</v>
      </c>
      <c r="K295" s="5" t="s">
        <v>413</v>
      </c>
      <c r="L295" s="5"/>
      <c r="M295" s="5"/>
      <c r="N295" s="7"/>
      <c r="O295" s="5" t="s">
        <v>553</v>
      </c>
      <c r="P295" s="8">
        <v>507.5</v>
      </c>
      <c r="Q295" s="8">
        <f t="shared" si="4"/>
        <v>340214.63</v>
      </c>
    </row>
    <row r="296" spans="1:17" x14ac:dyDescent="0.25">
      <c r="A296" s="5"/>
      <c r="B296" s="5"/>
      <c r="C296" s="5"/>
      <c r="D296" s="5"/>
      <c r="E296" s="5"/>
      <c r="F296" s="5"/>
      <c r="G296" s="5"/>
      <c r="H296" s="5" t="s">
        <v>23</v>
      </c>
      <c r="I296" s="6">
        <v>44806</v>
      </c>
      <c r="J296" s="5" t="s">
        <v>292</v>
      </c>
      <c r="K296" s="5" t="s">
        <v>413</v>
      </c>
      <c r="L296" s="5"/>
      <c r="M296" s="5"/>
      <c r="N296" s="7"/>
      <c r="O296" s="5" t="s">
        <v>553</v>
      </c>
      <c r="P296" s="8">
        <v>737.95</v>
      </c>
      <c r="Q296" s="8">
        <f t="shared" si="4"/>
        <v>340952.58</v>
      </c>
    </row>
    <row r="297" spans="1:17" x14ac:dyDescent="0.25">
      <c r="A297" s="5"/>
      <c r="B297" s="5"/>
      <c r="C297" s="5"/>
      <c r="D297" s="5"/>
      <c r="E297" s="5"/>
      <c r="F297" s="5"/>
      <c r="G297" s="5"/>
      <c r="H297" s="5" t="s">
        <v>23</v>
      </c>
      <c r="I297" s="6">
        <v>44806</v>
      </c>
      <c r="J297" s="5" t="s">
        <v>293</v>
      </c>
      <c r="K297" s="5" t="s">
        <v>412</v>
      </c>
      <c r="L297" s="5"/>
      <c r="M297" s="5"/>
      <c r="N297" s="7"/>
      <c r="O297" s="5" t="s">
        <v>553</v>
      </c>
      <c r="P297" s="8">
        <v>1271.2</v>
      </c>
      <c r="Q297" s="8">
        <f t="shared" si="4"/>
        <v>342223.78</v>
      </c>
    </row>
    <row r="298" spans="1:17" x14ac:dyDescent="0.25">
      <c r="A298" s="5"/>
      <c r="B298" s="5"/>
      <c r="C298" s="5"/>
      <c r="D298" s="5"/>
      <c r="E298" s="5"/>
      <c r="F298" s="5"/>
      <c r="G298" s="5"/>
      <c r="H298" s="5" t="s">
        <v>23</v>
      </c>
      <c r="I298" s="6">
        <v>44810</v>
      </c>
      <c r="J298" s="5" t="s">
        <v>294</v>
      </c>
      <c r="K298" s="5" t="s">
        <v>413</v>
      </c>
      <c r="L298" s="5"/>
      <c r="M298" s="5"/>
      <c r="N298" s="7"/>
      <c r="O298" s="5" t="s">
        <v>553</v>
      </c>
      <c r="P298" s="8">
        <v>251.53</v>
      </c>
      <c r="Q298" s="8">
        <f t="shared" si="4"/>
        <v>342475.31</v>
      </c>
    </row>
    <row r="299" spans="1:17" x14ac:dyDescent="0.25">
      <c r="A299" s="5"/>
      <c r="B299" s="5"/>
      <c r="C299" s="5"/>
      <c r="D299" s="5"/>
      <c r="E299" s="5"/>
      <c r="F299" s="5"/>
      <c r="G299" s="5"/>
      <c r="H299" s="5" t="s">
        <v>23</v>
      </c>
      <c r="I299" s="6">
        <v>44811</v>
      </c>
      <c r="J299" s="5" t="s">
        <v>295</v>
      </c>
      <c r="K299" s="5" t="s">
        <v>413</v>
      </c>
      <c r="L299" s="5"/>
      <c r="M299" s="5"/>
      <c r="N299" s="7"/>
      <c r="O299" s="5" t="s">
        <v>553</v>
      </c>
      <c r="P299" s="8">
        <v>96.63</v>
      </c>
      <c r="Q299" s="8">
        <f t="shared" si="4"/>
        <v>342571.94</v>
      </c>
    </row>
    <row r="300" spans="1:17" x14ac:dyDescent="0.25">
      <c r="A300" s="5"/>
      <c r="B300" s="5"/>
      <c r="C300" s="5"/>
      <c r="D300" s="5"/>
      <c r="E300" s="5"/>
      <c r="F300" s="5"/>
      <c r="G300" s="5"/>
      <c r="H300" s="5" t="s">
        <v>23</v>
      </c>
      <c r="I300" s="6">
        <v>44811</v>
      </c>
      <c r="J300" s="5" t="s">
        <v>296</v>
      </c>
      <c r="K300" s="5" t="s">
        <v>413</v>
      </c>
      <c r="L300" s="5"/>
      <c r="M300" s="5"/>
      <c r="N300" s="7"/>
      <c r="O300" s="5" t="s">
        <v>553</v>
      </c>
      <c r="P300" s="8">
        <v>838.77</v>
      </c>
      <c r="Q300" s="8">
        <f t="shared" si="4"/>
        <v>343410.71</v>
      </c>
    </row>
    <row r="301" spans="1:17" x14ac:dyDescent="0.25">
      <c r="A301" s="5"/>
      <c r="B301" s="5"/>
      <c r="C301" s="5"/>
      <c r="D301" s="5"/>
      <c r="E301" s="5"/>
      <c r="F301" s="5"/>
      <c r="G301" s="5"/>
      <c r="H301" s="5" t="s">
        <v>23</v>
      </c>
      <c r="I301" s="6">
        <v>44812</v>
      </c>
      <c r="J301" s="5" t="s">
        <v>297</v>
      </c>
      <c r="K301" s="5" t="s">
        <v>423</v>
      </c>
      <c r="L301" s="5" t="s">
        <v>494</v>
      </c>
      <c r="M301" s="5"/>
      <c r="N301" s="7"/>
      <c r="O301" s="5" t="s">
        <v>553</v>
      </c>
      <c r="P301" s="8">
        <v>220000</v>
      </c>
      <c r="Q301" s="8">
        <f t="shared" si="4"/>
        <v>563410.71</v>
      </c>
    </row>
    <row r="302" spans="1:17" x14ac:dyDescent="0.25">
      <c r="A302" s="5"/>
      <c r="B302" s="5"/>
      <c r="C302" s="5"/>
      <c r="D302" s="5"/>
      <c r="E302" s="5"/>
      <c r="F302" s="5"/>
      <c r="G302" s="5"/>
      <c r="H302" s="5" t="s">
        <v>23</v>
      </c>
      <c r="I302" s="6">
        <v>44812</v>
      </c>
      <c r="J302" s="5" t="s">
        <v>298</v>
      </c>
      <c r="K302" s="5" t="s">
        <v>413</v>
      </c>
      <c r="L302" s="5"/>
      <c r="M302" s="5"/>
      <c r="N302" s="7"/>
      <c r="O302" s="5" t="s">
        <v>553</v>
      </c>
      <c r="P302" s="8">
        <v>580.88</v>
      </c>
      <c r="Q302" s="8">
        <f t="shared" si="4"/>
        <v>563991.59</v>
      </c>
    </row>
    <row r="303" spans="1:17" x14ac:dyDescent="0.25">
      <c r="A303" s="5"/>
      <c r="B303" s="5"/>
      <c r="C303" s="5"/>
      <c r="D303" s="5"/>
      <c r="E303" s="5"/>
      <c r="F303" s="5"/>
      <c r="G303" s="5"/>
      <c r="H303" s="5" t="s">
        <v>23</v>
      </c>
      <c r="I303" s="6">
        <v>44812</v>
      </c>
      <c r="J303" s="5" t="s">
        <v>299</v>
      </c>
      <c r="K303" s="5" t="s">
        <v>413</v>
      </c>
      <c r="L303" s="5"/>
      <c r="M303" s="5"/>
      <c r="N303" s="7"/>
      <c r="O303" s="5" t="s">
        <v>553</v>
      </c>
      <c r="P303" s="8">
        <v>553</v>
      </c>
      <c r="Q303" s="8">
        <f t="shared" si="4"/>
        <v>564544.59</v>
      </c>
    </row>
    <row r="304" spans="1:17" x14ac:dyDescent="0.25">
      <c r="A304" s="5"/>
      <c r="B304" s="5"/>
      <c r="C304" s="5"/>
      <c r="D304" s="5"/>
      <c r="E304" s="5"/>
      <c r="F304" s="5"/>
      <c r="G304" s="5"/>
      <c r="H304" s="5" t="s">
        <v>23</v>
      </c>
      <c r="I304" s="6">
        <v>44812</v>
      </c>
      <c r="J304" s="5" t="s">
        <v>300</v>
      </c>
      <c r="K304" s="5" t="s">
        <v>412</v>
      </c>
      <c r="L304" s="5"/>
      <c r="M304" s="5"/>
      <c r="N304" s="7"/>
      <c r="O304" s="5" t="s">
        <v>553</v>
      </c>
      <c r="P304" s="8">
        <v>572.04</v>
      </c>
      <c r="Q304" s="8">
        <f t="shared" si="4"/>
        <v>565116.63</v>
      </c>
    </row>
    <row r="305" spans="1:17" x14ac:dyDescent="0.25">
      <c r="A305" s="5"/>
      <c r="B305" s="5"/>
      <c r="C305" s="5"/>
      <c r="D305" s="5"/>
      <c r="E305" s="5"/>
      <c r="F305" s="5"/>
      <c r="G305" s="5"/>
      <c r="H305" s="5" t="s">
        <v>23</v>
      </c>
      <c r="I305" s="6">
        <v>44816</v>
      </c>
      <c r="J305" s="5" t="s">
        <v>301</v>
      </c>
      <c r="K305" s="5" t="s">
        <v>413</v>
      </c>
      <c r="L305" s="5"/>
      <c r="M305" s="5"/>
      <c r="N305" s="7"/>
      <c r="O305" s="5" t="s">
        <v>553</v>
      </c>
      <c r="P305" s="8">
        <v>887.15</v>
      </c>
      <c r="Q305" s="8">
        <f t="shared" si="4"/>
        <v>566003.78</v>
      </c>
    </row>
    <row r="306" spans="1:17" x14ac:dyDescent="0.25">
      <c r="A306" s="5"/>
      <c r="B306" s="5"/>
      <c r="C306" s="5"/>
      <c r="D306" s="5"/>
      <c r="E306" s="5"/>
      <c r="F306" s="5"/>
      <c r="G306" s="5"/>
      <c r="H306" s="5" t="s">
        <v>23</v>
      </c>
      <c r="I306" s="6">
        <v>44816</v>
      </c>
      <c r="J306" s="5" t="s">
        <v>302</v>
      </c>
      <c r="K306" s="5" t="s">
        <v>412</v>
      </c>
      <c r="L306" s="5"/>
      <c r="M306" s="5"/>
      <c r="N306" s="7"/>
      <c r="O306" s="5" t="s">
        <v>553</v>
      </c>
      <c r="P306" s="8">
        <v>176.52</v>
      </c>
      <c r="Q306" s="8">
        <f t="shared" si="4"/>
        <v>566180.30000000005</v>
      </c>
    </row>
    <row r="307" spans="1:17" x14ac:dyDescent="0.25">
      <c r="A307" s="5"/>
      <c r="B307" s="5"/>
      <c r="C307" s="5"/>
      <c r="D307" s="5"/>
      <c r="E307" s="5"/>
      <c r="F307" s="5"/>
      <c r="G307" s="5"/>
      <c r="H307" s="5" t="s">
        <v>23</v>
      </c>
      <c r="I307" s="6">
        <v>44817</v>
      </c>
      <c r="J307" s="5" t="s">
        <v>303</v>
      </c>
      <c r="K307" s="5" t="s">
        <v>424</v>
      </c>
      <c r="L307" s="5" t="s">
        <v>495</v>
      </c>
      <c r="M307" s="5"/>
      <c r="N307" s="7"/>
      <c r="O307" s="5" t="s">
        <v>553</v>
      </c>
      <c r="P307" s="8">
        <v>0</v>
      </c>
      <c r="Q307" s="8">
        <f t="shared" si="4"/>
        <v>566180.30000000005</v>
      </c>
    </row>
    <row r="308" spans="1:17" x14ac:dyDescent="0.25">
      <c r="A308" s="5"/>
      <c r="B308" s="5"/>
      <c r="C308" s="5"/>
      <c r="D308" s="5"/>
      <c r="E308" s="5"/>
      <c r="F308" s="5"/>
      <c r="G308" s="5"/>
      <c r="H308" s="5" t="s">
        <v>23</v>
      </c>
      <c r="I308" s="6">
        <v>44817</v>
      </c>
      <c r="J308" s="5" t="s">
        <v>303</v>
      </c>
      <c r="K308" s="5" t="s">
        <v>424</v>
      </c>
      <c r="L308" s="5" t="s">
        <v>496</v>
      </c>
      <c r="M308" s="5"/>
      <c r="N308" s="7"/>
      <c r="O308" s="5" t="s">
        <v>553</v>
      </c>
      <c r="P308" s="8">
        <v>0</v>
      </c>
      <c r="Q308" s="8">
        <f t="shared" si="4"/>
        <v>566180.30000000005</v>
      </c>
    </row>
    <row r="309" spans="1:17" x14ac:dyDescent="0.25">
      <c r="A309" s="5"/>
      <c r="B309" s="5"/>
      <c r="C309" s="5"/>
      <c r="D309" s="5"/>
      <c r="E309" s="5"/>
      <c r="F309" s="5"/>
      <c r="G309" s="5"/>
      <c r="H309" s="5" t="s">
        <v>23</v>
      </c>
      <c r="I309" s="6">
        <v>44817</v>
      </c>
      <c r="J309" s="5" t="s">
        <v>303</v>
      </c>
      <c r="K309" s="5" t="s">
        <v>424</v>
      </c>
      <c r="L309" s="5" t="s">
        <v>497</v>
      </c>
      <c r="M309" s="5"/>
      <c r="N309" s="7"/>
      <c r="O309" s="5" t="s">
        <v>553</v>
      </c>
      <c r="P309" s="8">
        <v>0</v>
      </c>
      <c r="Q309" s="8">
        <f t="shared" si="4"/>
        <v>566180.30000000005</v>
      </c>
    </row>
    <row r="310" spans="1:17" x14ac:dyDescent="0.25">
      <c r="A310" s="5"/>
      <c r="B310" s="5"/>
      <c r="C310" s="5"/>
      <c r="D310" s="5"/>
      <c r="E310" s="5"/>
      <c r="F310" s="5"/>
      <c r="G310" s="5"/>
      <c r="H310" s="5" t="s">
        <v>23</v>
      </c>
      <c r="I310" s="6">
        <v>44817</v>
      </c>
      <c r="J310" s="5" t="s">
        <v>303</v>
      </c>
      <c r="K310" s="5" t="s">
        <v>424</v>
      </c>
      <c r="L310" s="5" t="s">
        <v>498</v>
      </c>
      <c r="M310" s="5"/>
      <c r="N310" s="7"/>
      <c r="O310" s="5" t="s">
        <v>553</v>
      </c>
      <c r="P310" s="8">
        <v>4860</v>
      </c>
      <c r="Q310" s="8">
        <f t="shared" si="4"/>
        <v>571040.30000000005</v>
      </c>
    </row>
    <row r="311" spans="1:17" x14ac:dyDescent="0.25">
      <c r="A311" s="5"/>
      <c r="B311" s="5"/>
      <c r="C311" s="5"/>
      <c r="D311" s="5"/>
      <c r="E311" s="5"/>
      <c r="F311" s="5"/>
      <c r="G311" s="5"/>
      <c r="H311" s="5" t="s">
        <v>23</v>
      </c>
      <c r="I311" s="6">
        <v>44818</v>
      </c>
      <c r="J311" s="5" t="s">
        <v>304</v>
      </c>
      <c r="K311" s="5" t="s">
        <v>412</v>
      </c>
      <c r="L311" s="5"/>
      <c r="M311" s="5"/>
      <c r="N311" s="7"/>
      <c r="O311" s="5" t="s">
        <v>553</v>
      </c>
      <c r="P311" s="8">
        <v>158</v>
      </c>
      <c r="Q311" s="8">
        <f t="shared" si="4"/>
        <v>571198.30000000005</v>
      </c>
    </row>
    <row r="312" spans="1:17" x14ac:dyDescent="0.25">
      <c r="A312" s="5"/>
      <c r="B312" s="5"/>
      <c r="C312" s="5"/>
      <c r="D312" s="5"/>
      <c r="E312" s="5"/>
      <c r="F312" s="5"/>
      <c r="G312" s="5"/>
      <c r="H312" s="5" t="s">
        <v>23</v>
      </c>
      <c r="I312" s="6">
        <v>44818</v>
      </c>
      <c r="J312" s="5" t="s">
        <v>305</v>
      </c>
      <c r="K312" s="5" t="s">
        <v>412</v>
      </c>
      <c r="L312" s="5"/>
      <c r="M312" s="5"/>
      <c r="N312" s="7"/>
      <c r="O312" s="5" t="s">
        <v>553</v>
      </c>
      <c r="P312" s="8">
        <v>220.65</v>
      </c>
      <c r="Q312" s="8">
        <f t="shared" si="4"/>
        <v>571418.94999999995</v>
      </c>
    </row>
    <row r="313" spans="1:17" x14ac:dyDescent="0.25">
      <c r="A313" s="5"/>
      <c r="B313" s="5"/>
      <c r="C313" s="5"/>
      <c r="D313" s="5"/>
      <c r="E313" s="5"/>
      <c r="F313" s="5"/>
      <c r="G313" s="5"/>
      <c r="H313" s="5" t="s">
        <v>23</v>
      </c>
      <c r="I313" s="6">
        <v>44819</v>
      </c>
      <c r="J313" s="5" t="s">
        <v>306</v>
      </c>
      <c r="K313" s="5" t="s">
        <v>412</v>
      </c>
      <c r="L313" s="5"/>
      <c r="M313" s="5"/>
      <c r="N313" s="7"/>
      <c r="O313" s="5" t="s">
        <v>553</v>
      </c>
      <c r="P313" s="8">
        <v>3068.35</v>
      </c>
      <c r="Q313" s="8">
        <f t="shared" si="4"/>
        <v>574487.30000000005</v>
      </c>
    </row>
    <row r="314" spans="1:17" x14ac:dyDescent="0.25">
      <c r="A314" s="5"/>
      <c r="B314" s="5"/>
      <c r="C314" s="5"/>
      <c r="D314" s="5"/>
      <c r="E314" s="5"/>
      <c r="F314" s="5"/>
      <c r="G314" s="5"/>
      <c r="H314" s="5" t="s">
        <v>23</v>
      </c>
      <c r="I314" s="6">
        <v>44819</v>
      </c>
      <c r="J314" s="5" t="s">
        <v>307</v>
      </c>
      <c r="K314" s="5" t="s">
        <v>425</v>
      </c>
      <c r="L314" s="5" t="s">
        <v>499</v>
      </c>
      <c r="M314" s="5"/>
      <c r="N314" s="7"/>
      <c r="O314" s="5" t="s">
        <v>553</v>
      </c>
      <c r="P314" s="8">
        <v>5600</v>
      </c>
      <c r="Q314" s="8">
        <f t="shared" si="4"/>
        <v>580087.30000000005</v>
      </c>
    </row>
    <row r="315" spans="1:17" x14ac:dyDescent="0.25">
      <c r="A315" s="5"/>
      <c r="B315" s="5"/>
      <c r="C315" s="5"/>
      <c r="D315" s="5"/>
      <c r="E315" s="5"/>
      <c r="F315" s="5"/>
      <c r="G315" s="5"/>
      <c r="H315" s="5" t="s">
        <v>23</v>
      </c>
      <c r="I315" s="6">
        <v>44819</v>
      </c>
      <c r="J315" s="5" t="s">
        <v>307</v>
      </c>
      <c r="K315" s="5" t="s">
        <v>425</v>
      </c>
      <c r="L315" s="5" t="s">
        <v>500</v>
      </c>
      <c r="M315" s="5"/>
      <c r="N315" s="7"/>
      <c r="O315" s="5" t="s">
        <v>553</v>
      </c>
      <c r="P315" s="8">
        <v>0</v>
      </c>
      <c r="Q315" s="8">
        <f t="shared" si="4"/>
        <v>580087.30000000005</v>
      </c>
    </row>
    <row r="316" spans="1:17" x14ac:dyDescent="0.25">
      <c r="A316" s="5"/>
      <c r="B316" s="5"/>
      <c r="C316" s="5"/>
      <c r="D316" s="5"/>
      <c r="E316" s="5"/>
      <c r="F316" s="5"/>
      <c r="G316" s="5"/>
      <c r="H316" s="5" t="s">
        <v>23</v>
      </c>
      <c r="I316" s="6">
        <v>44819</v>
      </c>
      <c r="J316" s="5" t="s">
        <v>307</v>
      </c>
      <c r="K316" s="5" t="s">
        <v>425</v>
      </c>
      <c r="L316" s="5" t="s">
        <v>501</v>
      </c>
      <c r="M316" s="5"/>
      <c r="N316" s="7"/>
      <c r="O316" s="5" t="s">
        <v>553</v>
      </c>
      <c r="P316" s="8">
        <v>0</v>
      </c>
      <c r="Q316" s="8">
        <f t="shared" si="4"/>
        <v>580087.30000000005</v>
      </c>
    </row>
    <row r="317" spans="1:17" x14ac:dyDescent="0.25">
      <c r="A317" s="5"/>
      <c r="B317" s="5"/>
      <c r="C317" s="5"/>
      <c r="D317" s="5"/>
      <c r="E317" s="5"/>
      <c r="F317" s="5"/>
      <c r="G317" s="5"/>
      <c r="H317" s="5" t="s">
        <v>23</v>
      </c>
      <c r="I317" s="6">
        <v>44819</v>
      </c>
      <c r="J317" s="5" t="s">
        <v>78</v>
      </c>
      <c r="K317" s="5" t="s">
        <v>410</v>
      </c>
      <c r="L317" s="5" t="s">
        <v>465</v>
      </c>
      <c r="M317" s="5"/>
      <c r="N317" s="7"/>
      <c r="O317" s="5" t="s">
        <v>553</v>
      </c>
      <c r="P317" s="8">
        <v>7286.18</v>
      </c>
      <c r="Q317" s="8">
        <f t="shared" si="4"/>
        <v>587373.48</v>
      </c>
    </row>
    <row r="318" spans="1:17" x14ac:dyDescent="0.25">
      <c r="A318" s="5"/>
      <c r="B318" s="5"/>
      <c r="C318" s="5"/>
      <c r="D318" s="5"/>
      <c r="E318" s="5"/>
      <c r="F318" s="5"/>
      <c r="G318" s="5"/>
      <c r="H318" s="5" t="s">
        <v>23</v>
      </c>
      <c r="I318" s="6">
        <v>44819</v>
      </c>
      <c r="J318" s="5" t="s">
        <v>78</v>
      </c>
      <c r="K318" s="5" t="s">
        <v>410</v>
      </c>
      <c r="L318" s="5" t="s">
        <v>502</v>
      </c>
      <c r="M318" s="5"/>
      <c r="N318" s="7"/>
      <c r="O318" s="5" t="s">
        <v>553</v>
      </c>
      <c r="P318" s="8">
        <v>-728.62</v>
      </c>
      <c r="Q318" s="8">
        <f t="shared" si="4"/>
        <v>586644.86</v>
      </c>
    </row>
    <row r="319" spans="1:17" x14ac:dyDescent="0.25">
      <c r="A319" s="5"/>
      <c r="B319" s="5"/>
      <c r="C319" s="5"/>
      <c r="D319" s="5"/>
      <c r="E319" s="5"/>
      <c r="F319" s="5"/>
      <c r="G319" s="5"/>
      <c r="H319" s="5" t="s">
        <v>23</v>
      </c>
      <c r="I319" s="6">
        <v>44820</v>
      </c>
      <c r="J319" s="5" t="s">
        <v>308</v>
      </c>
      <c r="K319" s="5" t="s">
        <v>413</v>
      </c>
      <c r="L319" s="5"/>
      <c r="M319" s="5"/>
      <c r="N319" s="7"/>
      <c r="O319" s="5" t="s">
        <v>553</v>
      </c>
      <c r="P319" s="8">
        <v>941.78</v>
      </c>
      <c r="Q319" s="8">
        <f t="shared" si="4"/>
        <v>587586.64</v>
      </c>
    </row>
    <row r="320" spans="1:17" x14ac:dyDescent="0.25">
      <c r="A320" s="5"/>
      <c r="B320" s="5"/>
      <c r="C320" s="5"/>
      <c r="D320" s="5"/>
      <c r="E320" s="5"/>
      <c r="F320" s="5"/>
      <c r="G320" s="5"/>
      <c r="H320" s="5" t="s">
        <v>23</v>
      </c>
      <c r="I320" s="6">
        <v>44820</v>
      </c>
      <c r="J320" s="5" t="s">
        <v>309</v>
      </c>
      <c r="K320" s="5" t="s">
        <v>413</v>
      </c>
      <c r="L320" s="5"/>
      <c r="M320" s="5"/>
      <c r="N320" s="7"/>
      <c r="O320" s="5" t="s">
        <v>553</v>
      </c>
      <c r="P320" s="8">
        <v>580.85</v>
      </c>
      <c r="Q320" s="8">
        <f t="shared" si="4"/>
        <v>588167.49</v>
      </c>
    </row>
    <row r="321" spans="1:17" x14ac:dyDescent="0.25">
      <c r="A321" s="5"/>
      <c r="B321" s="5"/>
      <c r="C321" s="5"/>
      <c r="D321" s="5"/>
      <c r="E321" s="5"/>
      <c r="F321" s="5"/>
      <c r="G321" s="5"/>
      <c r="H321" s="5" t="s">
        <v>23</v>
      </c>
      <c r="I321" s="6">
        <v>44820</v>
      </c>
      <c r="J321" s="5" t="s">
        <v>310</v>
      </c>
      <c r="K321" s="5" t="s">
        <v>413</v>
      </c>
      <c r="L321" s="5"/>
      <c r="M321" s="5"/>
      <c r="N321" s="7"/>
      <c r="O321" s="5" t="s">
        <v>553</v>
      </c>
      <c r="P321" s="8">
        <v>374.51</v>
      </c>
      <c r="Q321" s="8">
        <f t="shared" si="4"/>
        <v>588542</v>
      </c>
    </row>
    <row r="322" spans="1:17" x14ac:dyDescent="0.25">
      <c r="A322" s="5"/>
      <c r="B322" s="5"/>
      <c r="C322" s="5"/>
      <c r="D322" s="5"/>
      <c r="E322" s="5"/>
      <c r="F322" s="5"/>
      <c r="G322" s="5"/>
      <c r="H322" s="5" t="s">
        <v>23</v>
      </c>
      <c r="I322" s="6">
        <v>44820</v>
      </c>
      <c r="J322" s="5" t="s">
        <v>311</v>
      </c>
      <c r="K322" s="5" t="s">
        <v>413</v>
      </c>
      <c r="L322" s="5"/>
      <c r="M322" s="5"/>
      <c r="N322" s="7"/>
      <c r="O322" s="5" t="s">
        <v>553</v>
      </c>
      <c r="P322" s="8">
        <v>699.75</v>
      </c>
      <c r="Q322" s="8">
        <f t="shared" si="4"/>
        <v>589241.75</v>
      </c>
    </row>
    <row r="323" spans="1:17" x14ac:dyDescent="0.25">
      <c r="A323" s="5"/>
      <c r="B323" s="5"/>
      <c r="C323" s="5"/>
      <c r="D323" s="5"/>
      <c r="E323" s="5"/>
      <c r="F323" s="5"/>
      <c r="G323" s="5"/>
      <c r="H323" s="5" t="s">
        <v>23</v>
      </c>
      <c r="I323" s="6">
        <v>44820</v>
      </c>
      <c r="J323" s="5" t="s">
        <v>312</v>
      </c>
      <c r="K323" s="5" t="s">
        <v>413</v>
      </c>
      <c r="L323" s="5"/>
      <c r="M323" s="5"/>
      <c r="N323" s="7"/>
      <c r="O323" s="5" t="s">
        <v>553</v>
      </c>
      <c r="P323" s="8">
        <v>454.8</v>
      </c>
      <c r="Q323" s="8">
        <f t="shared" si="4"/>
        <v>589696.55000000005</v>
      </c>
    </row>
    <row r="324" spans="1:17" x14ac:dyDescent="0.25">
      <c r="A324" s="5"/>
      <c r="B324" s="5"/>
      <c r="C324" s="5"/>
      <c r="D324" s="5"/>
      <c r="E324" s="5"/>
      <c r="F324" s="5"/>
      <c r="G324" s="5"/>
      <c r="H324" s="5" t="s">
        <v>23</v>
      </c>
      <c r="I324" s="6">
        <v>44820</v>
      </c>
      <c r="J324" s="5" t="s">
        <v>313</v>
      </c>
      <c r="K324" s="5" t="s">
        <v>413</v>
      </c>
      <c r="L324" s="5"/>
      <c r="M324" s="5"/>
      <c r="N324" s="7"/>
      <c r="O324" s="5" t="s">
        <v>553</v>
      </c>
      <c r="P324" s="8">
        <v>412.4</v>
      </c>
      <c r="Q324" s="8">
        <f t="shared" si="4"/>
        <v>590108.94999999995</v>
      </c>
    </row>
    <row r="325" spans="1:17" x14ac:dyDescent="0.25">
      <c r="A325" s="5"/>
      <c r="B325" s="5"/>
      <c r="C325" s="5"/>
      <c r="D325" s="5"/>
      <c r="E325" s="5"/>
      <c r="F325" s="5"/>
      <c r="G325" s="5"/>
      <c r="H325" s="5" t="s">
        <v>23</v>
      </c>
      <c r="I325" s="6">
        <v>44820</v>
      </c>
      <c r="J325" s="5" t="s">
        <v>314</v>
      </c>
      <c r="K325" s="5" t="s">
        <v>413</v>
      </c>
      <c r="L325" s="5"/>
      <c r="M325" s="5"/>
      <c r="N325" s="7"/>
      <c r="O325" s="5" t="s">
        <v>553</v>
      </c>
      <c r="P325" s="8">
        <v>1006.92</v>
      </c>
      <c r="Q325" s="8">
        <f t="shared" ref="Q325:Q388" si="5">ROUND(Q324+P325,5)</f>
        <v>591115.87</v>
      </c>
    </row>
    <row r="326" spans="1:17" x14ac:dyDescent="0.25">
      <c r="A326" s="5"/>
      <c r="B326" s="5"/>
      <c r="C326" s="5"/>
      <c r="D326" s="5"/>
      <c r="E326" s="5"/>
      <c r="F326" s="5"/>
      <c r="G326" s="5"/>
      <c r="H326" s="5" t="s">
        <v>23</v>
      </c>
      <c r="I326" s="6">
        <v>44823</v>
      </c>
      <c r="J326" s="5" t="s">
        <v>315</v>
      </c>
      <c r="K326" s="5" t="s">
        <v>412</v>
      </c>
      <c r="L326" s="5"/>
      <c r="M326" s="5"/>
      <c r="N326" s="7"/>
      <c r="O326" s="5" t="s">
        <v>553</v>
      </c>
      <c r="P326" s="8">
        <v>381.36</v>
      </c>
      <c r="Q326" s="8">
        <f t="shared" si="5"/>
        <v>591497.23</v>
      </c>
    </row>
    <row r="327" spans="1:17" x14ac:dyDescent="0.25">
      <c r="A327" s="5"/>
      <c r="B327" s="5"/>
      <c r="C327" s="5"/>
      <c r="D327" s="5"/>
      <c r="E327" s="5"/>
      <c r="F327" s="5"/>
      <c r="G327" s="5"/>
      <c r="H327" s="5" t="s">
        <v>23</v>
      </c>
      <c r="I327" s="6">
        <v>44823</v>
      </c>
      <c r="J327" s="5" t="s">
        <v>316</v>
      </c>
      <c r="K327" s="5" t="s">
        <v>413</v>
      </c>
      <c r="L327" s="5"/>
      <c r="M327" s="5"/>
      <c r="N327" s="7"/>
      <c r="O327" s="5" t="s">
        <v>553</v>
      </c>
      <c r="P327" s="8">
        <v>545.35</v>
      </c>
      <c r="Q327" s="8">
        <f t="shared" si="5"/>
        <v>592042.57999999996</v>
      </c>
    </row>
    <row r="328" spans="1:17" x14ac:dyDescent="0.25">
      <c r="A328" s="5"/>
      <c r="B328" s="5"/>
      <c r="C328" s="5"/>
      <c r="D328" s="5"/>
      <c r="E328" s="5"/>
      <c r="F328" s="5"/>
      <c r="G328" s="5"/>
      <c r="H328" s="5" t="s">
        <v>23</v>
      </c>
      <c r="I328" s="6">
        <v>44823</v>
      </c>
      <c r="J328" s="5" t="s">
        <v>317</v>
      </c>
      <c r="K328" s="5" t="s">
        <v>413</v>
      </c>
      <c r="L328" s="5"/>
      <c r="M328" s="5"/>
      <c r="N328" s="7"/>
      <c r="O328" s="5" t="s">
        <v>553</v>
      </c>
      <c r="P328" s="8">
        <v>626.86</v>
      </c>
      <c r="Q328" s="8">
        <f t="shared" si="5"/>
        <v>592669.43999999994</v>
      </c>
    </row>
    <row r="329" spans="1:17" x14ac:dyDescent="0.25">
      <c r="A329" s="5"/>
      <c r="B329" s="5"/>
      <c r="C329" s="5"/>
      <c r="D329" s="5"/>
      <c r="E329" s="5"/>
      <c r="F329" s="5"/>
      <c r="G329" s="5"/>
      <c r="H329" s="5" t="s">
        <v>23</v>
      </c>
      <c r="I329" s="6">
        <v>44823</v>
      </c>
      <c r="J329" s="5" t="s">
        <v>318</v>
      </c>
      <c r="K329" s="5" t="s">
        <v>412</v>
      </c>
      <c r="L329" s="5"/>
      <c r="M329" s="5"/>
      <c r="N329" s="7"/>
      <c r="O329" s="5" t="s">
        <v>553</v>
      </c>
      <c r="P329" s="8">
        <v>444.92</v>
      </c>
      <c r="Q329" s="8">
        <f t="shared" si="5"/>
        <v>593114.36</v>
      </c>
    </row>
    <row r="330" spans="1:17" x14ac:dyDescent="0.25">
      <c r="A330" s="5"/>
      <c r="B330" s="5"/>
      <c r="C330" s="5"/>
      <c r="D330" s="5"/>
      <c r="E330" s="5"/>
      <c r="F330" s="5"/>
      <c r="G330" s="5"/>
      <c r="H330" s="5" t="s">
        <v>23</v>
      </c>
      <c r="I330" s="6">
        <v>44824</v>
      </c>
      <c r="J330" s="5" t="s">
        <v>319</v>
      </c>
      <c r="K330" s="5" t="s">
        <v>413</v>
      </c>
      <c r="L330" s="5"/>
      <c r="M330" s="5"/>
      <c r="N330" s="7"/>
      <c r="O330" s="5" t="s">
        <v>553</v>
      </c>
      <c r="P330" s="8">
        <v>896.19</v>
      </c>
      <c r="Q330" s="8">
        <f t="shared" si="5"/>
        <v>594010.55000000005</v>
      </c>
    </row>
    <row r="331" spans="1:17" x14ac:dyDescent="0.25">
      <c r="A331" s="5"/>
      <c r="B331" s="5"/>
      <c r="C331" s="5"/>
      <c r="D331" s="5"/>
      <c r="E331" s="5"/>
      <c r="F331" s="5"/>
      <c r="G331" s="5"/>
      <c r="H331" s="5" t="s">
        <v>23</v>
      </c>
      <c r="I331" s="6">
        <v>44824</v>
      </c>
      <c r="J331" s="5" t="s">
        <v>320</v>
      </c>
      <c r="K331" s="5" t="s">
        <v>413</v>
      </c>
      <c r="L331" s="5"/>
      <c r="M331" s="5"/>
      <c r="N331" s="7"/>
      <c r="O331" s="5" t="s">
        <v>553</v>
      </c>
      <c r="P331" s="8">
        <v>956.33</v>
      </c>
      <c r="Q331" s="8">
        <f t="shared" si="5"/>
        <v>594966.88</v>
      </c>
    </row>
    <row r="332" spans="1:17" x14ac:dyDescent="0.25">
      <c r="A332" s="5"/>
      <c r="B332" s="5"/>
      <c r="C332" s="5"/>
      <c r="D332" s="5"/>
      <c r="E332" s="5"/>
      <c r="F332" s="5"/>
      <c r="G332" s="5"/>
      <c r="H332" s="5" t="s">
        <v>23</v>
      </c>
      <c r="I332" s="6">
        <v>44824</v>
      </c>
      <c r="J332" s="5" t="s">
        <v>321</v>
      </c>
      <c r="K332" s="5" t="s">
        <v>412</v>
      </c>
      <c r="L332" s="5"/>
      <c r="M332" s="5"/>
      <c r="N332" s="7"/>
      <c r="O332" s="5" t="s">
        <v>553</v>
      </c>
      <c r="P332" s="8">
        <v>232</v>
      </c>
      <c r="Q332" s="8">
        <f t="shared" si="5"/>
        <v>595198.88</v>
      </c>
    </row>
    <row r="333" spans="1:17" x14ac:dyDescent="0.25">
      <c r="A333" s="5"/>
      <c r="B333" s="5"/>
      <c r="C333" s="5"/>
      <c r="D333" s="5"/>
      <c r="E333" s="5"/>
      <c r="F333" s="5"/>
      <c r="G333" s="5"/>
      <c r="H333" s="5" t="s">
        <v>23</v>
      </c>
      <c r="I333" s="6">
        <v>44824</v>
      </c>
      <c r="J333" s="5" t="s">
        <v>322</v>
      </c>
      <c r="K333" s="5" t="s">
        <v>426</v>
      </c>
      <c r="L333" s="5" t="s">
        <v>503</v>
      </c>
      <c r="M333" s="5"/>
      <c r="N333" s="7"/>
      <c r="O333" s="5" t="s">
        <v>553</v>
      </c>
      <c r="P333" s="8">
        <v>45000</v>
      </c>
      <c r="Q333" s="8">
        <f t="shared" si="5"/>
        <v>640198.88</v>
      </c>
    </row>
    <row r="334" spans="1:17" x14ac:dyDescent="0.25">
      <c r="A334" s="5"/>
      <c r="B334" s="5"/>
      <c r="C334" s="5"/>
      <c r="D334" s="5"/>
      <c r="E334" s="5"/>
      <c r="F334" s="5"/>
      <c r="G334" s="5"/>
      <c r="H334" s="5" t="s">
        <v>23</v>
      </c>
      <c r="I334" s="6">
        <v>44824</v>
      </c>
      <c r="J334" s="5" t="s">
        <v>322</v>
      </c>
      <c r="K334" s="5" t="s">
        <v>426</v>
      </c>
      <c r="L334" s="5" t="s">
        <v>504</v>
      </c>
      <c r="M334" s="5"/>
      <c r="N334" s="7"/>
      <c r="O334" s="5" t="s">
        <v>553</v>
      </c>
      <c r="P334" s="8">
        <v>0</v>
      </c>
      <c r="Q334" s="8">
        <f t="shared" si="5"/>
        <v>640198.88</v>
      </c>
    </row>
    <row r="335" spans="1:17" x14ac:dyDescent="0.25">
      <c r="A335" s="5"/>
      <c r="B335" s="5"/>
      <c r="C335" s="5"/>
      <c r="D335" s="5"/>
      <c r="E335" s="5"/>
      <c r="F335" s="5"/>
      <c r="G335" s="5"/>
      <c r="H335" s="5" t="s">
        <v>23</v>
      </c>
      <c r="I335" s="6">
        <v>44824</v>
      </c>
      <c r="J335" s="5" t="s">
        <v>322</v>
      </c>
      <c r="K335" s="5" t="s">
        <v>426</v>
      </c>
      <c r="L335" s="5" t="s">
        <v>505</v>
      </c>
      <c r="M335" s="5"/>
      <c r="N335" s="7"/>
      <c r="O335" s="5" t="s">
        <v>553</v>
      </c>
      <c r="P335" s="8">
        <v>0</v>
      </c>
      <c r="Q335" s="8">
        <f t="shared" si="5"/>
        <v>640198.88</v>
      </c>
    </row>
    <row r="336" spans="1:17" x14ac:dyDescent="0.25">
      <c r="A336" s="5"/>
      <c r="B336" s="5"/>
      <c r="C336" s="5"/>
      <c r="D336" s="5"/>
      <c r="E336" s="5"/>
      <c r="F336" s="5"/>
      <c r="G336" s="5"/>
      <c r="H336" s="5" t="s">
        <v>23</v>
      </c>
      <c r="I336" s="6">
        <v>44827</v>
      </c>
      <c r="J336" s="5" t="s">
        <v>323</v>
      </c>
      <c r="K336" s="5" t="s">
        <v>413</v>
      </c>
      <c r="L336" s="5"/>
      <c r="M336" s="5"/>
      <c r="N336" s="7"/>
      <c r="O336" s="5" t="s">
        <v>553</v>
      </c>
      <c r="P336" s="8">
        <v>955.44</v>
      </c>
      <c r="Q336" s="8">
        <f t="shared" si="5"/>
        <v>641154.31999999995</v>
      </c>
    </row>
    <row r="337" spans="1:17" x14ac:dyDescent="0.25">
      <c r="A337" s="5"/>
      <c r="B337" s="5"/>
      <c r="C337" s="5"/>
      <c r="D337" s="5"/>
      <c r="E337" s="5"/>
      <c r="F337" s="5"/>
      <c r="G337" s="5"/>
      <c r="H337" s="5" t="s">
        <v>23</v>
      </c>
      <c r="I337" s="6">
        <v>44827</v>
      </c>
      <c r="J337" s="5" t="s">
        <v>324</v>
      </c>
      <c r="K337" s="5" t="s">
        <v>413</v>
      </c>
      <c r="L337" s="5"/>
      <c r="M337" s="5"/>
      <c r="N337" s="7"/>
      <c r="O337" s="5" t="s">
        <v>553</v>
      </c>
      <c r="P337" s="8">
        <v>474.4</v>
      </c>
      <c r="Q337" s="8">
        <f t="shared" si="5"/>
        <v>641628.72</v>
      </c>
    </row>
    <row r="338" spans="1:17" x14ac:dyDescent="0.25">
      <c r="A338" s="5"/>
      <c r="B338" s="5"/>
      <c r="C338" s="5"/>
      <c r="D338" s="5"/>
      <c r="E338" s="5"/>
      <c r="F338" s="5"/>
      <c r="G338" s="5"/>
      <c r="H338" s="5" t="s">
        <v>23</v>
      </c>
      <c r="I338" s="6">
        <v>44827</v>
      </c>
      <c r="J338" s="5" t="s">
        <v>325</v>
      </c>
      <c r="K338" s="5" t="s">
        <v>413</v>
      </c>
      <c r="L338" s="5"/>
      <c r="M338" s="5"/>
      <c r="N338" s="7"/>
      <c r="O338" s="5" t="s">
        <v>553</v>
      </c>
      <c r="P338" s="8">
        <v>355</v>
      </c>
      <c r="Q338" s="8">
        <f t="shared" si="5"/>
        <v>641983.72</v>
      </c>
    </row>
    <row r="339" spans="1:17" x14ac:dyDescent="0.25">
      <c r="A339" s="5"/>
      <c r="B339" s="5"/>
      <c r="C339" s="5"/>
      <c r="D339" s="5"/>
      <c r="E339" s="5"/>
      <c r="F339" s="5"/>
      <c r="G339" s="5"/>
      <c r="H339" s="5" t="s">
        <v>23</v>
      </c>
      <c r="I339" s="6">
        <v>44827</v>
      </c>
      <c r="J339" s="5" t="s">
        <v>326</v>
      </c>
      <c r="K339" s="5" t="s">
        <v>413</v>
      </c>
      <c r="L339" s="5"/>
      <c r="M339" s="5"/>
      <c r="N339" s="7"/>
      <c r="O339" s="5" t="s">
        <v>553</v>
      </c>
      <c r="P339" s="8">
        <v>220</v>
      </c>
      <c r="Q339" s="8">
        <f t="shared" si="5"/>
        <v>642203.72</v>
      </c>
    </row>
    <row r="340" spans="1:17" x14ac:dyDescent="0.25">
      <c r="A340" s="5"/>
      <c r="B340" s="5"/>
      <c r="C340" s="5"/>
      <c r="D340" s="5"/>
      <c r="E340" s="5"/>
      <c r="F340" s="5"/>
      <c r="G340" s="5"/>
      <c r="H340" s="5" t="s">
        <v>23</v>
      </c>
      <c r="I340" s="6">
        <v>44831</v>
      </c>
      <c r="J340" s="5" t="s">
        <v>327</v>
      </c>
      <c r="K340" s="5" t="s">
        <v>413</v>
      </c>
      <c r="L340" s="5"/>
      <c r="M340" s="5"/>
      <c r="N340" s="7"/>
      <c r="O340" s="5" t="s">
        <v>553</v>
      </c>
      <c r="P340" s="8">
        <v>535</v>
      </c>
      <c r="Q340" s="8">
        <f t="shared" si="5"/>
        <v>642738.72</v>
      </c>
    </row>
    <row r="341" spans="1:17" x14ac:dyDescent="0.25">
      <c r="A341" s="5"/>
      <c r="B341" s="5"/>
      <c r="C341" s="5"/>
      <c r="D341" s="5"/>
      <c r="E341" s="5"/>
      <c r="F341" s="5"/>
      <c r="G341" s="5"/>
      <c r="H341" s="5" t="s">
        <v>23</v>
      </c>
      <c r="I341" s="6">
        <v>44833</v>
      </c>
      <c r="J341" s="5" t="s">
        <v>77</v>
      </c>
      <c r="K341" s="5" t="s">
        <v>412</v>
      </c>
      <c r="L341" s="5"/>
      <c r="M341" s="5"/>
      <c r="N341" s="7"/>
      <c r="O341" s="5" t="s">
        <v>553</v>
      </c>
      <c r="P341" s="8">
        <v>800.65</v>
      </c>
      <c r="Q341" s="8">
        <f t="shared" si="5"/>
        <v>643539.37</v>
      </c>
    </row>
    <row r="342" spans="1:17" x14ac:dyDescent="0.25">
      <c r="A342" s="5"/>
      <c r="B342" s="5"/>
      <c r="C342" s="5"/>
      <c r="D342" s="5"/>
      <c r="E342" s="5"/>
      <c r="F342" s="5"/>
      <c r="G342" s="5"/>
      <c r="H342" s="5" t="s">
        <v>23</v>
      </c>
      <c r="I342" s="6">
        <v>44834</v>
      </c>
      <c r="J342" s="5" t="s">
        <v>328</v>
      </c>
      <c r="K342" s="5" t="s">
        <v>413</v>
      </c>
      <c r="L342" s="5"/>
      <c r="M342" s="5"/>
      <c r="N342" s="7"/>
      <c r="O342" s="5" t="s">
        <v>553</v>
      </c>
      <c r="P342" s="8">
        <v>825.19</v>
      </c>
      <c r="Q342" s="8">
        <f t="shared" si="5"/>
        <v>644364.56000000006</v>
      </c>
    </row>
    <row r="343" spans="1:17" x14ac:dyDescent="0.25">
      <c r="A343" s="5"/>
      <c r="B343" s="5"/>
      <c r="C343" s="5"/>
      <c r="D343" s="5"/>
      <c r="E343" s="5"/>
      <c r="F343" s="5"/>
      <c r="G343" s="5"/>
      <c r="H343" s="5" t="s">
        <v>23</v>
      </c>
      <c r="I343" s="6">
        <v>44834</v>
      </c>
      <c r="J343" s="5" t="s">
        <v>329</v>
      </c>
      <c r="K343" s="5" t="s">
        <v>413</v>
      </c>
      <c r="L343" s="5"/>
      <c r="M343" s="5"/>
      <c r="N343" s="7"/>
      <c r="O343" s="5" t="s">
        <v>553</v>
      </c>
      <c r="P343" s="8">
        <v>538.91999999999996</v>
      </c>
      <c r="Q343" s="8">
        <f t="shared" si="5"/>
        <v>644903.48</v>
      </c>
    </row>
    <row r="344" spans="1:17" x14ac:dyDescent="0.25">
      <c r="A344" s="5"/>
      <c r="B344" s="5"/>
      <c r="C344" s="5"/>
      <c r="D344" s="5"/>
      <c r="E344" s="5"/>
      <c r="F344" s="5"/>
      <c r="G344" s="5"/>
      <c r="H344" s="5" t="s">
        <v>23</v>
      </c>
      <c r="I344" s="6">
        <v>44834</v>
      </c>
      <c r="J344" s="5" t="s">
        <v>330</v>
      </c>
      <c r="K344" s="5" t="s">
        <v>413</v>
      </c>
      <c r="L344" s="5"/>
      <c r="M344" s="5"/>
      <c r="N344" s="7"/>
      <c r="O344" s="5" t="s">
        <v>553</v>
      </c>
      <c r="P344" s="8">
        <v>769.56</v>
      </c>
      <c r="Q344" s="8">
        <f t="shared" si="5"/>
        <v>645673.04</v>
      </c>
    </row>
    <row r="345" spans="1:17" x14ac:dyDescent="0.25">
      <c r="A345" s="5"/>
      <c r="B345" s="5"/>
      <c r="C345" s="5"/>
      <c r="D345" s="5"/>
      <c r="E345" s="5"/>
      <c r="F345" s="5"/>
      <c r="G345" s="5"/>
      <c r="H345" s="5" t="s">
        <v>23</v>
      </c>
      <c r="I345" s="6">
        <v>44834</v>
      </c>
      <c r="J345" s="5" t="s">
        <v>331</v>
      </c>
      <c r="K345" s="5" t="s">
        <v>413</v>
      </c>
      <c r="L345" s="5"/>
      <c r="M345" s="5"/>
      <c r="N345" s="7"/>
      <c r="O345" s="5" t="s">
        <v>553</v>
      </c>
      <c r="P345" s="8">
        <v>219.55</v>
      </c>
      <c r="Q345" s="8">
        <f t="shared" si="5"/>
        <v>645892.59</v>
      </c>
    </row>
    <row r="346" spans="1:17" x14ac:dyDescent="0.25">
      <c r="A346" s="5"/>
      <c r="B346" s="5"/>
      <c r="C346" s="5"/>
      <c r="D346" s="5"/>
      <c r="E346" s="5"/>
      <c r="F346" s="5"/>
      <c r="G346" s="5"/>
      <c r="H346" s="5" t="s">
        <v>23</v>
      </c>
      <c r="I346" s="6">
        <v>44834</v>
      </c>
      <c r="J346" s="5" t="s">
        <v>332</v>
      </c>
      <c r="K346" s="5" t="s">
        <v>413</v>
      </c>
      <c r="L346" s="5"/>
      <c r="M346" s="5"/>
      <c r="N346" s="7"/>
      <c r="O346" s="5" t="s">
        <v>553</v>
      </c>
      <c r="P346" s="8">
        <v>70</v>
      </c>
      <c r="Q346" s="8">
        <f t="shared" si="5"/>
        <v>645962.59</v>
      </c>
    </row>
    <row r="347" spans="1:17" x14ac:dyDescent="0.25">
      <c r="A347" s="5"/>
      <c r="B347" s="5"/>
      <c r="C347" s="5"/>
      <c r="D347" s="5"/>
      <c r="E347" s="5"/>
      <c r="F347" s="5"/>
      <c r="G347" s="5"/>
      <c r="H347" s="5" t="s">
        <v>23</v>
      </c>
      <c r="I347" s="6">
        <v>44834</v>
      </c>
      <c r="J347" s="5" t="s">
        <v>333</v>
      </c>
      <c r="K347" s="5" t="s">
        <v>413</v>
      </c>
      <c r="L347" s="5"/>
      <c r="M347" s="5"/>
      <c r="N347" s="7"/>
      <c r="O347" s="5" t="s">
        <v>553</v>
      </c>
      <c r="P347" s="8">
        <v>920.55</v>
      </c>
      <c r="Q347" s="8">
        <f t="shared" si="5"/>
        <v>646883.14</v>
      </c>
    </row>
    <row r="348" spans="1:17" x14ac:dyDescent="0.25">
      <c r="A348" s="5"/>
      <c r="B348" s="5"/>
      <c r="C348" s="5"/>
      <c r="D348" s="5"/>
      <c r="E348" s="5"/>
      <c r="F348" s="5"/>
      <c r="G348" s="5"/>
      <c r="H348" s="5" t="s">
        <v>23</v>
      </c>
      <c r="I348" s="6">
        <v>44839</v>
      </c>
      <c r="J348" s="5" t="s">
        <v>334</v>
      </c>
      <c r="K348" s="5" t="s">
        <v>413</v>
      </c>
      <c r="L348" s="5"/>
      <c r="M348" s="5"/>
      <c r="N348" s="7"/>
      <c r="O348" s="5" t="s">
        <v>553</v>
      </c>
      <c r="P348" s="8">
        <v>352.1</v>
      </c>
      <c r="Q348" s="8">
        <f t="shared" si="5"/>
        <v>647235.24</v>
      </c>
    </row>
    <row r="349" spans="1:17" x14ac:dyDescent="0.25">
      <c r="A349" s="5"/>
      <c r="B349" s="5"/>
      <c r="C349" s="5"/>
      <c r="D349" s="5"/>
      <c r="E349" s="5"/>
      <c r="F349" s="5"/>
      <c r="G349" s="5"/>
      <c r="H349" s="5" t="s">
        <v>23</v>
      </c>
      <c r="I349" s="6">
        <v>44845</v>
      </c>
      <c r="J349" s="5" t="s">
        <v>335</v>
      </c>
      <c r="K349" s="5" t="s">
        <v>413</v>
      </c>
      <c r="L349" s="5"/>
      <c r="M349" s="5"/>
      <c r="N349" s="7"/>
      <c r="O349" s="5" t="s">
        <v>553</v>
      </c>
      <c r="P349" s="8">
        <v>971.52</v>
      </c>
      <c r="Q349" s="8">
        <f t="shared" si="5"/>
        <v>648206.76</v>
      </c>
    </row>
    <row r="350" spans="1:17" x14ac:dyDescent="0.25">
      <c r="A350" s="5"/>
      <c r="B350" s="5"/>
      <c r="C350" s="5"/>
      <c r="D350" s="5"/>
      <c r="E350" s="5"/>
      <c r="F350" s="5"/>
      <c r="G350" s="5"/>
      <c r="H350" s="5" t="s">
        <v>23</v>
      </c>
      <c r="I350" s="6">
        <v>44845</v>
      </c>
      <c r="J350" s="5" t="s">
        <v>336</v>
      </c>
      <c r="K350" s="5" t="s">
        <v>413</v>
      </c>
      <c r="L350" s="5"/>
      <c r="M350" s="5"/>
      <c r="N350" s="7"/>
      <c r="O350" s="5" t="s">
        <v>553</v>
      </c>
      <c r="P350" s="8">
        <v>971.52</v>
      </c>
      <c r="Q350" s="8">
        <f t="shared" si="5"/>
        <v>649178.28</v>
      </c>
    </row>
    <row r="351" spans="1:17" x14ac:dyDescent="0.25">
      <c r="A351" s="5"/>
      <c r="B351" s="5"/>
      <c r="C351" s="5"/>
      <c r="D351" s="5"/>
      <c r="E351" s="5"/>
      <c r="F351" s="5"/>
      <c r="G351" s="5"/>
      <c r="H351" s="5" t="s">
        <v>23</v>
      </c>
      <c r="I351" s="6">
        <v>44847</v>
      </c>
      <c r="J351" s="5" t="s">
        <v>321</v>
      </c>
      <c r="K351" s="5" t="s">
        <v>427</v>
      </c>
      <c r="L351" s="5" t="s">
        <v>506</v>
      </c>
      <c r="M351" s="5"/>
      <c r="N351" s="7"/>
      <c r="O351" s="5" t="s">
        <v>553</v>
      </c>
      <c r="P351" s="8">
        <v>1970</v>
      </c>
      <c r="Q351" s="8">
        <f t="shared" si="5"/>
        <v>651148.28</v>
      </c>
    </row>
    <row r="352" spans="1:17" x14ac:dyDescent="0.25">
      <c r="A352" s="5"/>
      <c r="B352" s="5"/>
      <c r="C352" s="5"/>
      <c r="D352" s="5"/>
      <c r="E352" s="5"/>
      <c r="F352" s="5"/>
      <c r="G352" s="5"/>
      <c r="H352" s="5" t="s">
        <v>23</v>
      </c>
      <c r="I352" s="6">
        <v>44847</v>
      </c>
      <c r="J352" s="5" t="s">
        <v>77</v>
      </c>
      <c r="K352" s="5" t="s">
        <v>410</v>
      </c>
      <c r="L352" s="5" t="s">
        <v>507</v>
      </c>
      <c r="M352" s="5"/>
      <c r="N352" s="7"/>
      <c r="O352" s="5" t="s">
        <v>553</v>
      </c>
      <c r="P352" s="8">
        <v>4350</v>
      </c>
      <c r="Q352" s="8">
        <f t="shared" si="5"/>
        <v>655498.28</v>
      </c>
    </row>
    <row r="353" spans="1:17" x14ac:dyDescent="0.25">
      <c r="A353" s="5"/>
      <c r="B353" s="5"/>
      <c r="C353" s="5"/>
      <c r="D353" s="5"/>
      <c r="E353" s="5"/>
      <c r="F353" s="5"/>
      <c r="G353" s="5"/>
      <c r="H353" s="5" t="s">
        <v>23</v>
      </c>
      <c r="I353" s="6">
        <v>44847</v>
      </c>
      <c r="J353" s="5" t="s">
        <v>77</v>
      </c>
      <c r="K353" s="5" t="s">
        <v>410</v>
      </c>
      <c r="L353" s="5" t="s">
        <v>505</v>
      </c>
      <c r="M353" s="5"/>
      <c r="N353" s="7"/>
      <c r="O353" s="5" t="s">
        <v>553</v>
      </c>
      <c r="P353" s="8">
        <v>0</v>
      </c>
      <c r="Q353" s="8">
        <f t="shared" si="5"/>
        <v>655498.28</v>
      </c>
    </row>
    <row r="354" spans="1:17" x14ac:dyDescent="0.25">
      <c r="A354" s="5"/>
      <c r="B354" s="5"/>
      <c r="C354" s="5"/>
      <c r="D354" s="5"/>
      <c r="E354" s="5"/>
      <c r="F354" s="5"/>
      <c r="G354" s="5"/>
      <c r="H354" s="5" t="s">
        <v>23</v>
      </c>
      <c r="I354" s="6">
        <v>44847</v>
      </c>
      <c r="J354" s="5" t="s">
        <v>337</v>
      </c>
      <c r="K354" s="5" t="s">
        <v>413</v>
      </c>
      <c r="L354" s="5"/>
      <c r="M354" s="5"/>
      <c r="N354" s="7"/>
      <c r="O354" s="5" t="s">
        <v>553</v>
      </c>
      <c r="P354" s="8">
        <v>220</v>
      </c>
      <c r="Q354" s="8">
        <f t="shared" si="5"/>
        <v>655718.28</v>
      </c>
    </row>
    <row r="355" spans="1:17" x14ac:dyDescent="0.25">
      <c r="A355" s="5"/>
      <c r="B355" s="5"/>
      <c r="C355" s="5"/>
      <c r="D355" s="5"/>
      <c r="E355" s="5"/>
      <c r="F355" s="5"/>
      <c r="G355" s="5"/>
      <c r="H355" s="5" t="s">
        <v>23</v>
      </c>
      <c r="I355" s="6">
        <v>44847</v>
      </c>
      <c r="J355" s="5" t="s">
        <v>338</v>
      </c>
      <c r="K355" s="5" t="s">
        <v>413</v>
      </c>
      <c r="L355" s="5"/>
      <c r="M355" s="5"/>
      <c r="N355" s="7"/>
      <c r="O355" s="5" t="s">
        <v>553</v>
      </c>
      <c r="P355" s="8">
        <v>1686.51</v>
      </c>
      <c r="Q355" s="8">
        <f t="shared" si="5"/>
        <v>657404.79</v>
      </c>
    </row>
    <row r="356" spans="1:17" x14ac:dyDescent="0.25">
      <c r="A356" s="5"/>
      <c r="B356" s="5"/>
      <c r="C356" s="5"/>
      <c r="D356" s="5"/>
      <c r="E356" s="5"/>
      <c r="F356" s="5"/>
      <c r="G356" s="5"/>
      <c r="H356" s="5" t="s">
        <v>23</v>
      </c>
      <c r="I356" s="6">
        <v>44851</v>
      </c>
      <c r="J356" s="5" t="s">
        <v>339</v>
      </c>
      <c r="K356" s="5" t="s">
        <v>426</v>
      </c>
      <c r="L356" s="5" t="s">
        <v>508</v>
      </c>
      <c r="M356" s="5"/>
      <c r="N356" s="7"/>
      <c r="O356" s="5" t="s">
        <v>553</v>
      </c>
      <c r="P356" s="8">
        <v>9000</v>
      </c>
      <c r="Q356" s="8">
        <f t="shared" si="5"/>
        <v>666404.79</v>
      </c>
    </row>
    <row r="357" spans="1:17" x14ac:dyDescent="0.25">
      <c r="A357" s="5"/>
      <c r="B357" s="5"/>
      <c r="C357" s="5"/>
      <c r="D357" s="5"/>
      <c r="E357" s="5"/>
      <c r="F357" s="5"/>
      <c r="G357" s="5"/>
      <c r="H357" s="5" t="s">
        <v>23</v>
      </c>
      <c r="I357" s="6">
        <v>44851</v>
      </c>
      <c r="J357" s="5" t="s">
        <v>322</v>
      </c>
      <c r="K357" s="5" t="s">
        <v>408</v>
      </c>
      <c r="L357" s="5" t="s">
        <v>509</v>
      </c>
      <c r="M357" s="5"/>
      <c r="N357" s="7"/>
      <c r="O357" s="5" t="s">
        <v>553</v>
      </c>
      <c r="P357" s="8">
        <v>6400</v>
      </c>
      <c r="Q357" s="8">
        <f t="shared" si="5"/>
        <v>672804.79</v>
      </c>
    </row>
    <row r="358" spans="1:17" x14ac:dyDescent="0.25">
      <c r="A358" s="5"/>
      <c r="B358" s="5"/>
      <c r="C358" s="5"/>
      <c r="D358" s="5"/>
      <c r="E358" s="5"/>
      <c r="F358" s="5"/>
      <c r="G358" s="5"/>
      <c r="H358" s="5" t="s">
        <v>23</v>
      </c>
      <c r="I358" s="6">
        <v>44851</v>
      </c>
      <c r="J358" s="5" t="s">
        <v>340</v>
      </c>
      <c r="K358" s="5" t="s">
        <v>412</v>
      </c>
      <c r="L358" s="5"/>
      <c r="M358" s="5"/>
      <c r="N358" s="7"/>
      <c r="O358" s="5" t="s">
        <v>553</v>
      </c>
      <c r="P358" s="8">
        <v>185.1</v>
      </c>
      <c r="Q358" s="8">
        <f t="shared" si="5"/>
        <v>672989.89</v>
      </c>
    </row>
    <row r="359" spans="1:17" x14ac:dyDescent="0.25">
      <c r="A359" s="5"/>
      <c r="B359" s="5"/>
      <c r="C359" s="5"/>
      <c r="D359" s="5"/>
      <c r="E359" s="5"/>
      <c r="F359" s="5"/>
      <c r="G359" s="5"/>
      <c r="H359" s="5" t="s">
        <v>23</v>
      </c>
      <c r="I359" s="6">
        <v>44851</v>
      </c>
      <c r="J359" s="5" t="s">
        <v>341</v>
      </c>
      <c r="K359" s="5" t="s">
        <v>428</v>
      </c>
      <c r="L359" s="5"/>
      <c r="M359" s="5"/>
      <c r="N359" s="7"/>
      <c r="O359" s="5" t="s">
        <v>553</v>
      </c>
      <c r="P359" s="8">
        <v>185.09</v>
      </c>
      <c r="Q359" s="8">
        <f t="shared" si="5"/>
        <v>673174.98</v>
      </c>
    </row>
    <row r="360" spans="1:17" x14ac:dyDescent="0.25">
      <c r="A360" s="5"/>
      <c r="B360" s="5"/>
      <c r="C360" s="5"/>
      <c r="D360" s="5"/>
      <c r="E360" s="5"/>
      <c r="F360" s="5"/>
      <c r="G360" s="5"/>
      <c r="H360" s="5" t="s">
        <v>23</v>
      </c>
      <c r="I360" s="6">
        <v>44858</v>
      </c>
      <c r="J360" s="5" t="s">
        <v>342</v>
      </c>
      <c r="K360" s="5" t="s">
        <v>405</v>
      </c>
      <c r="L360" s="5" t="s">
        <v>510</v>
      </c>
      <c r="M360" s="5"/>
      <c r="N360" s="7"/>
      <c r="O360" s="5" t="s">
        <v>553</v>
      </c>
      <c r="P360" s="8">
        <v>16000</v>
      </c>
      <c r="Q360" s="8">
        <f t="shared" si="5"/>
        <v>689174.98</v>
      </c>
    </row>
    <row r="361" spans="1:17" x14ac:dyDescent="0.25">
      <c r="A361" s="5"/>
      <c r="B361" s="5"/>
      <c r="C361" s="5"/>
      <c r="D361" s="5"/>
      <c r="E361" s="5"/>
      <c r="F361" s="5"/>
      <c r="G361" s="5"/>
      <c r="H361" s="5" t="s">
        <v>23</v>
      </c>
      <c r="I361" s="6">
        <v>44858</v>
      </c>
      <c r="J361" s="5" t="s">
        <v>342</v>
      </c>
      <c r="K361" s="5" t="s">
        <v>405</v>
      </c>
      <c r="L361" s="5" t="s">
        <v>511</v>
      </c>
      <c r="M361" s="5"/>
      <c r="N361" s="7"/>
      <c r="O361" s="5" t="s">
        <v>553</v>
      </c>
      <c r="P361" s="8">
        <v>2750</v>
      </c>
      <c r="Q361" s="8">
        <f t="shared" si="5"/>
        <v>691924.98</v>
      </c>
    </row>
    <row r="362" spans="1:17" x14ac:dyDescent="0.25">
      <c r="A362" s="5"/>
      <c r="B362" s="5"/>
      <c r="C362" s="5"/>
      <c r="D362" s="5"/>
      <c r="E362" s="5"/>
      <c r="F362" s="5"/>
      <c r="G362" s="5"/>
      <c r="H362" s="5" t="s">
        <v>23</v>
      </c>
      <c r="I362" s="6">
        <v>44858</v>
      </c>
      <c r="J362" s="5" t="s">
        <v>342</v>
      </c>
      <c r="K362" s="5" t="s">
        <v>405</v>
      </c>
      <c r="L362" s="5" t="s">
        <v>512</v>
      </c>
      <c r="M362" s="5"/>
      <c r="N362" s="7"/>
      <c r="O362" s="5" t="s">
        <v>553</v>
      </c>
      <c r="P362" s="8">
        <v>1600</v>
      </c>
      <c r="Q362" s="8">
        <f t="shared" si="5"/>
        <v>693524.98</v>
      </c>
    </row>
    <row r="363" spans="1:17" x14ac:dyDescent="0.25">
      <c r="A363" s="5"/>
      <c r="B363" s="5"/>
      <c r="C363" s="5"/>
      <c r="D363" s="5"/>
      <c r="E363" s="5"/>
      <c r="F363" s="5"/>
      <c r="G363" s="5"/>
      <c r="H363" s="5" t="s">
        <v>23</v>
      </c>
      <c r="I363" s="6">
        <v>44858</v>
      </c>
      <c r="J363" s="5" t="s">
        <v>342</v>
      </c>
      <c r="K363" s="5" t="s">
        <v>405</v>
      </c>
      <c r="L363" s="5" t="s">
        <v>513</v>
      </c>
      <c r="M363" s="5"/>
      <c r="N363" s="7"/>
      <c r="O363" s="5" t="s">
        <v>553</v>
      </c>
      <c r="P363" s="8">
        <v>500</v>
      </c>
      <c r="Q363" s="8">
        <f t="shared" si="5"/>
        <v>694024.98</v>
      </c>
    </row>
    <row r="364" spans="1:17" x14ac:dyDescent="0.25">
      <c r="A364" s="5"/>
      <c r="B364" s="5"/>
      <c r="C364" s="5"/>
      <c r="D364" s="5"/>
      <c r="E364" s="5"/>
      <c r="F364" s="5"/>
      <c r="G364" s="5"/>
      <c r="H364" s="5" t="s">
        <v>23</v>
      </c>
      <c r="I364" s="6">
        <v>44858</v>
      </c>
      <c r="J364" s="5" t="s">
        <v>342</v>
      </c>
      <c r="K364" s="5" t="s">
        <v>405</v>
      </c>
      <c r="L364" s="5" t="s">
        <v>514</v>
      </c>
      <c r="M364" s="5"/>
      <c r="N364" s="7"/>
      <c r="O364" s="5" t="s">
        <v>553</v>
      </c>
      <c r="P364" s="8">
        <v>0</v>
      </c>
      <c r="Q364" s="8">
        <f t="shared" si="5"/>
        <v>694024.98</v>
      </c>
    </row>
    <row r="365" spans="1:17" x14ac:dyDescent="0.25">
      <c r="A365" s="5"/>
      <c r="B365" s="5"/>
      <c r="C365" s="5"/>
      <c r="D365" s="5"/>
      <c r="E365" s="5"/>
      <c r="F365" s="5"/>
      <c r="G365" s="5"/>
      <c r="H365" s="5" t="s">
        <v>23</v>
      </c>
      <c r="I365" s="6">
        <v>44866</v>
      </c>
      <c r="J365" s="5" t="s">
        <v>343</v>
      </c>
      <c r="K365" s="5" t="s">
        <v>425</v>
      </c>
      <c r="L365" s="5" t="s">
        <v>515</v>
      </c>
      <c r="M365" s="5"/>
      <c r="N365" s="7"/>
      <c r="O365" s="5" t="s">
        <v>553</v>
      </c>
      <c r="P365" s="8">
        <v>1120</v>
      </c>
      <c r="Q365" s="8">
        <f t="shared" si="5"/>
        <v>695144.98</v>
      </c>
    </row>
    <row r="366" spans="1:17" x14ac:dyDescent="0.25">
      <c r="A366" s="5"/>
      <c r="B366" s="5"/>
      <c r="C366" s="5"/>
      <c r="D366" s="5"/>
      <c r="E366" s="5"/>
      <c r="F366" s="5"/>
      <c r="G366" s="5"/>
      <c r="H366" s="5" t="s">
        <v>23</v>
      </c>
      <c r="I366" s="6">
        <v>44866</v>
      </c>
      <c r="J366" s="5" t="s">
        <v>339</v>
      </c>
      <c r="K366" s="5" t="s">
        <v>405</v>
      </c>
      <c r="L366" s="5" t="s">
        <v>516</v>
      </c>
      <c r="M366" s="5"/>
      <c r="N366" s="7"/>
      <c r="O366" s="5" t="s">
        <v>553</v>
      </c>
      <c r="P366" s="8">
        <v>11100</v>
      </c>
      <c r="Q366" s="8">
        <f t="shared" si="5"/>
        <v>706244.98</v>
      </c>
    </row>
    <row r="367" spans="1:17" x14ac:dyDescent="0.25">
      <c r="A367" s="5"/>
      <c r="B367" s="5"/>
      <c r="C367" s="5"/>
      <c r="D367" s="5"/>
      <c r="E367" s="5"/>
      <c r="F367" s="5"/>
      <c r="G367" s="5"/>
      <c r="H367" s="5" t="s">
        <v>23</v>
      </c>
      <c r="I367" s="6">
        <v>44866</v>
      </c>
      <c r="J367" s="5" t="s">
        <v>84</v>
      </c>
      <c r="K367" s="5" t="s">
        <v>423</v>
      </c>
      <c r="L367" s="5" t="s">
        <v>517</v>
      </c>
      <c r="M367" s="5"/>
      <c r="N367" s="7"/>
      <c r="O367" s="5" t="s">
        <v>553</v>
      </c>
      <c r="P367" s="8">
        <v>40000</v>
      </c>
      <c r="Q367" s="8">
        <f t="shared" si="5"/>
        <v>746244.98</v>
      </c>
    </row>
    <row r="368" spans="1:17" x14ac:dyDescent="0.25">
      <c r="A368" s="5"/>
      <c r="B368" s="5"/>
      <c r="C368" s="5"/>
      <c r="D368" s="5"/>
      <c r="E368" s="5"/>
      <c r="F368" s="5"/>
      <c r="G368" s="5"/>
      <c r="H368" s="5" t="s">
        <v>23</v>
      </c>
      <c r="I368" s="6">
        <v>44866</v>
      </c>
      <c r="J368" s="5" t="s">
        <v>84</v>
      </c>
      <c r="K368" s="5" t="s">
        <v>423</v>
      </c>
      <c r="L368" s="5" t="s">
        <v>518</v>
      </c>
      <c r="M368" s="5"/>
      <c r="N368" s="7"/>
      <c r="O368" s="5" t="s">
        <v>553</v>
      </c>
      <c r="P368" s="8">
        <v>24000</v>
      </c>
      <c r="Q368" s="8">
        <f t="shared" si="5"/>
        <v>770244.98</v>
      </c>
    </row>
    <row r="369" spans="1:17" x14ac:dyDescent="0.25">
      <c r="A369" s="5"/>
      <c r="B369" s="5"/>
      <c r="C369" s="5"/>
      <c r="D369" s="5"/>
      <c r="E369" s="5"/>
      <c r="F369" s="5"/>
      <c r="G369" s="5"/>
      <c r="H369" s="5" t="s">
        <v>23</v>
      </c>
      <c r="I369" s="6">
        <v>44866</v>
      </c>
      <c r="J369" s="5" t="s">
        <v>84</v>
      </c>
      <c r="K369" s="5" t="s">
        <v>423</v>
      </c>
      <c r="L369" s="5" t="s">
        <v>519</v>
      </c>
      <c r="M369" s="5"/>
      <c r="N369" s="7"/>
      <c r="O369" s="5" t="s">
        <v>553</v>
      </c>
      <c r="P369" s="8">
        <v>15000</v>
      </c>
      <c r="Q369" s="8">
        <f t="shared" si="5"/>
        <v>785244.98</v>
      </c>
    </row>
    <row r="370" spans="1:17" x14ac:dyDescent="0.25">
      <c r="A370" s="5"/>
      <c r="B370" s="5"/>
      <c r="C370" s="5"/>
      <c r="D370" s="5"/>
      <c r="E370" s="5"/>
      <c r="F370" s="5"/>
      <c r="G370" s="5"/>
      <c r="H370" s="5" t="s">
        <v>23</v>
      </c>
      <c r="I370" s="6">
        <v>44866</v>
      </c>
      <c r="J370" s="5" t="s">
        <v>84</v>
      </c>
      <c r="K370" s="5" t="s">
        <v>423</v>
      </c>
      <c r="L370" s="5" t="s">
        <v>520</v>
      </c>
      <c r="M370" s="5"/>
      <c r="N370" s="7"/>
      <c r="O370" s="5" t="s">
        <v>553</v>
      </c>
      <c r="P370" s="8">
        <v>15000</v>
      </c>
      <c r="Q370" s="8">
        <f t="shared" si="5"/>
        <v>800244.98</v>
      </c>
    </row>
    <row r="371" spans="1:17" x14ac:dyDescent="0.25">
      <c r="A371" s="5"/>
      <c r="B371" s="5"/>
      <c r="C371" s="5"/>
      <c r="D371" s="5"/>
      <c r="E371" s="5"/>
      <c r="F371" s="5"/>
      <c r="G371" s="5"/>
      <c r="H371" s="5" t="s">
        <v>23</v>
      </c>
      <c r="I371" s="6">
        <v>44866</v>
      </c>
      <c r="J371" s="5" t="s">
        <v>84</v>
      </c>
      <c r="K371" s="5" t="s">
        <v>423</v>
      </c>
      <c r="L371" s="5" t="s">
        <v>521</v>
      </c>
      <c r="M371" s="5"/>
      <c r="N371" s="7"/>
      <c r="O371" s="5" t="s">
        <v>553</v>
      </c>
      <c r="P371" s="8">
        <v>3000</v>
      </c>
      <c r="Q371" s="8">
        <f t="shared" si="5"/>
        <v>803244.98</v>
      </c>
    </row>
    <row r="372" spans="1:17" x14ac:dyDescent="0.25">
      <c r="A372" s="5"/>
      <c r="B372" s="5"/>
      <c r="C372" s="5"/>
      <c r="D372" s="5"/>
      <c r="E372" s="5"/>
      <c r="F372" s="5"/>
      <c r="G372" s="5"/>
      <c r="H372" s="5" t="s">
        <v>23</v>
      </c>
      <c r="I372" s="6">
        <v>44866</v>
      </c>
      <c r="J372" s="5" t="s">
        <v>84</v>
      </c>
      <c r="K372" s="5" t="s">
        <v>423</v>
      </c>
      <c r="L372" s="5" t="s">
        <v>522</v>
      </c>
      <c r="M372" s="5"/>
      <c r="N372" s="7"/>
      <c r="O372" s="5" t="s">
        <v>553</v>
      </c>
      <c r="P372" s="8">
        <v>16000</v>
      </c>
      <c r="Q372" s="8">
        <f t="shared" si="5"/>
        <v>819244.98</v>
      </c>
    </row>
    <row r="373" spans="1:17" x14ac:dyDescent="0.25">
      <c r="A373" s="5"/>
      <c r="B373" s="5"/>
      <c r="C373" s="5"/>
      <c r="D373" s="5"/>
      <c r="E373" s="5"/>
      <c r="F373" s="5"/>
      <c r="G373" s="5"/>
      <c r="H373" s="5" t="s">
        <v>23</v>
      </c>
      <c r="I373" s="6">
        <v>44866</v>
      </c>
      <c r="J373" s="5" t="s">
        <v>84</v>
      </c>
      <c r="K373" s="5" t="s">
        <v>423</v>
      </c>
      <c r="L373" s="5" t="s">
        <v>523</v>
      </c>
      <c r="M373" s="5"/>
      <c r="N373" s="7"/>
      <c r="O373" s="5" t="s">
        <v>553</v>
      </c>
      <c r="P373" s="8">
        <v>-11300</v>
      </c>
      <c r="Q373" s="8">
        <f t="shared" si="5"/>
        <v>807944.98</v>
      </c>
    </row>
    <row r="374" spans="1:17" x14ac:dyDescent="0.25">
      <c r="A374" s="5"/>
      <c r="B374" s="5"/>
      <c r="C374" s="5"/>
      <c r="D374" s="5"/>
      <c r="E374" s="5"/>
      <c r="F374" s="5"/>
      <c r="G374" s="5"/>
      <c r="H374" s="5" t="s">
        <v>23</v>
      </c>
      <c r="I374" s="6">
        <v>44867</v>
      </c>
      <c r="J374" s="5" t="s">
        <v>83</v>
      </c>
      <c r="K374" s="5" t="s">
        <v>427</v>
      </c>
      <c r="L374" s="5" t="s">
        <v>524</v>
      </c>
      <c r="M374" s="5"/>
      <c r="N374" s="7"/>
      <c r="O374" s="5" t="s">
        <v>553</v>
      </c>
      <c r="P374" s="8">
        <v>7880</v>
      </c>
      <c r="Q374" s="8">
        <f t="shared" si="5"/>
        <v>815824.98</v>
      </c>
    </row>
    <row r="375" spans="1:17" x14ac:dyDescent="0.25">
      <c r="A375" s="5"/>
      <c r="B375" s="5"/>
      <c r="C375" s="5"/>
      <c r="D375" s="5"/>
      <c r="E375" s="5"/>
      <c r="F375" s="5"/>
      <c r="G375" s="5"/>
      <c r="H375" s="5" t="s">
        <v>23</v>
      </c>
      <c r="I375" s="6">
        <v>44869</v>
      </c>
      <c r="J375" s="5" t="s">
        <v>344</v>
      </c>
      <c r="K375" s="5" t="s">
        <v>420</v>
      </c>
      <c r="L375" s="5" t="s">
        <v>488</v>
      </c>
      <c r="M375" s="5"/>
      <c r="N375" s="7"/>
      <c r="O375" s="5" t="s">
        <v>553</v>
      </c>
      <c r="P375" s="8">
        <v>0</v>
      </c>
      <c r="Q375" s="8">
        <f t="shared" si="5"/>
        <v>815824.98</v>
      </c>
    </row>
    <row r="376" spans="1:17" x14ac:dyDescent="0.25">
      <c r="A376" s="5"/>
      <c r="B376" s="5"/>
      <c r="C376" s="5"/>
      <c r="D376" s="5"/>
      <c r="E376" s="5"/>
      <c r="F376" s="5"/>
      <c r="G376" s="5"/>
      <c r="H376" s="5" t="s">
        <v>23</v>
      </c>
      <c r="I376" s="6">
        <v>44869</v>
      </c>
      <c r="J376" s="5" t="s">
        <v>344</v>
      </c>
      <c r="K376" s="5" t="s">
        <v>420</v>
      </c>
      <c r="L376" s="5" t="s">
        <v>489</v>
      </c>
      <c r="M376" s="5"/>
      <c r="N376" s="7"/>
      <c r="O376" s="5" t="s">
        <v>553</v>
      </c>
      <c r="P376" s="8">
        <v>3410</v>
      </c>
      <c r="Q376" s="8">
        <f t="shared" si="5"/>
        <v>819234.98</v>
      </c>
    </row>
    <row r="377" spans="1:17" x14ac:dyDescent="0.25">
      <c r="A377" s="5"/>
      <c r="B377" s="5"/>
      <c r="C377" s="5"/>
      <c r="D377" s="5"/>
      <c r="E377" s="5"/>
      <c r="F377" s="5"/>
      <c r="G377" s="5"/>
      <c r="H377" s="5" t="s">
        <v>23</v>
      </c>
      <c r="I377" s="6">
        <v>44869</v>
      </c>
      <c r="J377" s="5" t="s">
        <v>345</v>
      </c>
      <c r="K377" s="5" t="s">
        <v>422</v>
      </c>
      <c r="L377" s="5" t="s">
        <v>503</v>
      </c>
      <c r="M377" s="5"/>
      <c r="N377" s="7"/>
      <c r="O377" s="5" t="s">
        <v>553</v>
      </c>
      <c r="P377" s="8">
        <v>0</v>
      </c>
      <c r="Q377" s="8">
        <f t="shared" si="5"/>
        <v>819234.98</v>
      </c>
    </row>
    <row r="378" spans="1:17" x14ac:dyDescent="0.25">
      <c r="A378" s="5"/>
      <c r="B378" s="5"/>
      <c r="C378" s="5"/>
      <c r="D378" s="5"/>
      <c r="E378" s="5"/>
      <c r="F378" s="5"/>
      <c r="G378" s="5"/>
      <c r="H378" s="5" t="s">
        <v>23</v>
      </c>
      <c r="I378" s="6">
        <v>44869</v>
      </c>
      <c r="J378" s="5" t="s">
        <v>345</v>
      </c>
      <c r="K378" s="5" t="s">
        <v>422</v>
      </c>
      <c r="L378" s="5" t="s">
        <v>525</v>
      </c>
      <c r="M378" s="5"/>
      <c r="N378" s="7"/>
      <c r="O378" s="5" t="s">
        <v>553</v>
      </c>
      <c r="P378" s="8">
        <v>1125</v>
      </c>
      <c r="Q378" s="8">
        <f t="shared" si="5"/>
        <v>820359.98</v>
      </c>
    </row>
    <row r="379" spans="1:17" x14ac:dyDescent="0.25">
      <c r="A379" s="5"/>
      <c r="B379" s="5"/>
      <c r="C379" s="5"/>
      <c r="D379" s="5"/>
      <c r="E379" s="5"/>
      <c r="F379" s="5"/>
      <c r="G379" s="5"/>
      <c r="H379" s="5" t="s">
        <v>24</v>
      </c>
      <c r="I379" s="6">
        <v>44872</v>
      </c>
      <c r="J379" s="5" t="s">
        <v>346</v>
      </c>
      <c r="K379" s="5" t="s">
        <v>429</v>
      </c>
      <c r="L379" s="5" t="s">
        <v>526</v>
      </c>
      <c r="M379" s="5"/>
      <c r="N379" s="7"/>
      <c r="O379" s="5" t="s">
        <v>553</v>
      </c>
      <c r="P379" s="8">
        <v>26000</v>
      </c>
      <c r="Q379" s="8">
        <f t="shared" si="5"/>
        <v>846359.98</v>
      </c>
    </row>
    <row r="380" spans="1:17" x14ac:dyDescent="0.25">
      <c r="A380" s="5"/>
      <c r="B380" s="5"/>
      <c r="C380" s="5"/>
      <c r="D380" s="5"/>
      <c r="E380" s="5"/>
      <c r="F380" s="5"/>
      <c r="G380" s="5"/>
      <c r="H380" s="5" t="s">
        <v>24</v>
      </c>
      <c r="I380" s="6">
        <v>44872</v>
      </c>
      <c r="J380" s="5" t="s">
        <v>347</v>
      </c>
      <c r="K380" s="5" t="s">
        <v>430</v>
      </c>
      <c r="L380" s="5" t="s">
        <v>527</v>
      </c>
      <c r="M380" s="5"/>
      <c r="N380" s="7"/>
      <c r="O380" s="5" t="s">
        <v>553</v>
      </c>
      <c r="P380" s="8">
        <v>5000</v>
      </c>
      <c r="Q380" s="8">
        <f t="shared" si="5"/>
        <v>851359.98</v>
      </c>
    </row>
    <row r="381" spans="1:17" x14ac:dyDescent="0.25">
      <c r="A381" s="5"/>
      <c r="B381" s="5"/>
      <c r="C381" s="5"/>
      <c r="D381" s="5"/>
      <c r="E381" s="5"/>
      <c r="F381" s="5"/>
      <c r="G381" s="5"/>
      <c r="H381" s="5" t="s">
        <v>24</v>
      </c>
      <c r="I381" s="6">
        <v>44872</v>
      </c>
      <c r="J381" s="5" t="s">
        <v>348</v>
      </c>
      <c r="K381" s="5" t="s">
        <v>408</v>
      </c>
      <c r="L381" s="5"/>
      <c r="M381" s="5"/>
      <c r="N381" s="7"/>
      <c r="O381" s="5" t="s">
        <v>553</v>
      </c>
      <c r="P381" s="8">
        <v>8150.44</v>
      </c>
      <c r="Q381" s="8">
        <f t="shared" si="5"/>
        <v>859510.42</v>
      </c>
    </row>
    <row r="382" spans="1:17" x14ac:dyDescent="0.25">
      <c r="A382" s="5"/>
      <c r="B382" s="5"/>
      <c r="C382" s="5"/>
      <c r="D382" s="5"/>
      <c r="E382" s="5"/>
      <c r="F382" s="5"/>
      <c r="G382" s="5"/>
      <c r="H382" s="5" t="s">
        <v>24</v>
      </c>
      <c r="I382" s="6">
        <v>44872</v>
      </c>
      <c r="J382" s="5" t="s">
        <v>349</v>
      </c>
      <c r="K382" s="5" t="s">
        <v>420</v>
      </c>
      <c r="L382" s="5" t="s">
        <v>488</v>
      </c>
      <c r="M382" s="5"/>
      <c r="N382" s="7"/>
      <c r="O382" s="5" t="s">
        <v>553</v>
      </c>
      <c r="P382" s="8">
        <v>0</v>
      </c>
      <c r="Q382" s="8">
        <f t="shared" si="5"/>
        <v>859510.42</v>
      </c>
    </row>
    <row r="383" spans="1:17" x14ac:dyDescent="0.25">
      <c r="A383" s="5"/>
      <c r="B383" s="5"/>
      <c r="C383" s="5"/>
      <c r="D383" s="5"/>
      <c r="E383" s="5"/>
      <c r="F383" s="5"/>
      <c r="G383" s="5"/>
      <c r="H383" s="5" t="s">
        <v>24</v>
      </c>
      <c r="I383" s="6">
        <v>44872</v>
      </c>
      <c r="J383" s="5" t="s">
        <v>349</v>
      </c>
      <c r="K383" s="5" t="s">
        <v>420</v>
      </c>
      <c r="L383" s="5" t="s">
        <v>489</v>
      </c>
      <c r="M383" s="5"/>
      <c r="N383" s="7"/>
      <c r="O383" s="5" t="s">
        <v>553</v>
      </c>
      <c r="P383" s="8">
        <v>3410</v>
      </c>
      <c r="Q383" s="8">
        <f t="shared" si="5"/>
        <v>862920.42</v>
      </c>
    </row>
    <row r="384" spans="1:17" x14ac:dyDescent="0.25">
      <c r="A384" s="5"/>
      <c r="B384" s="5"/>
      <c r="C384" s="5"/>
      <c r="D384" s="5"/>
      <c r="E384" s="5"/>
      <c r="F384" s="5"/>
      <c r="G384" s="5"/>
      <c r="H384" s="5" t="s">
        <v>24</v>
      </c>
      <c r="I384" s="6">
        <v>44872</v>
      </c>
      <c r="J384" s="5" t="s">
        <v>350</v>
      </c>
      <c r="K384" s="5" t="s">
        <v>420</v>
      </c>
      <c r="L384" s="5"/>
      <c r="M384" s="5"/>
      <c r="N384" s="7"/>
      <c r="O384" s="5" t="s">
        <v>553</v>
      </c>
      <c r="P384" s="8">
        <v>17200</v>
      </c>
      <c r="Q384" s="8">
        <f t="shared" si="5"/>
        <v>880120.42</v>
      </c>
    </row>
    <row r="385" spans="1:17" x14ac:dyDescent="0.25">
      <c r="A385" s="5"/>
      <c r="B385" s="5"/>
      <c r="C385" s="5"/>
      <c r="D385" s="5"/>
      <c r="E385" s="5"/>
      <c r="F385" s="5"/>
      <c r="G385" s="5"/>
      <c r="H385" s="5" t="s">
        <v>24</v>
      </c>
      <c r="I385" s="6">
        <v>44872</v>
      </c>
      <c r="J385" s="5" t="s">
        <v>351</v>
      </c>
      <c r="K385" s="5" t="s">
        <v>408</v>
      </c>
      <c r="L385" s="5" t="s">
        <v>480</v>
      </c>
      <c r="M385" s="5"/>
      <c r="N385" s="7"/>
      <c r="O385" s="5" t="s">
        <v>553</v>
      </c>
      <c r="P385" s="8">
        <v>0</v>
      </c>
      <c r="Q385" s="8">
        <f t="shared" si="5"/>
        <v>880120.42</v>
      </c>
    </row>
    <row r="386" spans="1:17" x14ac:dyDescent="0.25">
      <c r="A386" s="5"/>
      <c r="B386" s="5"/>
      <c r="C386" s="5"/>
      <c r="D386" s="5"/>
      <c r="E386" s="5"/>
      <c r="F386" s="5"/>
      <c r="G386" s="5"/>
      <c r="H386" s="5" t="s">
        <v>24</v>
      </c>
      <c r="I386" s="6">
        <v>44872</v>
      </c>
      <c r="J386" s="5" t="s">
        <v>351</v>
      </c>
      <c r="K386" s="5" t="s">
        <v>408</v>
      </c>
      <c r="L386" s="5" t="s">
        <v>481</v>
      </c>
      <c r="M386" s="5"/>
      <c r="N386" s="7"/>
      <c r="O386" s="5" t="s">
        <v>553</v>
      </c>
      <c r="P386" s="8">
        <v>0</v>
      </c>
      <c r="Q386" s="8">
        <f t="shared" si="5"/>
        <v>880120.42</v>
      </c>
    </row>
    <row r="387" spans="1:17" x14ac:dyDescent="0.25">
      <c r="A387" s="5"/>
      <c r="B387" s="5"/>
      <c r="C387" s="5"/>
      <c r="D387" s="5"/>
      <c r="E387" s="5"/>
      <c r="F387" s="5"/>
      <c r="G387" s="5"/>
      <c r="H387" s="5" t="s">
        <v>24</v>
      </c>
      <c r="I387" s="6">
        <v>44872</v>
      </c>
      <c r="J387" s="5" t="s">
        <v>351</v>
      </c>
      <c r="K387" s="5" t="s">
        <v>408</v>
      </c>
      <c r="L387" s="5"/>
      <c r="M387" s="5"/>
      <c r="N387" s="7"/>
      <c r="O387" s="5" t="s">
        <v>553</v>
      </c>
      <c r="P387" s="8">
        <v>20000</v>
      </c>
      <c r="Q387" s="8">
        <f t="shared" si="5"/>
        <v>900120.42</v>
      </c>
    </row>
    <row r="388" spans="1:17" x14ac:dyDescent="0.25">
      <c r="A388" s="5"/>
      <c r="B388" s="5"/>
      <c r="C388" s="5"/>
      <c r="D388" s="5"/>
      <c r="E388" s="5"/>
      <c r="F388" s="5"/>
      <c r="G388" s="5"/>
      <c r="H388" s="5" t="s">
        <v>24</v>
      </c>
      <c r="I388" s="6">
        <v>44872</v>
      </c>
      <c r="J388" s="5" t="s">
        <v>352</v>
      </c>
      <c r="K388" s="5" t="s">
        <v>405</v>
      </c>
      <c r="L388" s="5"/>
      <c r="M388" s="5"/>
      <c r="N388" s="7"/>
      <c r="O388" s="5" t="s">
        <v>553</v>
      </c>
      <c r="P388" s="8">
        <v>21750</v>
      </c>
      <c r="Q388" s="8">
        <f t="shared" si="5"/>
        <v>921870.42</v>
      </c>
    </row>
    <row r="389" spans="1:17" x14ac:dyDescent="0.25">
      <c r="A389" s="5"/>
      <c r="B389" s="5"/>
      <c r="C389" s="5"/>
      <c r="D389" s="5"/>
      <c r="E389" s="5"/>
      <c r="F389" s="5"/>
      <c r="G389" s="5"/>
      <c r="H389" s="5" t="s">
        <v>24</v>
      </c>
      <c r="I389" s="6">
        <v>44872</v>
      </c>
      <c r="J389" s="5" t="s">
        <v>353</v>
      </c>
      <c r="K389" s="5" t="s">
        <v>426</v>
      </c>
      <c r="L389" s="5" t="s">
        <v>503</v>
      </c>
      <c r="M389" s="5"/>
      <c r="N389" s="7"/>
      <c r="O389" s="5" t="s">
        <v>553</v>
      </c>
      <c r="P389" s="8">
        <v>45000</v>
      </c>
      <c r="Q389" s="8">
        <f t="shared" ref="Q389:Q416" si="6">ROUND(Q388+P389,5)</f>
        <v>966870.42</v>
      </c>
    </row>
    <row r="390" spans="1:17" x14ac:dyDescent="0.25">
      <c r="A390" s="5"/>
      <c r="B390" s="5"/>
      <c r="C390" s="5"/>
      <c r="D390" s="5"/>
      <c r="E390" s="5"/>
      <c r="F390" s="5"/>
      <c r="G390" s="5"/>
      <c r="H390" s="5" t="s">
        <v>24</v>
      </c>
      <c r="I390" s="6">
        <v>44872</v>
      </c>
      <c r="J390" s="5" t="s">
        <v>353</v>
      </c>
      <c r="K390" s="5" t="s">
        <v>426</v>
      </c>
      <c r="L390" s="5" t="s">
        <v>504</v>
      </c>
      <c r="M390" s="5"/>
      <c r="N390" s="7"/>
      <c r="O390" s="5" t="s">
        <v>553</v>
      </c>
      <c r="P390" s="8">
        <v>0</v>
      </c>
      <c r="Q390" s="8">
        <f t="shared" si="6"/>
        <v>966870.42</v>
      </c>
    </row>
    <row r="391" spans="1:17" x14ac:dyDescent="0.25">
      <c r="A391" s="5"/>
      <c r="B391" s="5"/>
      <c r="C391" s="5"/>
      <c r="D391" s="5"/>
      <c r="E391" s="5"/>
      <c r="F391" s="5"/>
      <c r="G391" s="5"/>
      <c r="H391" s="5" t="s">
        <v>24</v>
      </c>
      <c r="I391" s="6">
        <v>44872</v>
      </c>
      <c r="J391" s="5" t="s">
        <v>353</v>
      </c>
      <c r="K391" s="5" t="s">
        <v>426</v>
      </c>
      <c r="L391" s="5" t="s">
        <v>505</v>
      </c>
      <c r="M391" s="5"/>
      <c r="N391" s="7"/>
      <c r="O391" s="5" t="s">
        <v>553</v>
      </c>
      <c r="P391" s="8">
        <v>0</v>
      </c>
      <c r="Q391" s="8">
        <f t="shared" si="6"/>
        <v>966870.42</v>
      </c>
    </row>
    <row r="392" spans="1:17" x14ac:dyDescent="0.25">
      <c r="A392" s="5"/>
      <c r="B392" s="5"/>
      <c r="C392" s="5"/>
      <c r="D392" s="5"/>
      <c r="E392" s="5"/>
      <c r="F392" s="5"/>
      <c r="G392" s="5"/>
      <c r="H392" s="5" t="s">
        <v>24</v>
      </c>
      <c r="I392" s="6">
        <v>44872</v>
      </c>
      <c r="J392" s="5" t="s">
        <v>354</v>
      </c>
      <c r="K392" s="5" t="s">
        <v>417</v>
      </c>
      <c r="L392" s="5" t="s">
        <v>475</v>
      </c>
      <c r="M392" s="5"/>
      <c r="N392" s="7"/>
      <c r="O392" s="5" t="s">
        <v>553</v>
      </c>
      <c r="P392" s="8">
        <v>0</v>
      </c>
      <c r="Q392" s="8">
        <f t="shared" si="6"/>
        <v>966870.42</v>
      </c>
    </row>
    <row r="393" spans="1:17" x14ac:dyDescent="0.25">
      <c r="A393" s="5"/>
      <c r="B393" s="5"/>
      <c r="C393" s="5"/>
      <c r="D393" s="5"/>
      <c r="E393" s="5"/>
      <c r="F393" s="5"/>
      <c r="G393" s="5"/>
      <c r="H393" s="5" t="s">
        <v>24</v>
      </c>
      <c r="I393" s="6">
        <v>44872</v>
      </c>
      <c r="J393" s="5" t="s">
        <v>354</v>
      </c>
      <c r="K393" s="5" t="s">
        <v>417</v>
      </c>
      <c r="L393" s="5" t="s">
        <v>476</v>
      </c>
      <c r="M393" s="5"/>
      <c r="N393" s="7"/>
      <c r="O393" s="5" t="s">
        <v>553</v>
      </c>
      <c r="P393" s="8">
        <v>1600</v>
      </c>
      <c r="Q393" s="8">
        <f t="shared" si="6"/>
        <v>968470.42</v>
      </c>
    </row>
    <row r="394" spans="1:17" x14ac:dyDescent="0.25">
      <c r="A394" s="5"/>
      <c r="B394" s="5"/>
      <c r="C394" s="5"/>
      <c r="D394" s="5"/>
      <c r="E394" s="5"/>
      <c r="F394" s="5"/>
      <c r="G394" s="5"/>
      <c r="H394" s="5" t="s">
        <v>24</v>
      </c>
      <c r="I394" s="6">
        <v>44872</v>
      </c>
      <c r="J394" s="5" t="s">
        <v>354</v>
      </c>
      <c r="K394" s="5" t="s">
        <v>417</v>
      </c>
      <c r="L394" s="5" t="s">
        <v>477</v>
      </c>
      <c r="M394" s="5"/>
      <c r="N394" s="7"/>
      <c r="O394" s="5" t="s">
        <v>553</v>
      </c>
      <c r="P394" s="8">
        <v>400</v>
      </c>
      <c r="Q394" s="8">
        <f t="shared" si="6"/>
        <v>968870.42</v>
      </c>
    </row>
    <row r="395" spans="1:17" x14ac:dyDescent="0.25">
      <c r="A395" s="5"/>
      <c r="B395" s="5"/>
      <c r="C395" s="5"/>
      <c r="D395" s="5"/>
      <c r="E395" s="5"/>
      <c r="F395" s="5"/>
      <c r="G395" s="5"/>
      <c r="H395" s="5" t="s">
        <v>24</v>
      </c>
      <c r="I395" s="6">
        <v>44872</v>
      </c>
      <c r="J395" s="5" t="s">
        <v>354</v>
      </c>
      <c r="K395" s="5" t="s">
        <v>417</v>
      </c>
      <c r="L395" s="5" t="s">
        <v>478</v>
      </c>
      <c r="M395" s="5"/>
      <c r="N395" s="7"/>
      <c r="O395" s="5" t="s">
        <v>553</v>
      </c>
      <c r="P395" s="8">
        <v>600</v>
      </c>
      <c r="Q395" s="8">
        <f t="shared" si="6"/>
        <v>969470.42</v>
      </c>
    </row>
    <row r="396" spans="1:17" x14ac:dyDescent="0.25">
      <c r="A396" s="5"/>
      <c r="B396" s="5"/>
      <c r="C396" s="5"/>
      <c r="D396" s="5"/>
      <c r="E396" s="5"/>
      <c r="F396" s="5"/>
      <c r="G396" s="5"/>
      <c r="H396" s="5" t="s">
        <v>24</v>
      </c>
      <c r="I396" s="6">
        <v>44872</v>
      </c>
      <c r="J396" s="5" t="s">
        <v>354</v>
      </c>
      <c r="K396" s="5" t="s">
        <v>417</v>
      </c>
      <c r="L396" s="5" t="s">
        <v>479</v>
      </c>
      <c r="M396" s="5"/>
      <c r="N396" s="7"/>
      <c r="O396" s="5" t="s">
        <v>553</v>
      </c>
      <c r="P396" s="8">
        <v>2500</v>
      </c>
      <c r="Q396" s="8">
        <f t="shared" si="6"/>
        <v>971970.42</v>
      </c>
    </row>
    <row r="397" spans="1:17" x14ac:dyDescent="0.25">
      <c r="A397" s="5"/>
      <c r="B397" s="5"/>
      <c r="C397" s="5"/>
      <c r="D397" s="5"/>
      <c r="E397" s="5"/>
      <c r="F397" s="5"/>
      <c r="G397" s="5"/>
      <c r="H397" s="5" t="s">
        <v>23</v>
      </c>
      <c r="I397" s="6">
        <v>44872</v>
      </c>
      <c r="J397" s="5" t="s">
        <v>355</v>
      </c>
      <c r="K397" s="5" t="s">
        <v>405</v>
      </c>
      <c r="L397" s="5" t="s">
        <v>528</v>
      </c>
      <c r="M397" s="5"/>
      <c r="N397" s="7"/>
      <c r="O397" s="5" t="s">
        <v>553</v>
      </c>
      <c r="P397" s="8">
        <v>650</v>
      </c>
      <c r="Q397" s="8">
        <f t="shared" si="6"/>
        <v>972620.42</v>
      </c>
    </row>
    <row r="398" spans="1:17" x14ac:dyDescent="0.25">
      <c r="A398" s="5"/>
      <c r="B398" s="5"/>
      <c r="C398" s="5"/>
      <c r="D398" s="5"/>
      <c r="E398" s="5"/>
      <c r="F398" s="5"/>
      <c r="G398" s="5"/>
      <c r="H398" s="5" t="s">
        <v>23</v>
      </c>
      <c r="I398" s="6">
        <v>44873</v>
      </c>
      <c r="J398" s="5" t="s">
        <v>356</v>
      </c>
      <c r="K398" s="5" t="s">
        <v>422</v>
      </c>
      <c r="L398" s="5" t="s">
        <v>503</v>
      </c>
      <c r="M398" s="5"/>
      <c r="N398" s="7"/>
      <c r="O398" s="5" t="s">
        <v>553</v>
      </c>
      <c r="P398" s="8">
        <v>0</v>
      </c>
      <c r="Q398" s="8">
        <f t="shared" si="6"/>
        <v>972620.42</v>
      </c>
    </row>
    <row r="399" spans="1:17" x14ac:dyDescent="0.25">
      <c r="A399" s="5"/>
      <c r="B399" s="5"/>
      <c r="C399" s="5"/>
      <c r="D399" s="5"/>
      <c r="E399" s="5"/>
      <c r="F399" s="5"/>
      <c r="G399" s="5"/>
      <c r="H399" s="5" t="s">
        <v>23</v>
      </c>
      <c r="I399" s="6">
        <v>44873</v>
      </c>
      <c r="J399" s="5" t="s">
        <v>356</v>
      </c>
      <c r="K399" s="5" t="s">
        <v>422</v>
      </c>
      <c r="L399" s="5" t="s">
        <v>525</v>
      </c>
      <c r="M399" s="5"/>
      <c r="N399" s="7"/>
      <c r="O399" s="5" t="s">
        <v>553</v>
      </c>
      <c r="P399" s="8">
        <v>1125</v>
      </c>
      <c r="Q399" s="8">
        <f t="shared" si="6"/>
        <v>973745.42</v>
      </c>
    </row>
    <row r="400" spans="1:17" x14ac:dyDescent="0.25">
      <c r="A400" s="5"/>
      <c r="B400" s="5"/>
      <c r="C400" s="5"/>
      <c r="D400" s="5"/>
      <c r="E400" s="5"/>
      <c r="F400" s="5"/>
      <c r="G400" s="5"/>
      <c r="H400" s="5" t="s">
        <v>23</v>
      </c>
      <c r="I400" s="6">
        <v>44876</v>
      </c>
      <c r="J400" s="5" t="s">
        <v>357</v>
      </c>
      <c r="K400" s="5" t="s">
        <v>431</v>
      </c>
      <c r="L400" s="5" t="s">
        <v>529</v>
      </c>
      <c r="M400" s="5"/>
      <c r="N400" s="7"/>
      <c r="O400" s="5" t="s">
        <v>553</v>
      </c>
      <c r="P400" s="8">
        <v>3500</v>
      </c>
      <c r="Q400" s="8">
        <f t="shared" si="6"/>
        <v>977245.42</v>
      </c>
    </row>
    <row r="401" spans="1:17" x14ac:dyDescent="0.25">
      <c r="A401" s="5"/>
      <c r="B401" s="5"/>
      <c r="C401" s="5"/>
      <c r="D401" s="5"/>
      <c r="E401" s="5"/>
      <c r="F401" s="5"/>
      <c r="G401" s="5"/>
      <c r="H401" s="5" t="s">
        <v>23</v>
      </c>
      <c r="I401" s="6">
        <v>44879</v>
      </c>
      <c r="J401" s="5" t="s">
        <v>358</v>
      </c>
      <c r="K401" s="5" t="s">
        <v>422</v>
      </c>
      <c r="L401" s="5" t="s">
        <v>493</v>
      </c>
      <c r="M401" s="5"/>
      <c r="N401" s="7"/>
      <c r="O401" s="5" t="s">
        <v>553</v>
      </c>
      <c r="P401" s="8">
        <v>19500</v>
      </c>
      <c r="Q401" s="8">
        <f t="shared" si="6"/>
        <v>996745.42</v>
      </c>
    </row>
    <row r="402" spans="1:17" x14ac:dyDescent="0.25">
      <c r="A402" s="5"/>
      <c r="B402" s="5"/>
      <c r="C402" s="5"/>
      <c r="D402" s="5"/>
      <c r="E402" s="5"/>
      <c r="F402" s="5"/>
      <c r="G402" s="5"/>
      <c r="H402" s="5" t="s">
        <v>23</v>
      </c>
      <c r="I402" s="6">
        <v>44882</v>
      </c>
      <c r="J402" s="5" t="s">
        <v>359</v>
      </c>
      <c r="K402" s="5" t="s">
        <v>432</v>
      </c>
      <c r="L402" s="5" t="s">
        <v>530</v>
      </c>
      <c r="M402" s="5"/>
      <c r="N402" s="7"/>
      <c r="O402" s="5" t="s">
        <v>553</v>
      </c>
      <c r="P402" s="8">
        <v>5400</v>
      </c>
      <c r="Q402" s="8">
        <f t="shared" si="6"/>
        <v>1002145.42</v>
      </c>
    </row>
    <row r="403" spans="1:17" x14ac:dyDescent="0.25">
      <c r="A403" s="5"/>
      <c r="B403" s="5"/>
      <c r="C403" s="5"/>
      <c r="D403" s="5"/>
      <c r="E403" s="5"/>
      <c r="F403" s="5"/>
      <c r="G403" s="5"/>
      <c r="H403" s="5" t="s">
        <v>23</v>
      </c>
      <c r="I403" s="6">
        <v>44882</v>
      </c>
      <c r="J403" s="5" t="s">
        <v>359</v>
      </c>
      <c r="K403" s="5" t="s">
        <v>432</v>
      </c>
      <c r="L403" s="5" t="s">
        <v>531</v>
      </c>
      <c r="M403" s="5"/>
      <c r="N403" s="7"/>
      <c r="O403" s="5" t="s">
        <v>553</v>
      </c>
      <c r="P403" s="8">
        <v>0</v>
      </c>
      <c r="Q403" s="8">
        <f t="shared" si="6"/>
        <v>1002145.42</v>
      </c>
    </row>
    <row r="404" spans="1:17" x14ac:dyDescent="0.25">
      <c r="A404" s="5"/>
      <c r="B404" s="5"/>
      <c r="C404" s="5"/>
      <c r="D404" s="5"/>
      <c r="E404" s="5"/>
      <c r="F404" s="5"/>
      <c r="G404" s="5"/>
      <c r="H404" s="5" t="s">
        <v>23</v>
      </c>
      <c r="I404" s="6">
        <v>44886</v>
      </c>
      <c r="J404" s="5" t="s">
        <v>360</v>
      </c>
      <c r="K404" s="5" t="s">
        <v>422</v>
      </c>
      <c r="L404" s="5" t="s">
        <v>532</v>
      </c>
      <c r="M404" s="5"/>
      <c r="N404" s="7"/>
      <c r="O404" s="5" t="s">
        <v>553</v>
      </c>
      <c r="P404" s="8">
        <v>3100</v>
      </c>
      <c r="Q404" s="8">
        <f t="shared" si="6"/>
        <v>1005245.42</v>
      </c>
    </row>
    <row r="405" spans="1:17" x14ac:dyDescent="0.25">
      <c r="A405" s="5"/>
      <c r="B405" s="5"/>
      <c r="C405" s="5"/>
      <c r="D405" s="5"/>
      <c r="E405" s="5"/>
      <c r="F405" s="5"/>
      <c r="G405" s="5"/>
      <c r="H405" s="5" t="s">
        <v>23</v>
      </c>
      <c r="I405" s="6">
        <v>44897</v>
      </c>
      <c r="J405" s="5" t="s">
        <v>361</v>
      </c>
      <c r="K405" s="5" t="s">
        <v>433</v>
      </c>
      <c r="L405" s="5" t="s">
        <v>533</v>
      </c>
      <c r="M405" s="5"/>
      <c r="N405" s="7"/>
      <c r="O405" s="5" t="s">
        <v>553</v>
      </c>
      <c r="P405" s="8">
        <v>1200</v>
      </c>
      <c r="Q405" s="8">
        <f t="shared" si="6"/>
        <v>1006445.42</v>
      </c>
    </row>
    <row r="406" spans="1:17" x14ac:dyDescent="0.25">
      <c r="A406" s="5"/>
      <c r="B406" s="5"/>
      <c r="C406" s="5"/>
      <c r="D406" s="5"/>
      <c r="E406" s="5"/>
      <c r="F406" s="5"/>
      <c r="G406" s="5"/>
      <c r="H406" s="5" t="s">
        <v>23</v>
      </c>
      <c r="I406" s="6">
        <v>44901</v>
      </c>
      <c r="J406" s="5" t="s">
        <v>362</v>
      </c>
      <c r="K406" s="5" t="s">
        <v>434</v>
      </c>
      <c r="L406" s="5" t="s">
        <v>534</v>
      </c>
      <c r="M406" s="5"/>
      <c r="N406" s="7"/>
      <c r="O406" s="5" t="s">
        <v>553</v>
      </c>
      <c r="P406" s="8">
        <v>5752.21</v>
      </c>
      <c r="Q406" s="8">
        <f t="shared" si="6"/>
        <v>1012197.63</v>
      </c>
    </row>
    <row r="407" spans="1:17" x14ac:dyDescent="0.25">
      <c r="A407" s="5"/>
      <c r="B407" s="5"/>
      <c r="C407" s="5"/>
      <c r="D407" s="5"/>
      <c r="E407" s="5"/>
      <c r="F407" s="5"/>
      <c r="G407" s="5"/>
      <c r="H407" s="5" t="s">
        <v>23</v>
      </c>
      <c r="I407" s="6">
        <v>44902</v>
      </c>
      <c r="J407" s="5" t="s">
        <v>363</v>
      </c>
      <c r="K407" s="5" t="s">
        <v>435</v>
      </c>
      <c r="L407" s="5"/>
      <c r="M407" s="5"/>
      <c r="N407" s="7"/>
      <c r="O407" s="5" t="s">
        <v>553</v>
      </c>
      <c r="P407" s="8">
        <v>300</v>
      </c>
      <c r="Q407" s="8">
        <f t="shared" si="6"/>
        <v>1012497.63</v>
      </c>
    </row>
    <row r="408" spans="1:17" x14ac:dyDescent="0.25">
      <c r="A408" s="5"/>
      <c r="B408" s="5"/>
      <c r="C408" s="5"/>
      <c r="D408" s="5"/>
      <c r="E408" s="5"/>
      <c r="F408" s="5"/>
      <c r="G408" s="5"/>
      <c r="H408" s="5" t="s">
        <v>23</v>
      </c>
      <c r="I408" s="6">
        <v>44902</v>
      </c>
      <c r="J408" s="5" t="s">
        <v>364</v>
      </c>
      <c r="K408" s="5" t="s">
        <v>436</v>
      </c>
      <c r="L408" s="5" t="s">
        <v>535</v>
      </c>
      <c r="M408" s="5"/>
      <c r="N408" s="7"/>
      <c r="O408" s="5" t="s">
        <v>553</v>
      </c>
      <c r="P408" s="8">
        <v>2220</v>
      </c>
      <c r="Q408" s="8">
        <f t="shared" si="6"/>
        <v>1014717.63</v>
      </c>
    </row>
    <row r="409" spans="1:17" x14ac:dyDescent="0.25">
      <c r="A409" s="5"/>
      <c r="B409" s="5"/>
      <c r="C409" s="5"/>
      <c r="D409" s="5"/>
      <c r="E409" s="5"/>
      <c r="F409" s="5"/>
      <c r="G409" s="5"/>
      <c r="H409" s="5" t="s">
        <v>23</v>
      </c>
      <c r="I409" s="6">
        <v>44904</v>
      </c>
      <c r="J409" s="5" t="s">
        <v>365</v>
      </c>
      <c r="K409" s="5" t="s">
        <v>437</v>
      </c>
      <c r="L409" s="5" t="s">
        <v>534</v>
      </c>
      <c r="M409" s="5"/>
      <c r="N409" s="7"/>
      <c r="O409" s="5" t="s">
        <v>553</v>
      </c>
      <c r="P409" s="8">
        <v>1769.91</v>
      </c>
      <c r="Q409" s="8">
        <f t="shared" si="6"/>
        <v>1016487.54</v>
      </c>
    </row>
    <row r="410" spans="1:17" x14ac:dyDescent="0.25">
      <c r="A410" s="5"/>
      <c r="B410" s="5"/>
      <c r="C410" s="5"/>
      <c r="D410" s="5"/>
      <c r="E410" s="5"/>
      <c r="F410" s="5"/>
      <c r="G410" s="5"/>
      <c r="H410" s="5" t="s">
        <v>23</v>
      </c>
      <c r="I410" s="6">
        <v>44904</v>
      </c>
      <c r="J410" s="5" t="s">
        <v>366</v>
      </c>
      <c r="K410" s="5" t="s">
        <v>434</v>
      </c>
      <c r="L410" s="5" t="s">
        <v>536</v>
      </c>
      <c r="M410" s="5"/>
      <c r="N410" s="7"/>
      <c r="O410" s="5" t="s">
        <v>553</v>
      </c>
      <c r="P410" s="8">
        <v>5247.69</v>
      </c>
      <c r="Q410" s="8">
        <f t="shared" si="6"/>
        <v>1021735.23</v>
      </c>
    </row>
    <row r="411" spans="1:17" x14ac:dyDescent="0.25">
      <c r="A411" s="5"/>
      <c r="B411" s="5"/>
      <c r="C411" s="5"/>
      <c r="D411" s="5"/>
      <c r="E411" s="5"/>
      <c r="F411" s="5"/>
      <c r="G411" s="5"/>
      <c r="H411" s="5" t="s">
        <v>23</v>
      </c>
      <c r="I411" s="6">
        <v>44910</v>
      </c>
      <c r="J411" s="5" t="s">
        <v>367</v>
      </c>
      <c r="K411" s="5" t="s">
        <v>408</v>
      </c>
      <c r="L411" s="5" t="s">
        <v>537</v>
      </c>
      <c r="M411" s="5"/>
      <c r="N411" s="7"/>
      <c r="O411" s="5" t="s">
        <v>553</v>
      </c>
      <c r="P411" s="8">
        <v>6500</v>
      </c>
      <c r="Q411" s="8">
        <f t="shared" si="6"/>
        <v>1028235.23</v>
      </c>
    </row>
    <row r="412" spans="1:17" x14ac:dyDescent="0.25">
      <c r="A412" s="5"/>
      <c r="B412" s="5"/>
      <c r="C412" s="5"/>
      <c r="D412" s="5"/>
      <c r="E412" s="5"/>
      <c r="F412" s="5"/>
      <c r="G412" s="5"/>
      <c r="H412" s="5" t="s">
        <v>23</v>
      </c>
      <c r="I412" s="6">
        <v>44911</v>
      </c>
      <c r="J412" s="5" t="s">
        <v>368</v>
      </c>
      <c r="K412" s="5" t="s">
        <v>408</v>
      </c>
      <c r="L412" s="5" t="s">
        <v>538</v>
      </c>
      <c r="M412" s="5"/>
      <c r="N412" s="7"/>
      <c r="O412" s="5" t="s">
        <v>553</v>
      </c>
      <c r="P412" s="8">
        <v>1200</v>
      </c>
      <c r="Q412" s="8">
        <f t="shared" si="6"/>
        <v>1029435.23</v>
      </c>
    </row>
    <row r="413" spans="1:17" x14ac:dyDescent="0.25">
      <c r="A413" s="5"/>
      <c r="B413" s="5"/>
      <c r="C413" s="5"/>
      <c r="D413" s="5"/>
      <c r="E413" s="5"/>
      <c r="F413" s="5"/>
      <c r="G413" s="5"/>
      <c r="H413" s="5" t="s">
        <v>23</v>
      </c>
      <c r="I413" s="6">
        <v>44911</v>
      </c>
      <c r="J413" s="5" t="s">
        <v>369</v>
      </c>
      <c r="K413" s="5" t="s">
        <v>405</v>
      </c>
      <c r="L413" s="5" t="s">
        <v>536</v>
      </c>
      <c r="M413" s="5"/>
      <c r="N413" s="7"/>
      <c r="O413" s="5" t="s">
        <v>553</v>
      </c>
      <c r="P413" s="8">
        <v>9376.11</v>
      </c>
      <c r="Q413" s="8">
        <f t="shared" si="6"/>
        <v>1038811.34</v>
      </c>
    </row>
    <row r="414" spans="1:17" x14ac:dyDescent="0.25">
      <c r="A414" s="5"/>
      <c r="B414" s="5"/>
      <c r="C414" s="5"/>
      <c r="D414" s="5"/>
      <c r="E414" s="5"/>
      <c r="F414" s="5"/>
      <c r="G414" s="5"/>
      <c r="H414" s="5" t="s">
        <v>23</v>
      </c>
      <c r="I414" s="6">
        <v>44912</v>
      </c>
      <c r="J414" s="5" t="s">
        <v>370</v>
      </c>
      <c r="K414" s="5" t="s">
        <v>434</v>
      </c>
      <c r="L414" s="5" t="s">
        <v>539</v>
      </c>
      <c r="M414" s="5"/>
      <c r="N414" s="7"/>
      <c r="O414" s="5" t="s">
        <v>553</v>
      </c>
      <c r="P414" s="8">
        <v>20000</v>
      </c>
      <c r="Q414" s="8">
        <f t="shared" si="6"/>
        <v>1058811.3400000001</v>
      </c>
    </row>
    <row r="415" spans="1:17" x14ac:dyDescent="0.25">
      <c r="A415" s="5"/>
      <c r="B415" s="5"/>
      <c r="C415" s="5"/>
      <c r="D415" s="5"/>
      <c r="E415" s="5"/>
      <c r="F415" s="5"/>
      <c r="G415" s="5"/>
      <c r="H415" s="5" t="s">
        <v>23</v>
      </c>
      <c r="I415" s="6">
        <v>44912</v>
      </c>
      <c r="J415" s="5" t="s">
        <v>370</v>
      </c>
      <c r="K415" s="5" t="s">
        <v>434</v>
      </c>
      <c r="L415" s="5" t="s">
        <v>505</v>
      </c>
      <c r="M415" s="5"/>
      <c r="N415" s="7"/>
      <c r="O415" s="5" t="s">
        <v>553</v>
      </c>
      <c r="P415" s="8">
        <v>0</v>
      </c>
      <c r="Q415" s="8">
        <f t="shared" si="6"/>
        <v>1058811.3400000001</v>
      </c>
    </row>
    <row r="416" spans="1:17" ht="15.75" thickBot="1" x14ac:dyDescent="0.3">
      <c r="A416" s="5"/>
      <c r="B416" s="5"/>
      <c r="C416" s="5"/>
      <c r="D416" s="5"/>
      <c r="E416" s="5"/>
      <c r="F416" s="5"/>
      <c r="G416" s="5"/>
      <c r="H416" s="5" t="s">
        <v>23</v>
      </c>
      <c r="I416" s="6">
        <v>44925</v>
      </c>
      <c r="J416" s="5" t="s">
        <v>371</v>
      </c>
      <c r="K416" s="5" t="s">
        <v>408</v>
      </c>
      <c r="L416" s="5" t="s">
        <v>540</v>
      </c>
      <c r="M416" s="5"/>
      <c r="N416" s="7"/>
      <c r="O416" s="5" t="s">
        <v>553</v>
      </c>
      <c r="P416" s="9">
        <v>7100</v>
      </c>
      <c r="Q416" s="9">
        <f t="shared" si="6"/>
        <v>1065911.3400000001</v>
      </c>
    </row>
    <row r="417" spans="1:17" x14ac:dyDescent="0.25">
      <c r="A417" s="5"/>
      <c r="B417" s="5"/>
      <c r="C417" s="5"/>
      <c r="D417" s="5"/>
      <c r="E417" s="5" t="s">
        <v>13</v>
      </c>
      <c r="F417" s="5"/>
      <c r="G417" s="5"/>
      <c r="H417" s="5"/>
      <c r="I417" s="6"/>
      <c r="J417" s="5"/>
      <c r="K417" s="5"/>
      <c r="L417" s="5"/>
      <c r="M417" s="5"/>
      <c r="N417" s="5"/>
      <c r="O417" s="5"/>
      <c r="P417" s="8"/>
      <c r="Q417" s="8">
        <f>Q416</f>
        <v>1065911.3400000001</v>
      </c>
    </row>
    <row r="418" spans="1:17" x14ac:dyDescent="0.25">
      <c r="A418" s="2"/>
      <c r="B418" s="2"/>
      <c r="C418" s="2"/>
      <c r="D418" s="2"/>
      <c r="E418" s="2" t="s">
        <v>14</v>
      </c>
      <c r="F418" s="2"/>
      <c r="G418" s="2"/>
      <c r="H418" s="2"/>
      <c r="I418" s="3"/>
      <c r="J418" s="2"/>
      <c r="K418" s="2"/>
      <c r="L418" s="2"/>
      <c r="M418" s="2"/>
      <c r="N418" s="2"/>
      <c r="O418" s="2"/>
      <c r="P418" s="4"/>
      <c r="Q418" s="4"/>
    </row>
    <row r="419" spans="1:17" x14ac:dyDescent="0.25">
      <c r="A419" s="5"/>
      <c r="B419" s="5"/>
      <c r="C419" s="5"/>
      <c r="D419" s="5"/>
      <c r="E419" s="5"/>
      <c r="F419" s="5"/>
      <c r="G419" s="5"/>
      <c r="H419" s="5" t="s">
        <v>23</v>
      </c>
      <c r="I419" s="6">
        <v>44768</v>
      </c>
      <c r="J419" s="5" t="s">
        <v>372</v>
      </c>
      <c r="K419" s="5" t="s">
        <v>871</v>
      </c>
      <c r="L419" s="5" t="s">
        <v>541</v>
      </c>
      <c r="M419" s="5"/>
      <c r="N419" s="7"/>
      <c r="O419" s="5" t="s">
        <v>554</v>
      </c>
      <c r="P419" s="8">
        <v>1364.63</v>
      </c>
      <c r="Q419" s="8">
        <f>ROUND(Q418+P419,5)</f>
        <v>1364.63</v>
      </c>
    </row>
    <row r="420" spans="1:17" x14ac:dyDescent="0.25">
      <c r="A420" s="5"/>
      <c r="B420" s="5"/>
      <c r="C420" s="5"/>
      <c r="D420" s="5"/>
      <c r="E420" s="5"/>
      <c r="F420" s="5"/>
      <c r="G420" s="5"/>
      <c r="H420" s="5" t="s">
        <v>23</v>
      </c>
      <c r="I420" s="6">
        <v>44785</v>
      </c>
      <c r="J420" s="5" t="s">
        <v>373</v>
      </c>
      <c r="K420" s="5" t="s">
        <v>871</v>
      </c>
      <c r="L420" s="5" t="s">
        <v>542</v>
      </c>
      <c r="M420" s="5"/>
      <c r="N420" s="7"/>
      <c r="O420" s="5" t="s">
        <v>554</v>
      </c>
      <c r="P420" s="8">
        <v>2657.58</v>
      </c>
      <c r="Q420" s="8">
        <f>ROUND(Q419+P420,5)</f>
        <v>4022.21</v>
      </c>
    </row>
    <row r="421" spans="1:17" x14ac:dyDescent="0.25">
      <c r="A421" s="5"/>
      <c r="B421" s="5"/>
      <c r="C421" s="5"/>
      <c r="D421" s="5"/>
      <c r="E421" s="5"/>
      <c r="F421" s="5"/>
      <c r="G421" s="5"/>
      <c r="H421" s="5" t="s">
        <v>23</v>
      </c>
      <c r="I421" s="6">
        <v>44797</v>
      </c>
      <c r="J421" s="5" t="s">
        <v>374</v>
      </c>
      <c r="K421" s="5" t="s">
        <v>871</v>
      </c>
      <c r="L421" s="5" t="s">
        <v>543</v>
      </c>
      <c r="M421" s="5"/>
      <c r="N421" s="7"/>
      <c r="O421" s="5" t="s">
        <v>554</v>
      </c>
      <c r="P421" s="8">
        <v>350</v>
      </c>
      <c r="Q421" s="8">
        <f>ROUND(Q420+P421,5)</f>
        <v>4372.21</v>
      </c>
    </row>
    <row r="422" spans="1:17" ht="15.75" thickBot="1" x14ac:dyDescent="0.3">
      <c r="A422" s="5"/>
      <c r="B422" s="5"/>
      <c r="C422" s="5"/>
      <c r="D422" s="5"/>
      <c r="E422" s="5"/>
      <c r="F422" s="5"/>
      <c r="G422" s="5"/>
      <c r="H422" s="5" t="s">
        <v>23</v>
      </c>
      <c r="I422" s="6">
        <v>44853</v>
      </c>
      <c r="J422" s="5" t="s">
        <v>375</v>
      </c>
      <c r="K422" s="5" t="s">
        <v>871</v>
      </c>
      <c r="L422" s="5"/>
      <c r="M422" s="5"/>
      <c r="N422" s="7"/>
      <c r="O422" s="5" t="s">
        <v>554</v>
      </c>
      <c r="P422" s="9">
        <v>2542.5</v>
      </c>
      <c r="Q422" s="9">
        <f>ROUND(Q421+P422,5)</f>
        <v>6914.71</v>
      </c>
    </row>
    <row r="423" spans="1:17" x14ac:dyDescent="0.25">
      <c r="A423" s="5"/>
      <c r="B423" s="5"/>
      <c r="C423" s="5"/>
      <c r="D423" s="5"/>
      <c r="E423" s="5" t="s">
        <v>15</v>
      </c>
      <c r="F423" s="5"/>
      <c r="G423" s="5"/>
      <c r="H423" s="5"/>
      <c r="I423" s="6"/>
      <c r="J423" s="5"/>
      <c r="K423" s="5"/>
      <c r="L423" s="5"/>
      <c r="M423" s="5"/>
      <c r="N423" s="5"/>
      <c r="O423" s="5"/>
      <c r="P423" s="8">
        <f>ROUND(SUM(P418:P422),5)</f>
        <v>6914.71</v>
      </c>
      <c r="Q423" s="8">
        <f>Q422</f>
        <v>6914.71</v>
      </c>
    </row>
    <row r="424" spans="1:17" x14ac:dyDescent="0.25">
      <c r="A424" s="2"/>
      <c r="B424" s="2"/>
      <c r="C424" s="2"/>
      <c r="D424" s="2"/>
      <c r="E424" s="2" t="s">
        <v>16</v>
      </c>
      <c r="F424" s="2"/>
      <c r="G424" s="2"/>
      <c r="H424" s="2"/>
      <c r="I424" s="3"/>
      <c r="J424" s="2"/>
      <c r="K424" s="2"/>
      <c r="L424" s="2"/>
      <c r="M424" s="2"/>
      <c r="N424" s="2"/>
      <c r="O424" s="2"/>
      <c r="P424" s="4"/>
      <c r="Q424" s="4"/>
    </row>
    <row r="425" spans="1:17" ht="15.75" thickBot="1" x14ac:dyDescent="0.3">
      <c r="A425" s="1"/>
      <c r="B425" s="1"/>
      <c r="C425" s="1"/>
      <c r="D425" s="1"/>
      <c r="E425" s="1"/>
      <c r="F425" s="5"/>
      <c r="G425" s="5"/>
      <c r="H425" s="5" t="s">
        <v>26</v>
      </c>
      <c r="I425" s="6">
        <v>44737</v>
      </c>
      <c r="J425" s="5"/>
      <c r="K425" s="5"/>
      <c r="L425" s="5"/>
      <c r="M425" s="5"/>
      <c r="N425" s="7"/>
      <c r="O425" s="5" t="s">
        <v>555</v>
      </c>
      <c r="P425" s="8">
        <v>-166.94</v>
      </c>
      <c r="Q425" s="8">
        <f>ROUND(Q424+P425,5)</f>
        <v>-166.94</v>
      </c>
    </row>
    <row r="426" spans="1:17" ht="15.75" thickBot="1" x14ac:dyDescent="0.3">
      <c r="A426" s="5"/>
      <c r="B426" s="5"/>
      <c r="C426" s="5"/>
      <c r="D426" s="5"/>
      <c r="E426" s="5" t="s">
        <v>17</v>
      </c>
      <c r="F426" s="5"/>
      <c r="G426" s="5"/>
      <c r="H426" s="5"/>
      <c r="I426" s="6"/>
      <c r="J426" s="5"/>
      <c r="K426" s="5"/>
      <c r="L426" s="5"/>
      <c r="M426" s="5"/>
      <c r="N426" s="5"/>
      <c r="O426" s="5"/>
      <c r="P426" s="10">
        <f>ROUND(SUM(P424:P425),5)</f>
        <v>-166.94</v>
      </c>
      <c r="Q426" s="10">
        <f>Q425</f>
        <v>-166.94</v>
      </c>
    </row>
    <row r="427" spans="1:17" x14ac:dyDescent="0.25">
      <c r="A427" s="5"/>
      <c r="B427" s="5"/>
      <c r="C427" s="5"/>
      <c r="D427" s="5" t="s">
        <v>18</v>
      </c>
      <c r="E427" s="5"/>
      <c r="F427" s="5"/>
      <c r="G427" s="5"/>
      <c r="H427" s="5"/>
      <c r="I427" s="6"/>
      <c r="J427" s="5"/>
      <c r="K427" s="5"/>
      <c r="L427" s="5"/>
      <c r="M427" s="5"/>
      <c r="N427" s="5"/>
      <c r="O427" s="5"/>
      <c r="P427" s="8">
        <f>ROUND(P417+P423+P426,5)</f>
        <v>6747.77</v>
      </c>
      <c r="Q427" s="8">
        <f>ROUND(Q417+Q423+Q426,5)</f>
        <v>1072659.1100000001</v>
      </c>
    </row>
    <row r="428" spans="1:17" x14ac:dyDescent="0.25">
      <c r="A428" s="2"/>
      <c r="B428" s="2"/>
      <c r="C428" s="2"/>
      <c r="D428" s="2" t="s">
        <v>19</v>
      </c>
      <c r="E428" s="2"/>
      <c r="F428" s="2"/>
      <c r="G428" s="2"/>
      <c r="H428" s="2"/>
      <c r="I428" s="3"/>
      <c r="J428" s="2"/>
      <c r="K428" s="2"/>
      <c r="L428" s="2"/>
      <c r="M428" s="2"/>
      <c r="N428" s="2"/>
      <c r="O428" s="2"/>
      <c r="P428" s="4"/>
      <c r="Q428" s="4"/>
    </row>
    <row r="429" spans="1:17" ht="15.75" thickBot="1" x14ac:dyDescent="0.3">
      <c r="A429" s="2"/>
      <c r="B429" s="2"/>
      <c r="C429" s="2"/>
      <c r="D429" s="2"/>
      <c r="E429" s="2" t="s">
        <v>20</v>
      </c>
      <c r="F429" s="2"/>
      <c r="G429" s="2"/>
      <c r="H429" s="15" t="s">
        <v>0</v>
      </c>
      <c r="I429" s="15" t="s">
        <v>1</v>
      </c>
      <c r="J429" s="15" t="s">
        <v>2</v>
      </c>
      <c r="K429" s="15" t="s">
        <v>3</v>
      </c>
      <c r="L429" s="15" t="s">
        <v>4</v>
      </c>
      <c r="M429" s="15" t="s">
        <v>5</v>
      </c>
      <c r="N429" s="15" t="s">
        <v>6</v>
      </c>
      <c r="O429" s="15" t="s">
        <v>7</v>
      </c>
      <c r="P429" s="15" t="s">
        <v>8</v>
      </c>
      <c r="Q429" s="15"/>
    </row>
    <row r="430" spans="1:17" ht="15.75" thickTop="1" x14ac:dyDescent="0.25">
      <c r="A430" s="5"/>
      <c r="B430" s="5"/>
      <c r="C430" s="5"/>
      <c r="D430" s="5"/>
      <c r="E430" s="5"/>
      <c r="F430" s="5"/>
      <c r="G430" s="5"/>
      <c r="H430" s="5" t="s">
        <v>845</v>
      </c>
      <c r="I430" s="6">
        <v>44673</v>
      </c>
      <c r="J430" s="5" t="s">
        <v>376</v>
      </c>
      <c r="K430" s="5" t="s">
        <v>438</v>
      </c>
      <c r="L430" s="5"/>
      <c r="M430" s="5"/>
      <c r="N430" s="7"/>
      <c r="O430" s="5" t="s">
        <v>556</v>
      </c>
      <c r="P430" s="8">
        <v>2900.1</v>
      </c>
      <c r="Q430" s="8">
        <f t="shared" ref="Q430:Q472" si="7">ROUND(Q429+P430,5)</f>
        <v>2900.1</v>
      </c>
    </row>
    <row r="431" spans="1:17" x14ac:dyDescent="0.25">
      <c r="A431" s="5"/>
      <c r="B431" s="5"/>
      <c r="C431" s="5"/>
      <c r="D431" s="5"/>
      <c r="E431" s="5"/>
      <c r="F431" s="5"/>
      <c r="G431" s="5"/>
      <c r="H431" s="5" t="s">
        <v>845</v>
      </c>
      <c r="I431" s="6">
        <v>44693</v>
      </c>
      <c r="J431" s="5" t="s">
        <v>377</v>
      </c>
      <c r="K431" s="5" t="s">
        <v>439</v>
      </c>
      <c r="L431" s="5"/>
      <c r="M431" s="5"/>
      <c r="N431" s="7"/>
      <c r="O431" s="5" t="s">
        <v>556</v>
      </c>
      <c r="P431" s="8">
        <v>3855</v>
      </c>
      <c r="Q431" s="8">
        <f t="shared" si="7"/>
        <v>6755.1</v>
      </c>
    </row>
    <row r="432" spans="1:17" x14ac:dyDescent="0.25">
      <c r="A432" s="5"/>
      <c r="B432" s="5"/>
      <c r="C432" s="5"/>
      <c r="D432" s="5"/>
      <c r="E432" s="5"/>
      <c r="F432" s="5"/>
      <c r="G432" s="5"/>
      <c r="H432" s="5" t="s">
        <v>845</v>
      </c>
      <c r="I432" s="6">
        <v>44693</v>
      </c>
      <c r="J432" s="5"/>
      <c r="K432" s="5" t="s">
        <v>440</v>
      </c>
      <c r="L432" s="5"/>
      <c r="M432" s="5"/>
      <c r="N432" s="7"/>
      <c r="O432" s="5" t="s">
        <v>555</v>
      </c>
      <c r="P432" s="8">
        <v>1559.5</v>
      </c>
      <c r="Q432" s="8">
        <f t="shared" si="7"/>
        <v>8314.6</v>
      </c>
    </row>
    <row r="433" spans="1:17" x14ac:dyDescent="0.25">
      <c r="A433" s="5"/>
      <c r="B433" s="5"/>
      <c r="C433" s="5"/>
      <c r="D433" s="5"/>
      <c r="E433" s="5"/>
      <c r="F433" s="5"/>
      <c r="G433" s="5"/>
      <c r="H433" s="5" t="s">
        <v>845</v>
      </c>
      <c r="I433" s="6">
        <v>44698</v>
      </c>
      <c r="J433" s="5"/>
      <c r="K433" s="5" t="s">
        <v>440</v>
      </c>
      <c r="L433" s="5"/>
      <c r="M433" s="5"/>
      <c r="N433" s="7"/>
      <c r="O433" s="5" t="s">
        <v>557</v>
      </c>
      <c r="P433" s="8"/>
      <c r="Q433" s="8">
        <f t="shared" si="7"/>
        <v>8314.6</v>
      </c>
    </row>
    <row r="434" spans="1:17" x14ac:dyDescent="0.25">
      <c r="A434" s="5"/>
      <c r="B434" s="5"/>
      <c r="C434" s="5"/>
      <c r="D434" s="5"/>
      <c r="E434" s="5"/>
      <c r="F434" s="5"/>
      <c r="G434" s="5"/>
      <c r="H434" s="5" t="s">
        <v>845</v>
      </c>
      <c r="I434" s="6">
        <v>44699</v>
      </c>
      <c r="J434" s="5"/>
      <c r="K434" s="5" t="s">
        <v>440</v>
      </c>
      <c r="L434" s="5"/>
      <c r="M434" s="5"/>
      <c r="N434" s="7"/>
      <c r="O434" s="5" t="s">
        <v>557</v>
      </c>
      <c r="P434" s="8"/>
      <c r="Q434" s="8">
        <f t="shared" si="7"/>
        <v>8314.6</v>
      </c>
    </row>
    <row r="435" spans="1:17" x14ac:dyDescent="0.25">
      <c r="A435" s="5"/>
      <c r="B435" s="5"/>
      <c r="C435" s="5"/>
      <c r="D435" s="5"/>
      <c r="E435" s="5"/>
      <c r="F435" s="5"/>
      <c r="G435" s="5"/>
      <c r="H435" s="5" t="s">
        <v>845</v>
      </c>
      <c r="I435" s="6">
        <v>44707</v>
      </c>
      <c r="J435" s="5"/>
      <c r="K435" s="5" t="s">
        <v>877</v>
      </c>
      <c r="L435" s="5" t="s">
        <v>544</v>
      </c>
      <c r="M435" s="5"/>
      <c r="N435" s="7"/>
      <c r="O435" s="5" t="s">
        <v>554</v>
      </c>
      <c r="P435" s="8">
        <v>425.47</v>
      </c>
      <c r="Q435" s="8">
        <f t="shared" si="7"/>
        <v>8740.07</v>
      </c>
    </row>
    <row r="436" spans="1:17" x14ac:dyDescent="0.25">
      <c r="A436" s="5"/>
      <c r="B436" s="5"/>
      <c r="C436" s="5"/>
      <c r="D436" s="5"/>
      <c r="E436" s="5"/>
      <c r="F436" s="5"/>
      <c r="G436" s="5"/>
      <c r="H436" s="5" t="s">
        <v>845</v>
      </c>
      <c r="I436" s="6">
        <v>44708</v>
      </c>
      <c r="J436" s="5"/>
      <c r="K436" s="5" t="s">
        <v>442</v>
      </c>
      <c r="L436" s="5"/>
      <c r="M436" s="5"/>
      <c r="N436" s="7"/>
      <c r="O436" s="5" t="s">
        <v>556</v>
      </c>
      <c r="P436" s="8">
        <v>158</v>
      </c>
      <c r="Q436" s="8">
        <f t="shared" si="7"/>
        <v>8898.07</v>
      </c>
    </row>
    <row r="437" spans="1:17" x14ac:dyDescent="0.25">
      <c r="A437" s="5"/>
      <c r="B437" s="5"/>
      <c r="C437" s="5"/>
      <c r="D437" s="5"/>
      <c r="E437" s="5"/>
      <c r="F437" s="5"/>
      <c r="G437" s="5"/>
      <c r="H437" s="5" t="s">
        <v>845</v>
      </c>
      <c r="I437" s="6">
        <v>44708</v>
      </c>
      <c r="J437" s="5"/>
      <c r="K437" s="5" t="s">
        <v>442</v>
      </c>
      <c r="L437" s="5"/>
      <c r="M437" s="5"/>
      <c r="N437" s="7"/>
      <c r="O437" s="5" t="s">
        <v>556</v>
      </c>
      <c r="P437" s="8">
        <v>760.71</v>
      </c>
      <c r="Q437" s="8">
        <f t="shared" si="7"/>
        <v>9658.7800000000007</v>
      </c>
    </row>
    <row r="438" spans="1:17" x14ac:dyDescent="0.25">
      <c r="A438" s="5"/>
      <c r="B438" s="5"/>
      <c r="C438" s="5"/>
      <c r="D438" s="5"/>
      <c r="E438" s="5"/>
      <c r="F438" s="5"/>
      <c r="G438" s="5"/>
      <c r="H438" s="5" t="s">
        <v>845</v>
      </c>
      <c r="I438" s="6">
        <v>44747</v>
      </c>
      <c r="J438" s="5" t="s">
        <v>378</v>
      </c>
      <c r="K438" s="5" t="s">
        <v>881</v>
      </c>
      <c r="L438" s="5"/>
      <c r="M438" s="5"/>
      <c r="N438" s="7"/>
      <c r="O438" s="5" t="s">
        <v>554</v>
      </c>
      <c r="P438" s="8">
        <v>260.7</v>
      </c>
      <c r="Q438" s="8">
        <f t="shared" si="7"/>
        <v>9919.48</v>
      </c>
    </row>
    <row r="439" spans="1:17" x14ac:dyDescent="0.25">
      <c r="A439" s="5"/>
      <c r="B439" s="5"/>
      <c r="C439" s="5"/>
      <c r="D439" s="5"/>
      <c r="E439" s="5"/>
      <c r="F439" s="5"/>
      <c r="G439" s="5"/>
      <c r="H439" s="5" t="s">
        <v>845</v>
      </c>
      <c r="I439" s="6">
        <v>44754</v>
      </c>
      <c r="J439" s="5"/>
      <c r="K439" s="5" t="s">
        <v>444</v>
      </c>
      <c r="L439" s="5"/>
      <c r="M439" s="5"/>
      <c r="N439" s="7"/>
      <c r="O439" s="5" t="s">
        <v>556</v>
      </c>
      <c r="P439" s="8">
        <v>5815</v>
      </c>
      <c r="Q439" s="8">
        <f t="shared" si="7"/>
        <v>15734.48</v>
      </c>
    </row>
    <row r="440" spans="1:17" x14ac:dyDescent="0.25">
      <c r="A440" s="5"/>
      <c r="B440" s="5"/>
      <c r="C440" s="5"/>
      <c r="D440" s="5"/>
      <c r="E440" s="5"/>
      <c r="F440" s="5"/>
      <c r="G440" s="5"/>
      <c r="H440" s="5" t="s">
        <v>845</v>
      </c>
      <c r="I440" s="6">
        <v>44756</v>
      </c>
      <c r="J440" s="5"/>
      <c r="K440" s="5" t="s">
        <v>877</v>
      </c>
      <c r="L440" s="5"/>
      <c r="M440" s="5"/>
      <c r="N440" s="7"/>
      <c r="O440" s="5" t="s">
        <v>554</v>
      </c>
      <c r="P440" s="8">
        <v>311.93</v>
      </c>
      <c r="Q440" s="8">
        <f t="shared" si="7"/>
        <v>16046.41</v>
      </c>
    </row>
    <row r="441" spans="1:17" x14ac:dyDescent="0.25">
      <c r="A441" s="5"/>
      <c r="B441" s="5"/>
      <c r="C441" s="5"/>
      <c r="D441" s="5"/>
      <c r="E441" s="5"/>
      <c r="F441" s="5"/>
      <c r="G441" s="5"/>
      <c r="H441" s="5" t="s">
        <v>845</v>
      </c>
      <c r="I441" s="6">
        <v>44777</v>
      </c>
      <c r="J441" s="5" t="s">
        <v>379</v>
      </c>
      <c r="K441" s="5" t="s">
        <v>445</v>
      </c>
      <c r="L441" s="5"/>
      <c r="M441" s="5"/>
      <c r="N441" s="7"/>
      <c r="O441" s="5" t="s">
        <v>556</v>
      </c>
      <c r="P441" s="8">
        <v>2071.66</v>
      </c>
      <c r="Q441" s="8">
        <f t="shared" si="7"/>
        <v>18118.07</v>
      </c>
    </row>
    <row r="442" spans="1:17" x14ac:dyDescent="0.25">
      <c r="A442" s="5"/>
      <c r="B442" s="5"/>
      <c r="C442" s="5"/>
      <c r="D442" s="5"/>
      <c r="E442" s="5"/>
      <c r="F442" s="5"/>
      <c r="G442" s="5"/>
      <c r="H442" s="5" t="s">
        <v>845</v>
      </c>
      <c r="I442" s="6">
        <v>44820</v>
      </c>
      <c r="J442" s="5"/>
      <c r="K442" s="5" t="s">
        <v>446</v>
      </c>
      <c r="L442" s="5"/>
      <c r="M442" s="5"/>
      <c r="N442" s="7"/>
      <c r="O442" s="5" t="s">
        <v>556</v>
      </c>
      <c r="P442" s="8">
        <v>728.83</v>
      </c>
      <c r="Q442" s="8">
        <f t="shared" si="7"/>
        <v>18846.900000000001</v>
      </c>
    </row>
    <row r="443" spans="1:17" x14ac:dyDescent="0.25">
      <c r="A443" s="5"/>
      <c r="B443" s="5"/>
      <c r="C443" s="5"/>
      <c r="D443" s="5"/>
      <c r="E443" s="5"/>
      <c r="F443" s="5"/>
      <c r="G443" s="5"/>
      <c r="H443" s="5" t="s">
        <v>845</v>
      </c>
      <c r="I443" s="6">
        <v>44830</v>
      </c>
      <c r="J443" s="5"/>
      <c r="K443" s="5" t="s">
        <v>446</v>
      </c>
      <c r="L443" s="5"/>
      <c r="M443" s="5"/>
      <c r="N443" s="7"/>
      <c r="O443" s="5" t="s">
        <v>554</v>
      </c>
      <c r="P443" s="8">
        <v>572.38</v>
      </c>
      <c r="Q443" s="8">
        <f t="shared" si="7"/>
        <v>19419.28</v>
      </c>
    </row>
    <row r="444" spans="1:17" x14ac:dyDescent="0.25">
      <c r="A444" s="5"/>
      <c r="B444" s="5"/>
      <c r="C444" s="5"/>
      <c r="D444" s="5"/>
      <c r="E444" s="5"/>
      <c r="F444" s="5"/>
      <c r="G444" s="5"/>
      <c r="H444" s="5" t="s">
        <v>845</v>
      </c>
      <c r="I444" s="6">
        <v>44830</v>
      </c>
      <c r="J444" s="5"/>
      <c r="K444" s="5" t="s">
        <v>446</v>
      </c>
      <c r="L444" s="5"/>
      <c r="M444" s="5"/>
      <c r="N444" s="7"/>
      <c r="O444" s="5" t="s">
        <v>554</v>
      </c>
      <c r="P444" s="8">
        <v>823.58</v>
      </c>
      <c r="Q444" s="8">
        <f t="shared" si="7"/>
        <v>20242.86</v>
      </c>
    </row>
    <row r="445" spans="1:17" x14ac:dyDescent="0.25">
      <c r="A445" s="5"/>
      <c r="B445" s="5"/>
      <c r="C445" s="5"/>
      <c r="D445" s="5"/>
      <c r="E445" s="5"/>
      <c r="F445" s="5"/>
      <c r="G445" s="5"/>
      <c r="H445" s="5" t="s">
        <v>845</v>
      </c>
      <c r="I445" s="6">
        <v>44833</v>
      </c>
      <c r="J445" s="5"/>
      <c r="K445" s="5" t="s">
        <v>447</v>
      </c>
      <c r="L445" s="5"/>
      <c r="M445" s="5"/>
      <c r="N445" s="7"/>
      <c r="O445" s="5" t="s">
        <v>556</v>
      </c>
      <c r="P445" s="8">
        <v>17377.27</v>
      </c>
      <c r="Q445" s="8">
        <f t="shared" si="7"/>
        <v>37620.129999999997</v>
      </c>
    </row>
    <row r="446" spans="1:17" x14ac:dyDescent="0.25">
      <c r="A446" s="5"/>
      <c r="B446" s="5"/>
      <c r="C446" s="5"/>
      <c r="D446" s="5"/>
      <c r="E446" s="5"/>
      <c r="F446" s="5"/>
      <c r="G446" s="5"/>
      <c r="H446" s="5" t="s">
        <v>845</v>
      </c>
      <c r="I446" s="6">
        <v>44838</v>
      </c>
      <c r="J446" s="5"/>
      <c r="K446" s="5" t="s">
        <v>446</v>
      </c>
      <c r="L446" s="5"/>
      <c r="M446" s="5"/>
      <c r="N446" s="7"/>
      <c r="O446" s="5" t="s">
        <v>556</v>
      </c>
      <c r="P446" s="8">
        <v>2212.39</v>
      </c>
      <c r="Q446" s="8">
        <f t="shared" si="7"/>
        <v>39832.519999999997</v>
      </c>
    </row>
    <row r="447" spans="1:17" x14ac:dyDescent="0.25">
      <c r="A447" s="5"/>
      <c r="B447" s="5"/>
      <c r="C447" s="5"/>
      <c r="D447" s="5"/>
      <c r="E447" s="5"/>
      <c r="F447" s="5"/>
      <c r="G447" s="5"/>
      <c r="H447" s="5" t="s">
        <v>845</v>
      </c>
      <c r="I447" s="6">
        <v>44869</v>
      </c>
      <c r="J447" s="5" t="s">
        <v>380</v>
      </c>
      <c r="K447" s="5"/>
      <c r="L447" s="5" t="s">
        <v>545</v>
      </c>
      <c r="M447" s="5"/>
      <c r="N447" s="7"/>
      <c r="O447" s="5" t="s">
        <v>554</v>
      </c>
      <c r="P447" s="8">
        <v>324.87</v>
      </c>
      <c r="Q447" s="8">
        <f t="shared" si="7"/>
        <v>40157.39</v>
      </c>
    </row>
    <row r="448" spans="1:17" x14ac:dyDescent="0.25">
      <c r="A448" s="5"/>
      <c r="B448" s="5"/>
      <c r="C448" s="5"/>
      <c r="D448" s="5"/>
      <c r="E448" s="5"/>
      <c r="F448" s="5"/>
      <c r="G448" s="5"/>
      <c r="H448" s="5" t="s">
        <v>845</v>
      </c>
      <c r="I448" s="6">
        <v>44874</v>
      </c>
      <c r="J448" s="5"/>
      <c r="K448" s="5" t="s">
        <v>448</v>
      </c>
      <c r="L448" s="5"/>
      <c r="M448" s="5"/>
      <c r="N448" s="7"/>
      <c r="O448" s="5" t="s">
        <v>556</v>
      </c>
      <c r="P448" s="8">
        <v>271.08</v>
      </c>
      <c r="Q448" s="8">
        <f t="shared" si="7"/>
        <v>40428.47</v>
      </c>
    </row>
    <row r="449" spans="1:17" x14ac:dyDescent="0.25">
      <c r="A449" s="5"/>
      <c r="B449" s="5"/>
      <c r="C449" s="5"/>
      <c r="D449" s="5"/>
      <c r="E449" s="5"/>
      <c r="F449" s="5"/>
      <c r="G449" s="5"/>
      <c r="H449" s="5" t="s">
        <v>845</v>
      </c>
      <c r="I449" s="6">
        <v>44874</v>
      </c>
      <c r="J449" s="5"/>
      <c r="K449" s="5" t="s">
        <v>442</v>
      </c>
      <c r="L449" s="5"/>
      <c r="M449" s="5"/>
      <c r="N449" s="7"/>
      <c r="O449" s="5" t="s">
        <v>556</v>
      </c>
      <c r="P449" s="8">
        <v>2212.39</v>
      </c>
      <c r="Q449" s="8">
        <f t="shared" si="7"/>
        <v>42640.86</v>
      </c>
    </row>
    <row r="450" spans="1:17" x14ac:dyDescent="0.25">
      <c r="A450" s="5"/>
      <c r="B450" s="5"/>
      <c r="C450" s="5"/>
      <c r="D450" s="5"/>
      <c r="E450" s="5"/>
      <c r="F450" s="5"/>
      <c r="G450" s="5"/>
      <c r="H450" s="5" t="s">
        <v>845</v>
      </c>
      <c r="I450" s="6">
        <v>44875</v>
      </c>
      <c r="J450" s="5"/>
      <c r="K450" s="5" t="s">
        <v>449</v>
      </c>
      <c r="L450" s="5"/>
      <c r="M450" s="5"/>
      <c r="N450" s="7"/>
      <c r="O450" s="5" t="s">
        <v>556</v>
      </c>
      <c r="P450" s="8">
        <v>350.07</v>
      </c>
      <c r="Q450" s="8">
        <f t="shared" si="7"/>
        <v>42990.93</v>
      </c>
    </row>
    <row r="451" spans="1:17" x14ac:dyDescent="0.25">
      <c r="A451" s="5"/>
      <c r="B451" s="5"/>
      <c r="C451" s="5"/>
      <c r="D451" s="5"/>
      <c r="E451" s="5"/>
      <c r="F451" s="5"/>
      <c r="G451" s="5"/>
      <c r="H451" s="5" t="s">
        <v>845</v>
      </c>
      <c r="I451" s="6">
        <v>44875</v>
      </c>
      <c r="J451" s="5"/>
      <c r="K451" s="5" t="s">
        <v>450</v>
      </c>
      <c r="L451" s="5"/>
      <c r="M451" s="5"/>
      <c r="N451" s="7"/>
      <c r="O451" s="5" t="s">
        <v>556</v>
      </c>
      <c r="P451" s="8">
        <v>197.56</v>
      </c>
      <c r="Q451" s="8">
        <f t="shared" si="7"/>
        <v>43188.49</v>
      </c>
    </row>
    <row r="452" spans="1:17" x14ac:dyDescent="0.25">
      <c r="A452" s="5"/>
      <c r="B452" s="5"/>
      <c r="C452" s="5"/>
      <c r="D452" s="5"/>
      <c r="E452" s="5"/>
      <c r="F452" s="5"/>
      <c r="G452" s="5"/>
      <c r="H452" s="5" t="s">
        <v>845</v>
      </c>
      <c r="I452" s="6">
        <v>44876</v>
      </c>
      <c r="J452" s="5"/>
      <c r="K452" s="5" t="s">
        <v>451</v>
      </c>
      <c r="L452" s="5"/>
      <c r="M452" s="5"/>
      <c r="N452" s="7"/>
      <c r="O452" s="5" t="s">
        <v>556</v>
      </c>
      <c r="P452" s="8">
        <v>371.3</v>
      </c>
      <c r="Q452" s="8">
        <f t="shared" si="7"/>
        <v>43559.79</v>
      </c>
    </row>
    <row r="453" spans="1:17" x14ac:dyDescent="0.25">
      <c r="A453" s="5"/>
      <c r="B453" s="5"/>
      <c r="C453" s="5"/>
      <c r="D453" s="5"/>
      <c r="E453" s="5"/>
      <c r="F453" s="5"/>
      <c r="G453" s="5"/>
      <c r="H453" s="5" t="s">
        <v>845</v>
      </c>
      <c r="I453" s="6">
        <v>44883</v>
      </c>
      <c r="J453" s="5"/>
      <c r="K453" s="5" t="s">
        <v>452</v>
      </c>
      <c r="L453" s="5"/>
      <c r="M453" s="5"/>
      <c r="N453" s="7"/>
      <c r="O453" s="5" t="s">
        <v>556</v>
      </c>
      <c r="P453" s="8">
        <v>3939.6</v>
      </c>
      <c r="Q453" s="8">
        <f t="shared" si="7"/>
        <v>47499.39</v>
      </c>
    </row>
    <row r="454" spans="1:17" x14ac:dyDescent="0.25">
      <c r="A454" s="5"/>
      <c r="B454" s="5"/>
      <c r="C454" s="5"/>
      <c r="D454" s="5"/>
      <c r="E454" s="5"/>
      <c r="F454" s="5"/>
      <c r="G454" s="5"/>
      <c r="H454" s="5" t="s">
        <v>845</v>
      </c>
      <c r="I454" s="6">
        <v>44886</v>
      </c>
      <c r="J454" s="5"/>
      <c r="K454" s="5" t="s">
        <v>453</v>
      </c>
      <c r="L454" s="5" t="s">
        <v>546</v>
      </c>
      <c r="M454" s="5"/>
      <c r="N454" s="7"/>
      <c r="O454" s="5" t="s">
        <v>556</v>
      </c>
      <c r="P454" s="8">
        <v>10062</v>
      </c>
      <c r="Q454" s="8">
        <f t="shared" si="7"/>
        <v>57561.39</v>
      </c>
    </row>
    <row r="455" spans="1:17" x14ac:dyDescent="0.25">
      <c r="A455" s="5"/>
      <c r="B455" s="5"/>
      <c r="C455" s="5"/>
      <c r="D455" s="5"/>
      <c r="E455" s="5"/>
      <c r="F455" s="5"/>
      <c r="G455" s="5"/>
      <c r="H455" s="5" t="s">
        <v>845</v>
      </c>
      <c r="I455" s="6">
        <v>44889</v>
      </c>
      <c r="J455" s="5"/>
      <c r="K455" s="5" t="s">
        <v>454</v>
      </c>
      <c r="L455" s="5"/>
      <c r="M455" s="5"/>
      <c r="N455" s="7"/>
      <c r="O455" s="5" t="s">
        <v>554</v>
      </c>
      <c r="P455" s="8">
        <v>63945.73</v>
      </c>
      <c r="Q455" s="8">
        <f t="shared" si="7"/>
        <v>121507.12</v>
      </c>
    </row>
    <row r="456" spans="1:17" x14ac:dyDescent="0.25">
      <c r="A456" s="5"/>
      <c r="B456" s="5"/>
      <c r="C456" s="5"/>
      <c r="D456" s="5"/>
      <c r="E456" s="5"/>
      <c r="F456" s="5"/>
      <c r="G456" s="5"/>
      <c r="H456" s="5" t="s">
        <v>845</v>
      </c>
      <c r="I456" s="6">
        <v>44895</v>
      </c>
      <c r="J456" s="5"/>
      <c r="K456" s="5" t="s">
        <v>450</v>
      </c>
      <c r="L456" s="5"/>
      <c r="M456" s="5"/>
      <c r="N456" s="7"/>
      <c r="O456" s="5" t="s">
        <v>556</v>
      </c>
      <c r="P456" s="8">
        <v>421.2</v>
      </c>
      <c r="Q456" s="8">
        <f t="shared" si="7"/>
        <v>121928.32000000001</v>
      </c>
    </row>
    <row r="457" spans="1:17" x14ac:dyDescent="0.25">
      <c r="A457" s="5"/>
      <c r="B457" s="5"/>
      <c r="C457" s="5"/>
      <c r="D457" s="5"/>
      <c r="E457" s="5"/>
      <c r="F457" s="5"/>
      <c r="G457" s="5"/>
      <c r="H457" s="5" t="s">
        <v>845</v>
      </c>
      <c r="I457" s="6">
        <v>44900</v>
      </c>
      <c r="J457" s="5"/>
      <c r="K457" s="5" t="s">
        <v>455</v>
      </c>
      <c r="L457" s="5" t="s">
        <v>547</v>
      </c>
      <c r="M457" s="5"/>
      <c r="N457" s="7"/>
      <c r="O457" s="5" t="s">
        <v>556</v>
      </c>
      <c r="P457" s="8">
        <v>4310</v>
      </c>
      <c r="Q457" s="8">
        <f t="shared" si="7"/>
        <v>126238.32</v>
      </c>
    </row>
    <row r="458" spans="1:17" x14ac:dyDescent="0.25">
      <c r="A458" s="5"/>
      <c r="B458" s="5"/>
      <c r="C458" s="5"/>
      <c r="D458" s="5"/>
      <c r="E458" s="5"/>
      <c r="F458" s="5"/>
      <c r="G458" s="5"/>
      <c r="H458" s="5" t="s">
        <v>845</v>
      </c>
      <c r="I458" s="6">
        <v>44900</v>
      </c>
      <c r="J458" s="5"/>
      <c r="K458" s="5" t="s">
        <v>455</v>
      </c>
      <c r="L458" s="5" t="s">
        <v>547</v>
      </c>
      <c r="M458" s="5"/>
      <c r="N458" s="7"/>
      <c r="O458" s="5" t="s">
        <v>554</v>
      </c>
      <c r="P458" s="8">
        <v>884.96</v>
      </c>
      <c r="Q458" s="8">
        <f t="shared" si="7"/>
        <v>127123.28</v>
      </c>
    </row>
    <row r="459" spans="1:17" x14ac:dyDescent="0.25">
      <c r="A459" s="5"/>
      <c r="B459" s="5"/>
      <c r="C459" s="5"/>
      <c r="D459" s="5"/>
      <c r="E459" s="5"/>
      <c r="F459" s="5"/>
      <c r="G459" s="5"/>
      <c r="H459" s="5" t="s">
        <v>845</v>
      </c>
      <c r="I459" s="6">
        <v>44901</v>
      </c>
      <c r="J459" s="5"/>
      <c r="K459" s="5" t="s">
        <v>455</v>
      </c>
      <c r="L459" s="5"/>
      <c r="M459" s="5"/>
      <c r="N459" s="7"/>
      <c r="O459" s="5" t="s">
        <v>554</v>
      </c>
      <c r="P459" s="8">
        <v>3425.04</v>
      </c>
      <c r="Q459" s="8">
        <f t="shared" si="7"/>
        <v>130548.32</v>
      </c>
    </row>
    <row r="460" spans="1:17" x14ac:dyDescent="0.25">
      <c r="A460" s="5"/>
      <c r="B460" s="5"/>
      <c r="C460" s="5"/>
      <c r="D460" s="5"/>
      <c r="E460" s="5"/>
      <c r="F460" s="5"/>
      <c r="G460" s="5"/>
      <c r="H460" s="5" t="s">
        <v>845</v>
      </c>
      <c r="I460" s="6">
        <v>44903</v>
      </c>
      <c r="J460" s="5"/>
      <c r="K460" s="5" t="s">
        <v>456</v>
      </c>
      <c r="L460" s="5" t="s">
        <v>548</v>
      </c>
      <c r="M460" s="5"/>
      <c r="N460" s="7"/>
      <c r="O460" s="5" t="s">
        <v>556</v>
      </c>
      <c r="P460" s="8">
        <v>157.96</v>
      </c>
      <c r="Q460" s="8">
        <f t="shared" si="7"/>
        <v>130706.28</v>
      </c>
    </row>
    <row r="461" spans="1:17" x14ac:dyDescent="0.25">
      <c r="A461" s="5"/>
      <c r="B461" s="5"/>
      <c r="C461" s="5"/>
      <c r="D461" s="5"/>
      <c r="E461" s="5"/>
      <c r="F461" s="5"/>
      <c r="G461" s="5"/>
      <c r="H461" s="5" t="s">
        <v>845</v>
      </c>
      <c r="I461" s="6">
        <v>44903</v>
      </c>
      <c r="J461" s="5"/>
      <c r="K461" s="5" t="s">
        <v>456</v>
      </c>
      <c r="L461" s="5" t="s">
        <v>548</v>
      </c>
      <c r="M461" s="5"/>
      <c r="N461" s="7"/>
      <c r="O461" s="5" t="s">
        <v>556</v>
      </c>
      <c r="P461" s="8">
        <v>188.95</v>
      </c>
      <c r="Q461" s="8">
        <f t="shared" si="7"/>
        <v>130895.23</v>
      </c>
    </row>
    <row r="462" spans="1:17" x14ac:dyDescent="0.25">
      <c r="A462" s="5"/>
      <c r="B462" s="5"/>
      <c r="C462" s="5"/>
      <c r="D462" s="5"/>
      <c r="E462" s="5"/>
      <c r="F462" s="5"/>
      <c r="G462" s="5"/>
      <c r="H462" s="5" t="s">
        <v>845</v>
      </c>
      <c r="I462" s="6">
        <v>44903</v>
      </c>
      <c r="J462" s="5"/>
      <c r="K462" s="5" t="s">
        <v>456</v>
      </c>
      <c r="L462" s="5" t="s">
        <v>548</v>
      </c>
      <c r="M462" s="5"/>
      <c r="N462" s="7"/>
      <c r="O462" s="5" t="s">
        <v>556</v>
      </c>
      <c r="P462" s="8">
        <v>35.979999999999997</v>
      </c>
      <c r="Q462" s="8">
        <f t="shared" si="7"/>
        <v>130931.21</v>
      </c>
    </row>
    <row r="463" spans="1:17" x14ac:dyDescent="0.25">
      <c r="A463" s="5"/>
      <c r="B463" s="5"/>
      <c r="C463" s="5"/>
      <c r="D463" s="5"/>
      <c r="E463" s="5"/>
      <c r="F463" s="5"/>
      <c r="G463" s="5"/>
      <c r="H463" s="5" t="s">
        <v>845</v>
      </c>
      <c r="I463" s="6">
        <v>44903</v>
      </c>
      <c r="J463" s="5"/>
      <c r="K463" s="5" t="s">
        <v>456</v>
      </c>
      <c r="L463" s="5" t="s">
        <v>548</v>
      </c>
      <c r="M463" s="5"/>
      <c r="N463" s="7"/>
      <c r="O463" s="5" t="s">
        <v>556</v>
      </c>
      <c r="P463" s="8">
        <v>171.54</v>
      </c>
      <c r="Q463" s="8">
        <f t="shared" si="7"/>
        <v>131102.75</v>
      </c>
    </row>
    <row r="464" spans="1:17" x14ac:dyDescent="0.25">
      <c r="A464" s="5"/>
      <c r="B464" s="5"/>
      <c r="C464" s="5"/>
      <c r="D464" s="5"/>
      <c r="E464" s="5"/>
      <c r="F464" s="5"/>
      <c r="G464" s="5"/>
      <c r="H464" s="5" t="s">
        <v>845</v>
      </c>
      <c r="I464" s="6">
        <v>44903</v>
      </c>
      <c r="J464" s="5"/>
      <c r="K464" s="5" t="s">
        <v>877</v>
      </c>
      <c r="L464" s="5"/>
      <c r="M464" s="5"/>
      <c r="N464" s="7"/>
      <c r="O464" s="5" t="s">
        <v>554</v>
      </c>
      <c r="P464" s="8">
        <v>626.5</v>
      </c>
      <c r="Q464" s="8">
        <f t="shared" si="7"/>
        <v>131729.25</v>
      </c>
    </row>
    <row r="465" spans="1:17" x14ac:dyDescent="0.25">
      <c r="A465" s="5"/>
      <c r="B465" s="5"/>
      <c r="C465" s="5"/>
      <c r="D465" s="5"/>
      <c r="E465" s="5"/>
      <c r="F465" s="5"/>
      <c r="G465" s="5"/>
      <c r="H465" s="5" t="s">
        <v>845</v>
      </c>
      <c r="I465" s="6">
        <v>44903</v>
      </c>
      <c r="J465" s="5" t="s">
        <v>381</v>
      </c>
      <c r="K465" s="5" t="s">
        <v>446</v>
      </c>
      <c r="L465" s="5"/>
      <c r="M465" s="5"/>
      <c r="N465" s="7"/>
      <c r="O465" s="5" t="s">
        <v>554</v>
      </c>
      <c r="P465" s="8">
        <v>2355.27</v>
      </c>
      <c r="Q465" s="8">
        <f t="shared" si="7"/>
        <v>134084.51999999999</v>
      </c>
    </row>
    <row r="466" spans="1:17" x14ac:dyDescent="0.25">
      <c r="A466" s="5"/>
      <c r="B466" s="5"/>
      <c r="C466" s="5"/>
      <c r="D466" s="5"/>
      <c r="E466" s="5"/>
      <c r="F466" s="5"/>
      <c r="G466" s="5"/>
      <c r="H466" s="5" t="s">
        <v>845</v>
      </c>
      <c r="I466" s="6">
        <v>44908</v>
      </c>
      <c r="J466" s="5"/>
      <c r="K466" s="5" t="s">
        <v>457</v>
      </c>
      <c r="L466" s="5" t="s">
        <v>549</v>
      </c>
      <c r="M466" s="5"/>
      <c r="N466" s="7"/>
      <c r="O466" s="5" t="s">
        <v>554</v>
      </c>
      <c r="P466" s="8">
        <v>2084.6799999999998</v>
      </c>
      <c r="Q466" s="8">
        <f t="shared" si="7"/>
        <v>136169.20000000001</v>
      </c>
    </row>
    <row r="467" spans="1:17" x14ac:dyDescent="0.25">
      <c r="A467" s="5"/>
      <c r="B467" s="5"/>
      <c r="C467" s="5"/>
      <c r="D467" s="5"/>
      <c r="E467" s="5"/>
      <c r="F467" s="5"/>
      <c r="G467" s="5"/>
      <c r="H467" s="5" t="s">
        <v>845</v>
      </c>
      <c r="I467" s="6">
        <v>44908</v>
      </c>
      <c r="J467" s="5"/>
      <c r="K467" s="5" t="s">
        <v>458</v>
      </c>
      <c r="L467" s="5" t="s">
        <v>550</v>
      </c>
      <c r="M467" s="5"/>
      <c r="N467" s="7"/>
      <c r="O467" s="5" t="s">
        <v>554</v>
      </c>
      <c r="P467" s="8">
        <v>1065.08</v>
      </c>
      <c r="Q467" s="8">
        <f t="shared" si="7"/>
        <v>137234.28</v>
      </c>
    </row>
    <row r="468" spans="1:17" x14ac:dyDescent="0.25">
      <c r="A468" s="5"/>
      <c r="B468" s="5"/>
      <c r="C468" s="5"/>
      <c r="D468" s="5"/>
      <c r="E468" s="5"/>
      <c r="F468" s="5"/>
      <c r="G468" s="5"/>
      <c r="H468" s="5" t="s">
        <v>845</v>
      </c>
      <c r="I468" s="6">
        <v>44916</v>
      </c>
      <c r="J468" s="5"/>
      <c r="K468" s="5" t="s">
        <v>459</v>
      </c>
      <c r="L468" s="5" t="s">
        <v>551</v>
      </c>
      <c r="M468" s="5"/>
      <c r="N468" s="7"/>
      <c r="O468" s="5" t="s">
        <v>556</v>
      </c>
      <c r="P468" s="8">
        <v>2320</v>
      </c>
      <c r="Q468" s="8">
        <f t="shared" si="7"/>
        <v>139554.28</v>
      </c>
    </row>
    <row r="469" spans="1:17" x14ac:dyDescent="0.25">
      <c r="A469" s="5"/>
      <c r="B469" s="5"/>
      <c r="C469" s="5"/>
      <c r="D469" s="5"/>
      <c r="E469" s="5"/>
      <c r="F469" s="5"/>
      <c r="G469" s="5"/>
      <c r="H469" s="5" t="s">
        <v>845</v>
      </c>
      <c r="I469" s="6">
        <v>44916</v>
      </c>
      <c r="J469" s="5"/>
      <c r="K469" s="5" t="s">
        <v>442</v>
      </c>
      <c r="L469" s="5"/>
      <c r="M469" s="5"/>
      <c r="N469" s="7"/>
      <c r="O469" s="5" t="s">
        <v>556</v>
      </c>
      <c r="P469" s="8">
        <v>5268.92</v>
      </c>
      <c r="Q469" s="8">
        <f t="shared" si="7"/>
        <v>144823.20000000001</v>
      </c>
    </row>
    <row r="470" spans="1:17" x14ac:dyDescent="0.25">
      <c r="A470" s="5"/>
      <c r="B470" s="5"/>
      <c r="C470" s="5"/>
      <c r="D470" s="5"/>
      <c r="E470" s="5"/>
      <c r="F470" s="5"/>
      <c r="G470" s="5"/>
      <c r="H470" s="5" t="s">
        <v>845</v>
      </c>
      <c r="I470" s="6">
        <v>44924</v>
      </c>
      <c r="J470" s="5"/>
      <c r="K470" s="5" t="s">
        <v>451</v>
      </c>
      <c r="L470" s="5" t="s">
        <v>552</v>
      </c>
      <c r="M470" s="5"/>
      <c r="N470" s="7"/>
      <c r="O470" s="5" t="s">
        <v>554</v>
      </c>
      <c r="P470" s="8">
        <v>33.380000000000003</v>
      </c>
      <c r="Q470" s="8">
        <f t="shared" si="7"/>
        <v>144856.57999999999</v>
      </c>
    </row>
    <row r="471" spans="1:17" x14ac:dyDescent="0.25">
      <c r="A471" s="5"/>
      <c r="B471" s="5"/>
      <c r="C471" s="5"/>
      <c r="D471" s="5"/>
      <c r="E471" s="5"/>
      <c r="F471" s="5"/>
      <c r="G471" s="5"/>
      <c r="H471" s="5" t="s">
        <v>845</v>
      </c>
      <c r="I471" s="6">
        <v>44924</v>
      </c>
      <c r="J471" s="5"/>
      <c r="K471" s="5" t="s">
        <v>449</v>
      </c>
      <c r="L471" s="5" t="s">
        <v>552</v>
      </c>
      <c r="M471" s="5"/>
      <c r="N471" s="7"/>
      <c r="O471" s="5" t="s">
        <v>554</v>
      </c>
      <c r="P471" s="8">
        <v>24.05</v>
      </c>
      <c r="Q471" s="8">
        <f t="shared" si="7"/>
        <v>144880.63</v>
      </c>
    </row>
    <row r="472" spans="1:17" ht="15.75" thickBot="1" x14ac:dyDescent="0.3">
      <c r="A472" s="5"/>
      <c r="B472" s="5"/>
      <c r="C472" s="5"/>
      <c r="D472" s="5"/>
      <c r="E472" s="5"/>
      <c r="F472" s="5"/>
      <c r="G472" s="5"/>
      <c r="H472" s="5" t="s">
        <v>845</v>
      </c>
      <c r="I472" s="6">
        <v>44924</v>
      </c>
      <c r="J472" s="5"/>
      <c r="K472" s="5" t="s">
        <v>460</v>
      </c>
      <c r="L472" s="5" t="s">
        <v>552</v>
      </c>
      <c r="M472" s="5"/>
      <c r="N472" s="7"/>
      <c r="O472" s="5" t="s">
        <v>554</v>
      </c>
      <c r="P472" s="9">
        <v>31.47</v>
      </c>
      <c r="Q472" s="9">
        <f t="shared" si="7"/>
        <v>144912.1</v>
      </c>
    </row>
    <row r="473" spans="1:17" x14ac:dyDescent="0.25">
      <c r="A473" s="5"/>
      <c r="B473" s="5"/>
      <c r="C473" s="5"/>
      <c r="D473" s="5"/>
      <c r="E473" s="5" t="s">
        <v>21</v>
      </c>
      <c r="F473" s="5"/>
      <c r="G473" s="5"/>
      <c r="H473" s="5"/>
      <c r="I473" s="6"/>
      <c r="J473" s="5"/>
      <c r="K473" s="5"/>
      <c r="L473" s="5"/>
      <c r="M473" s="5"/>
      <c r="N473" s="5"/>
      <c r="O473" s="5"/>
      <c r="P473" s="8">
        <f>ROUND(SUM(P429:P472),5)</f>
        <v>144912.1</v>
      </c>
      <c r="Q473" s="8">
        <f>Q472</f>
        <v>144912.1</v>
      </c>
    </row>
    <row r="474" spans="1:17" x14ac:dyDescent="0.25">
      <c r="A474" s="2"/>
      <c r="B474" s="2"/>
      <c r="C474" s="2"/>
      <c r="D474" s="2"/>
      <c r="E474" s="2" t="s">
        <v>22</v>
      </c>
      <c r="F474" s="2"/>
      <c r="G474" s="2"/>
      <c r="H474" s="2"/>
      <c r="I474" s="3"/>
      <c r="J474" s="2"/>
      <c r="K474" s="2"/>
      <c r="L474" s="2"/>
      <c r="M474" s="2"/>
      <c r="N474" s="2"/>
      <c r="O474" s="2"/>
      <c r="P474" s="4"/>
      <c r="Q474" s="4"/>
    </row>
    <row r="475" spans="1:17" x14ac:dyDescent="0.25">
      <c r="A475" s="5"/>
      <c r="B475" s="5"/>
      <c r="C475" s="5"/>
      <c r="D475" s="5"/>
      <c r="E475" s="5"/>
      <c r="F475" s="5"/>
      <c r="G475" s="5"/>
      <c r="H475" s="5" t="s">
        <v>846</v>
      </c>
      <c r="I475" s="6">
        <v>44665</v>
      </c>
      <c r="J475" s="5" t="s">
        <v>382</v>
      </c>
      <c r="K475" s="5" t="s">
        <v>461</v>
      </c>
      <c r="L475" s="5"/>
      <c r="M475" s="5"/>
      <c r="N475" s="7"/>
      <c r="O475" s="5" t="s">
        <v>556</v>
      </c>
      <c r="P475" s="8">
        <v>1376</v>
      </c>
      <c r="Q475" s="8">
        <f t="shared" ref="Q475:Q525" si="8">ROUND(Q474+P475,5)</f>
        <v>1376</v>
      </c>
    </row>
    <row r="476" spans="1:17" x14ac:dyDescent="0.25">
      <c r="A476" s="5"/>
      <c r="B476" s="5"/>
      <c r="C476" s="5"/>
      <c r="D476" s="5"/>
      <c r="E476" s="5"/>
      <c r="F476" s="5"/>
      <c r="G476" s="5"/>
      <c r="H476" s="5" t="s">
        <v>846</v>
      </c>
      <c r="I476" s="6">
        <v>44679</v>
      </c>
      <c r="J476" s="5"/>
      <c r="K476" s="5" t="s">
        <v>461</v>
      </c>
      <c r="L476" s="5"/>
      <c r="M476" s="5"/>
      <c r="N476" s="7"/>
      <c r="O476" s="5" t="s">
        <v>556</v>
      </c>
      <c r="P476" s="8">
        <v>768</v>
      </c>
      <c r="Q476" s="8">
        <f t="shared" si="8"/>
        <v>2144</v>
      </c>
    </row>
    <row r="477" spans="1:17" x14ac:dyDescent="0.25">
      <c r="A477" s="5"/>
      <c r="B477" s="5"/>
      <c r="C477" s="5"/>
      <c r="D477" s="5"/>
      <c r="E477" s="5"/>
      <c r="F477" s="5"/>
      <c r="G477" s="5"/>
      <c r="H477" s="5" t="s">
        <v>846</v>
      </c>
      <c r="I477" s="6">
        <v>44681</v>
      </c>
      <c r="J477" s="5" t="s">
        <v>383</v>
      </c>
      <c r="K477" s="5" t="s">
        <v>458</v>
      </c>
      <c r="L477" s="5"/>
      <c r="M477" s="5"/>
      <c r="N477" s="7"/>
      <c r="O477" s="5" t="s">
        <v>556</v>
      </c>
      <c r="P477" s="8">
        <v>10000</v>
      </c>
      <c r="Q477" s="8">
        <f t="shared" si="8"/>
        <v>12144</v>
      </c>
    </row>
    <row r="478" spans="1:17" x14ac:dyDescent="0.25">
      <c r="A478" s="5"/>
      <c r="B478" s="5"/>
      <c r="C478" s="5"/>
      <c r="D478" s="5"/>
      <c r="E478" s="5"/>
      <c r="F478" s="5"/>
      <c r="G478" s="5"/>
      <c r="H478" s="5" t="s">
        <v>846</v>
      </c>
      <c r="I478" s="6">
        <v>44693</v>
      </c>
      <c r="J478" s="5" t="s">
        <v>384</v>
      </c>
      <c r="K478" s="5" t="s">
        <v>461</v>
      </c>
      <c r="L478" s="5"/>
      <c r="M478" s="5"/>
      <c r="N478" s="7"/>
      <c r="O478" s="5" t="s">
        <v>556</v>
      </c>
      <c r="P478" s="8">
        <v>1792</v>
      </c>
      <c r="Q478" s="8">
        <f t="shared" si="8"/>
        <v>13936</v>
      </c>
    </row>
    <row r="479" spans="1:17" x14ac:dyDescent="0.25">
      <c r="A479" s="5"/>
      <c r="B479" s="5"/>
      <c r="C479" s="5"/>
      <c r="D479" s="5"/>
      <c r="E479" s="5"/>
      <c r="F479" s="5"/>
      <c r="G479" s="5"/>
      <c r="H479" s="5" t="s">
        <v>846</v>
      </c>
      <c r="I479" s="6">
        <v>44707</v>
      </c>
      <c r="J479" s="5" t="s">
        <v>385</v>
      </c>
      <c r="K479" s="5" t="s">
        <v>461</v>
      </c>
      <c r="L479" s="5"/>
      <c r="M479" s="5"/>
      <c r="N479" s="7"/>
      <c r="O479" s="5" t="s">
        <v>556</v>
      </c>
      <c r="P479" s="8">
        <v>2048</v>
      </c>
      <c r="Q479" s="8">
        <f t="shared" si="8"/>
        <v>15984</v>
      </c>
    </row>
    <row r="480" spans="1:17" x14ac:dyDescent="0.25">
      <c r="A480" s="5"/>
      <c r="B480" s="5"/>
      <c r="C480" s="5"/>
      <c r="D480" s="5"/>
      <c r="E480" s="5"/>
      <c r="F480" s="5"/>
      <c r="G480" s="5"/>
      <c r="H480" s="5" t="s">
        <v>846</v>
      </c>
      <c r="I480" s="6">
        <v>44713</v>
      </c>
      <c r="J480" s="5" t="s">
        <v>386</v>
      </c>
      <c r="K480" s="5" t="s">
        <v>458</v>
      </c>
      <c r="L480" s="5"/>
      <c r="M480" s="5"/>
      <c r="N480" s="7"/>
      <c r="O480" s="5" t="s">
        <v>556</v>
      </c>
      <c r="P480" s="8">
        <v>10000</v>
      </c>
      <c r="Q480" s="8">
        <f t="shared" si="8"/>
        <v>25984</v>
      </c>
    </row>
    <row r="481" spans="1:17" x14ac:dyDescent="0.25">
      <c r="A481" s="5"/>
      <c r="B481" s="5"/>
      <c r="C481" s="5"/>
      <c r="D481" s="5"/>
      <c r="E481" s="5"/>
      <c r="F481" s="5"/>
      <c r="G481" s="5"/>
      <c r="H481" s="5" t="s">
        <v>846</v>
      </c>
      <c r="I481" s="6">
        <v>44721</v>
      </c>
      <c r="J481" s="5" t="s">
        <v>387</v>
      </c>
      <c r="K481" s="5" t="s">
        <v>461</v>
      </c>
      <c r="L481" s="5"/>
      <c r="M481" s="5"/>
      <c r="N481" s="7"/>
      <c r="O481" s="5" t="s">
        <v>556</v>
      </c>
      <c r="P481" s="8">
        <v>2048</v>
      </c>
      <c r="Q481" s="8">
        <f t="shared" si="8"/>
        <v>28032</v>
      </c>
    </row>
    <row r="482" spans="1:17" x14ac:dyDescent="0.25">
      <c r="A482" s="5"/>
      <c r="B482" s="5"/>
      <c r="C482" s="5"/>
      <c r="D482" s="5"/>
      <c r="E482" s="5"/>
      <c r="F482" s="5"/>
      <c r="G482" s="5"/>
      <c r="H482" s="5" t="s">
        <v>846</v>
      </c>
      <c r="I482" s="6">
        <v>44721</v>
      </c>
      <c r="J482" s="5" t="s">
        <v>388</v>
      </c>
      <c r="K482" s="5" t="s">
        <v>886</v>
      </c>
      <c r="L482" s="5"/>
      <c r="M482" s="5"/>
      <c r="N482" s="7"/>
      <c r="O482" s="5" t="s">
        <v>556</v>
      </c>
      <c r="P482" s="8">
        <v>1390</v>
      </c>
      <c r="Q482" s="8">
        <f t="shared" si="8"/>
        <v>29422</v>
      </c>
    </row>
    <row r="483" spans="1:17" x14ac:dyDescent="0.25">
      <c r="A483" s="5"/>
      <c r="B483" s="5"/>
      <c r="C483" s="5"/>
      <c r="D483" s="5"/>
      <c r="E483" s="5"/>
      <c r="F483" s="5"/>
      <c r="G483" s="5"/>
      <c r="H483" s="5" t="s">
        <v>846</v>
      </c>
      <c r="I483" s="6">
        <v>44734</v>
      </c>
      <c r="J483" s="5"/>
      <c r="K483" s="5" t="s">
        <v>458</v>
      </c>
      <c r="L483" s="5"/>
      <c r="M483" s="5"/>
      <c r="N483" s="7"/>
      <c r="O483" s="5" t="s">
        <v>556</v>
      </c>
      <c r="P483" s="8">
        <v>6825.45</v>
      </c>
      <c r="Q483" s="8">
        <f t="shared" si="8"/>
        <v>36247.449999999997</v>
      </c>
    </row>
    <row r="484" spans="1:17" x14ac:dyDescent="0.25">
      <c r="A484" s="5"/>
      <c r="B484" s="5"/>
      <c r="C484" s="5"/>
      <c r="D484" s="5"/>
      <c r="E484" s="5"/>
      <c r="F484" s="5"/>
      <c r="G484" s="5"/>
      <c r="H484" s="5" t="s">
        <v>846</v>
      </c>
      <c r="I484" s="6">
        <v>44742</v>
      </c>
      <c r="J484" s="5" t="s">
        <v>389</v>
      </c>
      <c r="K484" s="5" t="s">
        <v>886</v>
      </c>
      <c r="L484" s="5"/>
      <c r="M484" s="5"/>
      <c r="N484" s="7"/>
      <c r="O484" s="5" t="s">
        <v>556</v>
      </c>
      <c r="P484" s="8">
        <v>880</v>
      </c>
      <c r="Q484" s="8">
        <f t="shared" si="8"/>
        <v>37127.449999999997</v>
      </c>
    </row>
    <row r="485" spans="1:17" x14ac:dyDescent="0.25">
      <c r="A485" s="5"/>
      <c r="B485" s="5"/>
      <c r="C485" s="5"/>
      <c r="D485" s="5"/>
      <c r="E485" s="5"/>
      <c r="F485" s="5"/>
      <c r="G485" s="5"/>
      <c r="H485" s="5" t="s">
        <v>846</v>
      </c>
      <c r="I485" s="6">
        <v>44742</v>
      </c>
      <c r="J485" s="5" t="s">
        <v>390</v>
      </c>
      <c r="K485" s="5" t="s">
        <v>457</v>
      </c>
      <c r="L485" s="5"/>
      <c r="M485" s="5"/>
      <c r="N485" s="7"/>
      <c r="O485" s="5" t="s">
        <v>556</v>
      </c>
      <c r="P485" s="8">
        <v>8000</v>
      </c>
      <c r="Q485" s="8">
        <f t="shared" si="8"/>
        <v>45127.45</v>
      </c>
    </row>
    <row r="486" spans="1:17" x14ac:dyDescent="0.25">
      <c r="A486" s="5"/>
      <c r="B486" s="5"/>
      <c r="C486" s="5"/>
      <c r="D486" s="5"/>
      <c r="E486" s="5"/>
      <c r="F486" s="5"/>
      <c r="G486" s="5"/>
      <c r="H486" s="5" t="s">
        <v>846</v>
      </c>
      <c r="I486" s="6">
        <v>44749</v>
      </c>
      <c r="J486" s="5" t="s">
        <v>391</v>
      </c>
      <c r="K486" s="5" t="s">
        <v>886</v>
      </c>
      <c r="L486" s="5"/>
      <c r="M486" s="5"/>
      <c r="N486" s="7"/>
      <c r="O486" s="5" t="s">
        <v>556</v>
      </c>
      <c r="P486" s="8">
        <v>1846</v>
      </c>
      <c r="Q486" s="8">
        <f t="shared" si="8"/>
        <v>46973.45</v>
      </c>
    </row>
    <row r="487" spans="1:17" x14ac:dyDescent="0.25">
      <c r="A487" s="5"/>
      <c r="B487" s="5"/>
      <c r="C487" s="5"/>
      <c r="D487" s="5"/>
      <c r="E487" s="5"/>
      <c r="F487" s="5"/>
      <c r="G487" s="5"/>
      <c r="H487" s="5" t="s">
        <v>846</v>
      </c>
      <c r="I487" s="6">
        <v>44749</v>
      </c>
      <c r="J487" s="5" t="s">
        <v>392</v>
      </c>
      <c r="K487" s="5" t="s">
        <v>461</v>
      </c>
      <c r="L487" s="5"/>
      <c r="M487" s="5"/>
      <c r="N487" s="7"/>
      <c r="O487" s="5" t="s">
        <v>556</v>
      </c>
      <c r="P487" s="8">
        <v>2024.04</v>
      </c>
      <c r="Q487" s="8">
        <f t="shared" si="8"/>
        <v>48997.49</v>
      </c>
    </row>
    <row r="488" spans="1:17" x14ac:dyDescent="0.25">
      <c r="A488" s="5"/>
      <c r="B488" s="5"/>
      <c r="C488" s="5"/>
      <c r="D488" s="5"/>
      <c r="E488" s="5"/>
      <c r="F488" s="5"/>
      <c r="G488" s="5"/>
      <c r="H488" s="5" t="s">
        <v>846</v>
      </c>
      <c r="I488" s="6">
        <v>44749</v>
      </c>
      <c r="J488" s="5" t="s">
        <v>393</v>
      </c>
      <c r="K488" s="5" t="s">
        <v>461</v>
      </c>
      <c r="L488" s="5"/>
      <c r="M488" s="5"/>
      <c r="N488" s="7"/>
      <c r="O488" s="5" t="s">
        <v>556</v>
      </c>
      <c r="P488" s="8">
        <v>2304</v>
      </c>
      <c r="Q488" s="8">
        <f t="shared" si="8"/>
        <v>51301.49</v>
      </c>
    </row>
    <row r="489" spans="1:17" x14ac:dyDescent="0.25">
      <c r="A489" s="5"/>
      <c r="B489" s="5"/>
      <c r="C489" s="5"/>
      <c r="D489" s="5"/>
      <c r="E489" s="5"/>
      <c r="F489" s="5"/>
      <c r="G489" s="5"/>
      <c r="H489" s="5" t="s">
        <v>846</v>
      </c>
      <c r="I489" s="6">
        <v>44753</v>
      </c>
      <c r="J489" s="5" t="s">
        <v>394</v>
      </c>
      <c r="K489" s="5" t="s">
        <v>463</v>
      </c>
      <c r="L489" s="5"/>
      <c r="M489" s="5"/>
      <c r="N489" s="7"/>
      <c r="O489" s="5" t="s">
        <v>556</v>
      </c>
      <c r="P489" s="8">
        <v>1475</v>
      </c>
      <c r="Q489" s="8">
        <f t="shared" si="8"/>
        <v>52776.49</v>
      </c>
    </row>
    <row r="490" spans="1:17" x14ac:dyDescent="0.25">
      <c r="A490" s="5"/>
      <c r="B490" s="5"/>
      <c r="C490" s="5"/>
      <c r="D490" s="5"/>
      <c r="E490" s="5"/>
      <c r="F490" s="5"/>
      <c r="G490" s="5"/>
      <c r="H490" s="5" t="s">
        <v>846</v>
      </c>
      <c r="I490" s="6">
        <v>44763</v>
      </c>
      <c r="J490" s="5"/>
      <c r="K490" s="5" t="s">
        <v>461</v>
      </c>
      <c r="L490" s="5"/>
      <c r="M490" s="5"/>
      <c r="N490" s="7"/>
      <c r="O490" s="5" t="s">
        <v>556</v>
      </c>
      <c r="P490" s="8">
        <v>2304</v>
      </c>
      <c r="Q490" s="8">
        <f t="shared" si="8"/>
        <v>55080.49</v>
      </c>
    </row>
    <row r="491" spans="1:17" x14ac:dyDescent="0.25">
      <c r="A491" s="5"/>
      <c r="B491" s="5"/>
      <c r="C491" s="5"/>
      <c r="D491" s="5"/>
      <c r="E491" s="5"/>
      <c r="F491" s="5"/>
      <c r="G491" s="5"/>
      <c r="H491" s="5" t="s">
        <v>846</v>
      </c>
      <c r="I491" s="6">
        <v>44763</v>
      </c>
      <c r="J491" s="5"/>
      <c r="K491" s="5" t="s">
        <v>463</v>
      </c>
      <c r="L491" s="5"/>
      <c r="M491" s="5"/>
      <c r="N491" s="7"/>
      <c r="O491" s="5" t="s">
        <v>556</v>
      </c>
      <c r="P491" s="8">
        <v>1641.26</v>
      </c>
      <c r="Q491" s="8">
        <f t="shared" si="8"/>
        <v>56721.75</v>
      </c>
    </row>
    <row r="492" spans="1:17" x14ac:dyDescent="0.25">
      <c r="A492" s="5"/>
      <c r="B492" s="5"/>
      <c r="C492" s="5"/>
      <c r="D492" s="5"/>
      <c r="E492" s="5"/>
      <c r="F492" s="5"/>
      <c r="G492" s="5"/>
      <c r="H492" s="5" t="s">
        <v>846</v>
      </c>
      <c r="I492" s="6">
        <v>44772</v>
      </c>
      <c r="J492" s="5" t="s">
        <v>395</v>
      </c>
      <c r="K492" s="5" t="s">
        <v>457</v>
      </c>
      <c r="L492" s="5"/>
      <c r="M492" s="5"/>
      <c r="N492" s="7"/>
      <c r="O492" s="5" t="s">
        <v>556</v>
      </c>
      <c r="P492" s="8">
        <v>8000</v>
      </c>
      <c r="Q492" s="8">
        <f t="shared" si="8"/>
        <v>64721.75</v>
      </c>
    </row>
    <row r="493" spans="1:17" x14ac:dyDescent="0.25">
      <c r="A493" s="5"/>
      <c r="B493" s="5"/>
      <c r="C493" s="5"/>
      <c r="D493" s="5"/>
      <c r="E493" s="5"/>
      <c r="F493" s="5"/>
      <c r="G493" s="5"/>
      <c r="H493" s="5" t="s">
        <v>846</v>
      </c>
      <c r="I493" s="6">
        <v>44777</v>
      </c>
      <c r="J493" s="5" t="s">
        <v>396</v>
      </c>
      <c r="K493" s="5" t="s">
        <v>461</v>
      </c>
      <c r="L493" s="5"/>
      <c r="M493" s="5"/>
      <c r="N493" s="7"/>
      <c r="O493" s="5" t="s">
        <v>556</v>
      </c>
      <c r="P493" s="8">
        <v>2560</v>
      </c>
      <c r="Q493" s="8">
        <f t="shared" si="8"/>
        <v>67281.75</v>
      </c>
    </row>
    <row r="494" spans="1:17" x14ac:dyDescent="0.25">
      <c r="A494" s="5"/>
      <c r="B494" s="5"/>
      <c r="C494" s="5"/>
      <c r="D494" s="5"/>
      <c r="E494" s="5"/>
      <c r="F494" s="5"/>
      <c r="G494" s="5"/>
      <c r="H494" s="5" t="s">
        <v>846</v>
      </c>
      <c r="I494" s="6">
        <v>44777</v>
      </c>
      <c r="J494" s="5"/>
      <c r="K494" s="5" t="s">
        <v>458</v>
      </c>
      <c r="L494" s="5"/>
      <c r="M494" s="5"/>
      <c r="N494" s="7"/>
      <c r="O494" s="5" t="s">
        <v>556</v>
      </c>
      <c r="P494" s="8">
        <v>6827.22</v>
      </c>
      <c r="Q494" s="8">
        <f t="shared" si="8"/>
        <v>74108.97</v>
      </c>
    </row>
    <row r="495" spans="1:17" x14ac:dyDescent="0.25">
      <c r="A495" s="5"/>
      <c r="B495" s="5"/>
      <c r="C495" s="5"/>
      <c r="D495" s="5"/>
      <c r="E495" s="5"/>
      <c r="F495" s="5"/>
      <c r="G495" s="5"/>
      <c r="H495" s="5" t="s">
        <v>846</v>
      </c>
      <c r="I495" s="6">
        <v>44777</v>
      </c>
      <c r="J495" s="5" t="s">
        <v>397</v>
      </c>
      <c r="K495" s="5" t="s">
        <v>463</v>
      </c>
      <c r="L495" s="5"/>
      <c r="M495" s="5"/>
      <c r="N495" s="7"/>
      <c r="O495" s="5" t="s">
        <v>556</v>
      </c>
      <c r="P495" s="8">
        <v>1725</v>
      </c>
      <c r="Q495" s="8">
        <f t="shared" si="8"/>
        <v>75833.97</v>
      </c>
    </row>
    <row r="496" spans="1:17" x14ac:dyDescent="0.25">
      <c r="A496" s="5"/>
      <c r="B496" s="5"/>
      <c r="C496" s="5"/>
      <c r="D496" s="5"/>
      <c r="E496" s="5"/>
      <c r="F496" s="5"/>
      <c r="G496" s="5"/>
      <c r="H496" s="5" t="s">
        <v>846</v>
      </c>
      <c r="I496" s="6">
        <v>44777</v>
      </c>
      <c r="J496" s="5" t="s">
        <v>398</v>
      </c>
      <c r="K496" s="5" t="s">
        <v>463</v>
      </c>
      <c r="L496" s="5"/>
      <c r="M496" s="5"/>
      <c r="N496" s="7"/>
      <c r="O496" s="5" t="s">
        <v>556</v>
      </c>
      <c r="P496" s="8">
        <v>1725</v>
      </c>
      <c r="Q496" s="8">
        <f t="shared" si="8"/>
        <v>77558.97</v>
      </c>
    </row>
    <row r="497" spans="1:17" x14ac:dyDescent="0.25">
      <c r="A497" s="5"/>
      <c r="B497" s="5"/>
      <c r="C497" s="5"/>
      <c r="D497" s="5"/>
      <c r="E497" s="5"/>
      <c r="F497" s="5"/>
      <c r="G497" s="5"/>
      <c r="H497" s="5" t="s">
        <v>846</v>
      </c>
      <c r="I497" s="6">
        <v>44791</v>
      </c>
      <c r="J497" s="5" t="s">
        <v>399</v>
      </c>
      <c r="K497" s="5" t="s">
        <v>461</v>
      </c>
      <c r="L497" s="5"/>
      <c r="M497" s="5"/>
      <c r="N497" s="7"/>
      <c r="O497" s="5" t="s">
        <v>556</v>
      </c>
      <c r="P497" s="8">
        <v>2304</v>
      </c>
      <c r="Q497" s="8">
        <f t="shared" si="8"/>
        <v>79862.97</v>
      </c>
    </row>
    <row r="498" spans="1:17" x14ac:dyDescent="0.25">
      <c r="A498" s="5"/>
      <c r="B498" s="5"/>
      <c r="C498" s="5"/>
      <c r="D498" s="5"/>
      <c r="E498" s="5"/>
      <c r="F498" s="5"/>
      <c r="G498" s="5"/>
      <c r="H498" s="5" t="s">
        <v>846</v>
      </c>
      <c r="I498" s="6">
        <v>44791</v>
      </c>
      <c r="J498" s="5" t="s">
        <v>400</v>
      </c>
      <c r="K498" s="5" t="s">
        <v>463</v>
      </c>
      <c r="L498" s="5"/>
      <c r="M498" s="5"/>
      <c r="N498" s="7"/>
      <c r="O498" s="5" t="s">
        <v>556</v>
      </c>
      <c r="P498" s="8">
        <v>1168.75</v>
      </c>
      <c r="Q498" s="8">
        <f t="shared" si="8"/>
        <v>81031.72</v>
      </c>
    </row>
    <row r="499" spans="1:17" x14ac:dyDescent="0.25">
      <c r="A499" s="5"/>
      <c r="B499" s="5"/>
      <c r="C499" s="5"/>
      <c r="D499" s="5"/>
      <c r="E499" s="5"/>
      <c r="F499" s="5"/>
      <c r="G499" s="5"/>
      <c r="H499" s="5" t="s">
        <v>846</v>
      </c>
      <c r="I499" s="6">
        <v>44805</v>
      </c>
      <c r="J499" s="5" t="s">
        <v>401</v>
      </c>
      <c r="K499" s="5" t="s">
        <v>461</v>
      </c>
      <c r="L499" s="5"/>
      <c r="M499" s="5"/>
      <c r="N499" s="7"/>
      <c r="O499" s="5" t="s">
        <v>556</v>
      </c>
      <c r="P499" s="8">
        <v>2560</v>
      </c>
      <c r="Q499" s="8">
        <f t="shared" si="8"/>
        <v>83591.72</v>
      </c>
    </row>
    <row r="500" spans="1:17" x14ac:dyDescent="0.25">
      <c r="A500" s="5"/>
      <c r="B500" s="5"/>
      <c r="C500" s="5"/>
      <c r="D500" s="5"/>
      <c r="E500" s="5"/>
      <c r="F500" s="5"/>
      <c r="G500" s="5"/>
      <c r="H500" s="5" t="s">
        <v>846</v>
      </c>
      <c r="I500" s="6">
        <v>44805</v>
      </c>
      <c r="J500" s="5" t="s">
        <v>402</v>
      </c>
      <c r="K500" s="5" t="s">
        <v>886</v>
      </c>
      <c r="L500" s="5"/>
      <c r="M500" s="5"/>
      <c r="N500" s="7"/>
      <c r="O500" s="5" t="s">
        <v>556</v>
      </c>
      <c r="P500" s="8">
        <v>1486</v>
      </c>
      <c r="Q500" s="8">
        <f t="shared" si="8"/>
        <v>85077.72</v>
      </c>
    </row>
    <row r="501" spans="1:17" x14ac:dyDescent="0.25">
      <c r="A501" s="5"/>
      <c r="B501" s="5"/>
      <c r="C501" s="5"/>
      <c r="D501" s="5"/>
      <c r="E501" s="5"/>
      <c r="F501" s="5"/>
      <c r="G501" s="5"/>
      <c r="H501" s="5" t="s">
        <v>846</v>
      </c>
      <c r="I501" s="6">
        <v>44808</v>
      </c>
      <c r="J501" s="5"/>
      <c r="K501" s="5" t="s">
        <v>458</v>
      </c>
      <c r="L501" s="5"/>
      <c r="M501" s="5"/>
      <c r="N501" s="7"/>
      <c r="O501" s="5" t="s">
        <v>556</v>
      </c>
      <c r="P501" s="8">
        <v>6826.55</v>
      </c>
      <c r="Q501" s="8">
        <f t="shared" si="8"/>
        <v>91904.27</v>
      </c>
    </row>
    <row r="502" spans="1:17" x14ac:dyDescent="0.25">
      <c r="A502" s="5"/>
      <c r="B502" s="5"/>
      <c r="C502" s="5"/>
      <c r="D502" s="5"/>
      <c r="E502" s="5"/>
      <c r="F502" s="5"/>
      <c r="G502" s="5"/>
      <c r="H502" s="5" t="s">
        <v>846</v>
      </c>
      <c r="I502" s="6">
        <v>44819</v>
      </c>
      <c r="J502" s="5" t="s">
        <v>403</v>
      </c>
      <c r="K502" s="5" t="s">
        <v>461</v>
      </c>
      <c r="L502" s="5"/>
      <c r="M502" s="5"/>
      <c r="N502" s="7"/>
      <c r="O502" s="5" t="s">
        <v>556</v>
      </c>
      <c r="P502" s="8">
        <v>2048</v>
      </c>
      <c r="Q502" s="8">
        <f t="shared" si="8"/>
        <v>93952.27</v>
      </c>
    </row>
    <row r="503" spans="1:17" x14ac:dyDescent="0.25">
      <c r="A503" s="5"/>
      <c r="B503" s="5"/>
      <c r="C503" s="5"/>
      <c r="D503" s="5"/>
      <c r="E503" s="5"/>
      <c r="F503" s="5"/>
      <c r="G503" s="5"/>
      <c r="H503" s="5" t="s">
        <v>846</v>
      </c>
      <c r="I503" s="6">
        <v>44819</v>
      </c>
      <c r="J503" s="5" t="s">
        <v>404</v>
      </c>
      <c r="K503" s="5" t="s">
        <v>886</v>
      </c>
      <c r="L503" s="5"/>
      <c r="M503" s="5"/>
      <c r="N503" s="7"/>
      <c r="O503" s="5" t="s">
        <v>556</v>
      </c>
      <c r="P503" s="8">
        <v>1533.63</v>
      </c>
      <c r="Q503" s="8">
        <f t="shared" si="8"/>
        <v>95485.9</v>
      </c>
    </row>
    <row r="504" spans="1:17" x14ac:dyDescent="0.25">
      <c r="A504" s="5"/>
      <c r="B504" s="5"/>
      <c r="C504" s="5"/>
      <c r="D504" s="5"/>
      <c r="E504" s="5"/>
      <c r="F504" s="5"/>
      <c r="G504" s="5"/>
      <c r="H504" s="5" t="s">
        <v>846</v>
      </c>
      <c r="I504" s="6">
        <v>44833</v>
      </c>
      <c r="J504" s="5"/>
      <c r="K504" s="5" t="s">
        <v>461</v>
      </c>
      <c r="L504" s="5"/>
      <c r="M504" s="5"/>
      <c r="N504" s="7"/>
      <c r="O504" s="5" t="s">
        <v>556</v>
      </c>
      <c r="P504" s="8">
        <v>2560</v>
      </c>
      <c r="Q504" s="8">
        <f t="shared" si="8"/>
        <v>98045.9</v>
      </c>
    </row>
    <row r="505" spans="1:17" x14ac:dyDescent="0.25">
      <c r="A505" s="5"/>
      <c r="B505" s="5"/>
      <c r="C505" s="5"/>
      <c r="D505" s="5"/>
      <c r="E505" s="5"/>
      <c r="F505" s="5"/>
      <c r="G505" s="5"/>
      <c r="H505" s="5" t="s">
        <v>846</v>
      </c>
      <c r="I505" s="6">
        <v>44838</v>
      </c>
      <c r="J505" s="5"/>
      <c r="K505" s="5" t="s">
        <v>708</v>
      </c>
      <c r="L505" s="5"/>
      <c r="M505" s="5"/>
      <c r="N505" s="7"/>
      <c r="O505" s="5" t="s">
        <v>556</v>
      </c>
      <c r="P505" s="8">
        <v>4500</v>
      </c>
      <c r="Q505" s="8">
        <f t="shared" si="8"/>
        <v>102545.9</v>
      </c>
    </row>
    <row r="506" spans="1:17" x14ac:dyDescent="0.25">
      <c r="A506" s="5"/>
      <c r="B506" s="5"/>
      <c r="C506" s="5"/>
      <c r="D506" s="5"/>
      <c r="E506" s="5"/>
      <c r="F506" s="5"/>
      <c r="G506" s="5"/>
      <c r="H506" s="5" t="s">
        <v>846</v>
      </c>
      <c r="I506" s="6">
        <v>44840</v>
      </c>
      <c r="J506" s="5"/>
      <c r="K506" s="5" t="s">
        <v>708</v>
      </c>
      <c r="L506" s="5"/>
      <c r="M506" s="5"/>
      <c r="N506" s="7"/>
      <c r="O506" s="5" t="s">
        <v>556</v>
      </c>
      <c r="P506" s="8">
        <v>4500</v>
      </c>
      <c r="Q506" s="8">
        <f t="shared" si="8"/>
        <v>107045.9</v>
      </c>
    </row>
    <row r="507" spans="1:17" x14ac:dyDescent="0.25">
      <c r="A507" s="5"/>
      <c r="B507" s="5"/>
      <c r="C507" s="5"/>
      <c r="D507" s="5"/>
      <c r="E507" s="5"/>
      <c r="F507" s="5"/>
      <c r="G507" s="5"/>
      <c r="H507" s="5" t="s">
        <v>846</v>
      </c>
      <c r="I507" s="6">
        <v>44847</v>
      </c>
      <c r="J507" s="5" t="s">
        <v>597</v>
      </c>
      <c r="K507" s="5" t="s">
        <v>461</v>
      </c>
      <c r="L507" s="5"/>
      <c r="M507" s="5"/>
      <c r="N507" s="7"/>
      <c r="O507" s="5" t="s">
        <v>556</v>
      </c>
      <c r="P507" s="8">
        <v>2670.4</v>
      </c>
      <c r="Q507" s="8">
        <f t="shared" si="8"/>
        <v>109716.3</v>
      </c>
    </row>
    <row r="508" spans="1:17" x14ac:dyDescent="0.25">
      <c r="A508" s="5"/>
      <c r="B508" s="5"/>
      <c r="C508" s="5"/>
      <c r="D508" s="5"/>
      <c r="E508" s="5"/>
      <c r="F508" s="5"/>
      <c r="G508" s="5"/>
      <c r="H508" s="5" t="s">
        <v>846</v>
      </c>
      <c r="I508" s="6">
        <v>44847</v>
      </c>
      <c r="J508" s="5" t="s">
        <v>598</v>
      </c>
      <c r="K508" s="5" t="s">
        <v>463</v>
      </c>
      <c r="L508" s="5"/>
      <c r="M508" s="5"/>
      <c r="N508" s="7"/>
      <c r="O508" s="5" t="s">
        <v>556</v>
      </c>
      <c r="P508" s="8">
        <v>1835.74</v>
      </c>
      <c r="Q508" s="8">
        <f t="shared" si="8"/>
        <v>111552.04</v>
      </c>
    </row>
    <row r="509" spans="1:17" x14ac:dyDescent="0.25">
      <c r="A509" s="5"/>
      <c r="B509" s="5"/>
      <c r="C509" s="5"/>
      <c r="D509" s="5"/>
      <c r="E509" s="5"/>
      <c r="F509" s="5"/>
      <c r="G509" s="5"/>
      <c r="H509" s="5" t="s">
        <v>846</v>
      </c>
      <c r="I509" s="6">
        <v>44851</v>
      </c>
      <c r="J509" s="5" t="s">
        <v>599</v>
      </c>
      <c r="K509" s="5" t="s">
        <v>708</v>
      </c>
      <c r="L509" s="5"/>
      <c r="M509" s="5"/>
      <c r="N509" s="7"/>
      <c r="O509" s="5" t="s">
        <v>556</v>
      </c>
      <c r="P509" s="8">
        <v>4820</v>
      </c>
      <c r="Q509" s="8">
        <f t="shared" si="8"/>
        <v>116372.04</v>
      </c>
    </row>
    <row r="510" spans="1:17" x14ac:dyDescent="0.25">
      <c r="A510" s="5"/>
      <c r="B510" s="5"/>
      <c r="C510" s="5"/>
      <c r="D510" s="5"/>
      <c r="E510" s="5"/>
      <c r="F510" s="5"/>
      <c r="G510" s="5"/>
      <c r="H510" s="5" t="s">
        <v>846</v>
      </c>
      <c r="I510" s="6">
        <v>44861</v>
      </c>
      <c r="J510" s="5" t="s">
        <v>600</v>
      </c>
      <c r="K510" s="5" t="s">
        <v>461</v>
      </c>
      <c r="L510" s="5"/>
      <c r="M510" s="5"/>
      <c r="N510" s="7"/>
      <c r="O510" s="5" t="s">
        <v>556</v>
      </c>
      <c r="P510" s="8">
        <v>2453.33</v>
      </c>
      <c r="Q510" s="8">
        <f t="shared" si="8"/>
        <v>118825.37</v>
      </c>
    </row>
    <row r="511" spans="1:17" x14ac:dyDescent="0.25">
      <c r="A511" s="5"/>
      <c r="B511" s="5"/>
      <c r="C511" s="5"/>
      <c r="D511" s="5"/>
      <c r="E511" s="5"/>
      <c r="F511" s="5"/>
      <c r="G511" s="5"/>
      <c r="H511" s="5" t="s">
        <v>846</v>
      </c>
      <c r="I511" s="6">
        <v>44861</v>
      </c>
      <c r="J511" s="5" t="s">
        <v>601</v>
      </c>
      <c r="K511" s="5" t="s">
        <v>463</v>
      </c>
      <c r="L511" s="5"/>
      <c r="M511" s="5"/>
      <c r="N511" s="7"/>
      <c r="O511" s="5" t="s">
        <v>556</v>
      </c>
      <c r="P511" s="8">
        <v>1318</v>
      </c>
      <c r="Q511" s="8">
        <f t="shared" si="8"/>
        <v>120143.37</v>
      </c>
    </row>
    <row r="512" spans="1:17" x14ac:dyDescent="0.25">
      <c r="A512" s="5"/>
      <c r="B512" s="5"/>
      <c r="C512" s="5"/>
      <c r="D512" s="5"/>
      <c r="E512" s="5"/>
      <c r="F512" s="5"/>
      <c r="G512" s="5"/>
      <c r="H512" s="5" t="s">
        <v>846</v>
      </c>
      <c r="I512" s="6">
        <v>44861</v>
      </c>
      <c r="J512" s="5"/>
      <c r="K512" s="5" t="s">
        <v>463</v>
      </c>
      <c r="L512" s="5"/>
      <c r="M512" s="5"/>
      <c r="N512" s="7"/>
      <c r="O512" s="5" t="s">
        <v>556</v>
      </c>
      <c r="P512" s="8">
        <v>489.74</v>
      </c>
      <c r="Q512" s="8">
        <f t="shared" si="8"/>
        <v>120633.11</v>
      </c>
    </row>
    <row r="513" spans="1:17" x14ac:dyDescent="0.25">
      <c r="A513" s="5"/>
      <c r="B513" s="5"/>
      <c r="C513" s="5"/>
      <c r="D513" s="5"/>
      <c r="E513" s="5"/>
      <c r="F513" s="5"/>
      <c r="G513" s="5"/>
      <c r="H513" s="5" t="s">
        <v>846</v>
      </c>
      <c r="I513" s="6">
        <v>44861</v>
      </c>
      <c r="J513" s="5" t="s">
        <v>602</v>
      </c>
      <c r="K513" s="5" t="s">
        <v>461</v>
      </c>
      <c r="L513" s="5"/>
      <c r="M513" s="5"/>
      <c r="N513" s="7"/>
      <c r="O513" s="5" t="s">
        <v>556</v>
      </c>
      <c r="P513" s="8">
        <v>2670.4</v>
      </c>
      <c r="Q513" s="8">
        <f t="shared" si="8"/>
        <v>123303.51</v>
      </c>
    </row>
    <row r="514" spans="1:17" x14ac:dyDescent="0.25">
      <c r="A514" s="5"/>
      <c r="B514" s="5"/>
      <c r="C514" s="5"/>
      <c r="D514" s="5"/>
      <c r="E514" s="5"/>
      <c r="F514" s="5"/>
      <c r="G514" s="5"/>
      <c r="H514" s="5" t="s">
        <v>846</v>
      </c>
      <c r="I514" s="6">
        <v>44869</v>
      </c>
      <c r="J514" s="5"/>
      <c r="K514" s="5" t="s">
        <v>708</v>
      </c>
      <c r="L514" s="5"/>
      <c r="M514" s="5"/>
      <c r="N514" s="7"/>
      <c r="O514" s="5" t="s">
        <v>554</v>
      </c>
      <c r="P514" s="8">
        <v>6295</v>
      </c>
      <c r="Q514" s="8">
        <f t="shared" si="8"/>
        <v>129598.51</v>
      </c>
    </row>
    <row r="515" spans="1:17" x14ac:dyDescent="0.25">
      <c r="A515" s="5"/>
      <c r="B515" s="5"/>
      <c r="C515" s="5"/>
      <c r="D515" s="5"/>
      <c r="E515" s="5"/>
      <c r="F515" s="5"/>
      <c r="G515" s="5"/>
      <c r="H515" s="5" t="s">
        <v>846</v>
      </c>
      <c r="I515" s="6">
        <v>44869</v>
      </c>
      <c r="J515" s="5"/>
      <c r="K515" s="5" t="s">
        <v>709</v>
      </c>
      <c r="L515" s="5"/>
      <c r="M515" s="5"/>
      <c r="N515" s="7"/>
      <c r="O515" s="5" t="s">
        <v>554</v>
      </c>
      <c r="P515" s="8">
        <v>4885</v>
      </c>
      <c r="Q515" s="8">
        <f t="shared" si="8"/>
        <v>134483.51</v>
      </c>
    </row>
    <row r="516" spans="1:17" x14ac:dyDescent="0.25">
      <c r="A516" s="5"/>
      <c r="B516" s="5"/>
      <c r="C516" s="5"/>
      <c r="D516" s="5"/>
      <c r="E516" s="5"/>
      <c r="F516" s="5"/>
      <c r="G516" s="5"/>
      <c r="H516" s="5" t="s">
        <v>846</v>
      </c>
      <c r="I516" s="6">
        <v>44872</v>
      </c>
      <c r="J516" s="5"/>
      <c r="K516" s="5" t="s">
        <v>710</v>
      </c>
      <c r="L516" s="5"/>
      <c r="M516" s="5"/>
      <c r="N516" s="7"/>
      <c r="O516" s="5" t="s">
        <v>554</v>
      </c>
      <c r="P516" s="8">
        <v>5000</v>
      </c>
      <c r="Q516" s="8">
        <f t="shared" si="8"/>
        <v>139483.51</v>
      </c>
    </row>
    <row r="517" spans="1:17" x14ac:dyDescent="0.25">
      <c r="A517" s="5"/>
      <c r="B517" s="5"/>
      <c r="C517" s="5"/>
      <c r="D517" s="5"/>
      <c r="E517" s="5"/>
      <c r="F517" s="5"/>
      <c r="G517" s="5"/>
      <c r="H517" s="5" t="s">
        <v>846</v>
      </c>
      <c r="I517" s="6">
        <v>44874</v>
      </c>
      <c r="J517" s="5" t="s">
        <v>603</v>
      </c>
      <c r="K517" s="5" t="s">
        <v>461</v>
      </c>
      <c r="L517" s="5"/>
      <c r="M517" s="5"/>
      <c r="N517" s="7"/>
      <c r="O517" s="5" t="s">
        <v>556</v>
      </c>
      <c r="P517" s="8">
        <v>2268.8000000000002</v>
      </c>
      <c r="Q517" s="8">
        <f t="shared" si="8"/>
        <v>141752.31</v>
      </c>
    </row>
    <row r="518" spans="1:17" x14ac:dyDescent="0.25">
      <c r="A518" s="5"/>
      <c r="B518" s="5"/>
      <c r="C518" s="5"/>
      <c r="D518" s="5"/>
      <c r="E518" s="5"/>
      <c r="F518" s="5"/>
      <c r="G518" s="5"/>
      <c r="H518" s="5" t="s">
        <v>846</v>
      </c>
      <c r="I518" s="6">
        <v>44874</v>
      </c>
      <c r="J518" s="5" t="s">
        <v>604</v>
      </c>
      <c r="K518" s="5" t="s">
        <v>463</v>
      </c>
      <c r="L518" s="5"/>
      <c r="M518" s="5"/>
      <c r="N518" s="7"/>
      <c r="O518" s="5" t="s">
        <v>556</v>
      </c>
      <c r="P518" s="8">
        <v>1164.5</v>
      </c>
      <c r="Q518" s="8">
        <f t="shared" si="8"/>
        <v>142916.81</v>
      </c>
    </row>
    <row r="519" spans="1:17" x14ac:dyDescent="0.25">
      <c r="A519" s="5"/>
      <c r="B519" s="5"/>
      <c r="C519" s="5"/>
      <c r="D519" s="5"/>
      <c r="E519" s="5"/>
      <c r="F519" s="5"/>
      <c r="G519" s="5"/>
      <c r="H519" s="5" t="s">
        <v>846</v>
      </c>
      <c r="I519" s="6">
        <v>44876</v>
      </c>
      <c r="J519" s="5"/>
      <c r="K519" s="5" t="s">
        <v>458</v>
      </c>
      <c r="L519" s="5"/>
      <c r="M519" s="5"/>
      <c r="N519" s="7"/>
      <c r="O519" s="5" t="s">
        <v>554</v>
      </c>
      <c r="P519" s="8">
        <v>6826.78</v>
      </c>
      <c r="Q519" s="8">
        <f t="shared" si="8"/>
        <v>149743.59</v>
      </c>
    </row>
    <row r="520" spans="1:17" x14ac:dyDescent="0.25">
      <c r="A520" s="5"/>
      <c r="B520" s="5"/>
      <c r="C520" s="5"/>
      <c r="D520" s="5"/>
      <c r="E520" s="5"/>
      <c r="F520" s="5"/>
      <c r="G520" s="5"/>
      <c r="H520" s="5" t="s">
        <v>846</v>
      </c>
      <c r="I520" s="6">
        <v>44889</v>
      </c>
      <c r="J520" s="5"/>
      <c r="K520" s="5" t="s">
        <v>461</v>
      </c>
      <c r="L520" s="5"/>
      <c r="M520" s="5"/>
      <c r="N520" s="7"/>
      <c r="O520" s="5" t="s">
        <v>554</v>
      </c>
      <c r="P520" s="8">
        <v>1793.91</v>
      </c>
      <c r="Q520" s="8">
        <f t="shared" si="8"/>
        <v>151537.5</v>
      </c>
    </row>
    <row r="521" spans="1:17" x14ac:dyDescent="0.25">
      <c r="A521" s="5"/>
      <c r="B521" s="5"/>
      <c r="C521" s="5"/>
      <c r="D521" s="5"/>
      <c r="E521" s="5"/>
      <c r="F521" s="5"/>
      <c r="G521" s="5"/>
      <c r="H521" s="5" t="s">
        <v>846</v>
      </c>
      <c r="I521" s="6">
        <v>44897</v>
      </c>
      <c r="J521" s="5"/>
      <c r="K521" s="5" t="s">
        <v>461</v>
      </c>
      <c r="L521" s="5"/>
      <c r="M521" s="5"/>
      <c r="N521" s="7"/>
      <c r="O521" s="5" t="s">
        <v>554</v>
      </c>
      <c r="P521" s="8">
        <v>2240</v>
      </c>
      <c r="Q521" s="8">
        <f t="shared" si="8"/>
        <v>153777.5</v>
      </c>
    </row>
    <row r="522" spans="1:17" x14ac:dyDescent="0.25">
      <c r="A522" s="5"/>
      <c r="B522" s="5"/>
      <c r="C522" s="5"/>
      <c r="D522" s="5"/>
      <c r="E522" s="5"/>
      <c r="F522" s="5"/>
      <c r="G522" s="5"/>
      <c r="H522" s="5" t="s">
        <v>846</v>
      </c>
      <c r="I522" s="6">
        <v>44903</v>
      </c>
      <c r="J522" s="5" t="s">
        <v>605</v>
      </c>
      <c r="K522" s="5" t="s">
        <v>461</v>
      </c>
      <c r="L522" s="5"/>
      <c r="M522" s="5"/>
      <c r="N522" s="7"/>
      <c r="O522" s="5" t="s">
        <v>554</v>
      </c>
      <c r="P522" s="8">
        <v>2560</v>
      </c>
      <c r="Q522" s="8">
        <f t="shared" si="8"/>
        <v>156337.5</v>
      </c>
    </row>
    <row r="523" spans="1:17" x14ac:dyDescent="0.25">
      <c r="A523" s="5"/>
      <c r="B523" s="5"/>
      <c r="C523" s="5"/>
      <c r="D523" s="5"/>
      <c r="E523" s="5"/>
      <c r="F523" s="5"/>
      <c r="G523" s="5"/>
      <c r="H523" s="5" t="s">
        <v>846</v>
      </c>
      <c r="I523" s="6">
        <v>44903</v>
      </c>
      <c r="J523" s="5"/>
      <c r="K523" s="5" t="s">
        <v>458</v>
      </c>
      <c r="L523" s="5"/>
      <c r="M523" s="5"/>
      <c r="N523" s="7"/>
      <c r="O523" s="5" t="s">
        <v>554</v>
      </c>
      <c r="P523" s="8">
        <v>6825.45</v>
      </c>
      <c r="Q523" s="8">
        <f t="shared" si="8"/>
        <v>163162.95000000001</v>
      </c>
    </row>
    <row r="524" spans="1:17" x14ac:dyDescent="0.25">
      <c r="A524" s="5"/>
      <c r="B524" s="5"/>
      <c r="C524" s="5"/>
      <c r="D524" s="5"/>
      <c r="E524" s="5"/>
      <c r="F524" s="5"/>
      <c r="G524" s="5"/>
      <c r="H524" s="5" t="s">
        <v>846</v>
      </c>
      <c r="I524" s="6">
        <v>44917</v>
      </c>
      <c r="J524" s="5"/>
      <c r="K524" s="5" t="s">
        <v>461</v>
      </c>
      <c r="L524" s="5" t="s">
        <v>743</v>
      </c>
      <c r="M524" s="5"/>
      <c r="N524" s="7"/>
      <c r="O524" s="5" t="s">
        <v>554</v>
      </c>
      <c r="P524" s="8">
        <v>2530.88</v>
      </c>
      <c r="Q524" s="8">
        <f t="shared" si="8"/>
        <v>165693.82999999999</v>
      </c>
    </row>
    <row r="525" spans="1:17" ht="15.75" thickBot="1" x14ac:dyDescent="0.3">
      <c r="A525" s="5"/>
      <c r="B525" s="5"/>
      <c r="C525" s="5"/>
      <c r="D525" s="5"/>
      <c r="E525" s="5"/>
      <c r="F525" s="5"/>
      <c r="G525" s="5"/>
      <c r="H525" s="5" t="s">
        <v>846</v>
      </c>
      <c r="I525" s="6">
        <v>44917</v>
      </c>
      <c r="J525" s="5"/>
      <c r="K525" s="5" t="s">
        <v>463</v>
      </c>
      <c r="L525" s="5"/>
      <c r="M525" s="5"/>
      <c r="N525" s="7"/>
      <c r="O525" s="5" t="s">
        <v>554</v>
      </c>
      <c r="P525" s="8">
        <v>387.25</v>
      </c>
      <c r="Q525" s="8">
        <f t="shared" si="8"/>
        <v>166081.07999999999</v>
      </c>
    </row>
    <row r="526" spans="1:17" ht="15.75" thickBot="1" x14ac:dyDescent="0.3">
      <c r="A526" s="5"/>
      <c r="B526" s="5"/>
      <c r="C526" s="5"/>
      <c r="D526" s="5"/>
      <c r="E526" s="5" t="s">
        <v>558</v>
      </c>
      <c r="F526" s="5"/>
      <c r="G526" s="5"/>
      <c r="H526" s="5"/>
      <c r="I526" s="6"/>
      <c r="J526" s="5"/>
      <c r="K526" s="5"/>
      <c r="L526" s="5"/>
      <c r="M526" s="5"/>
      <c r="N526" s="5"/>
      <c r="O526" s="5"/>
      <c r="P526" s="11">
        <f>ROUND(SUM(P474:P525),5)</f>
        <v>166081.07999999999</v>
      </c>
      <c r="Q526" s="11">
        <f>Q525</f>
        <v>166081.07999999999</v>
      </c>
    </row>
    <row r="527" spans="1:17" ht="15.75" thickBot="1" x14ac:dyDescent="0.3">
      <c r="A527" s="5"/>
      <c r="B527" s="5"/>
      <c r="C527" s="5"/>
      <c r="D527" s="5" t="s">
        <v>559</v>
      </c>
      <c r="E527" s="5"/>
      <c r="F527" s="5"/>
      <c r="G527" s="5"/>
      <c r="H527" s="5"/>
      <c r="I527" s="6"/>
      <c r="J527" s="5"/>
      <c r="K527" s="5"/>
      <c r="L527" s="5"/>
      <c r="M527" s="5"/>
      <c r="N527" s="5"/>
      <c r="O527" s="5"/>
      <c r="P527" s="10">
        <f>ROUND(P473+P526,5)</f>
        <v>310993.18</v>
      </c>
      <c r="Q527" s="10">
        <f>ROUND(Q473+Q526,5)</f>
        <v>310993.18</v>
      </c>
    </row>
    <row r="528" spans="1:17" x14ac:dyDescent="0.25">
      <c r="A528" s="5"/>
      <c r="B528" s="5"/>
      <c r="C528" s="5" t="s">
        <v>560</v>
      </c>
      <c r="D528" s="5"/>
      <c r="E528" s="5"/>
      <c r="F528" s="5"/>
      <c r="G528" s="5"/>
      <c r="H528" s="5"/>
      <c r="I528" s="6"/>
      <c r="J528" s="5"/>
      <c r="K528" s="5"/>
      <c r="L528" s="5"/>
      <c r="M528" s="5"/>
      <c r="N528" s="5"/>
      <c r="O528" s="5"/>
      <c r="P528" s="8">
        <f>ROUND(P427-P527,5)</f>
        <v>-304245.40999999997</v>
      </c>
      <c r="Q528" s="8">
        <f>ROUND(Q427-Q527,5)</f>
        <v>761665.93</v>
      </c>
    </row>
    <row r="529" spans="1:17" x14ac:dyDescent="0.25">
      <c r="A529" s="2"/>
      <c r="B529" s="2"/>
      <c r="C529" s="2"/>
      <c r="D529" s="2" t="s">
        <v>561</v>
      </c>
      <c r="E529" s="2"/>
      <c r="F529" s="2"/>
      <c r="G529" s="2"/>
      <c r="H529" s="2"/>
      <c r="I529" s="3"/>
      <c r="J529" s="2"/>
      <c r="K529" s="2"/>
      <c r="L529" s="2"/>
      <c r="M529" s="2"/>
      <c r="N529" s="2"/>
      <c r="O529" s="2"/>
      <c r="P529" s="4"/>
      <c r="Q529" s="4"/>
    </row>
    <row r="530" spans="1:17" x14ac:dyDescent="0.25">
      <c r="A530" s="2"/>
      <c r="B530" s="2"/>
      <c r="C530" s="2"/>
      <c r="D530" s="2"/>
      <c r="E530" s="2" t="s">
        <v>562</v>
      </c>
      <c r="F530" s="2"/>
      <c r="G530" s="2"/>
      <c r="H530" s="2"/>
      <c r="I530" s="3"/>
      <c r="J530" s="2"/>
      <c r="K530" s="2"/>
      <c r="L530" s="2"/>
      <c r="M530" s="2"/>
      <c r="N530" s="2"/>
      <c r="O530" s="2"/>
      <c r="P530" s="4"/>
      <c r="Q530" s="4"/>
    </row>
    <row r="531" spans="1:17" x14ac:dyDescent="0.25">
      <c r="A531" s="5"/>
      <c r="B531" s="5"/>
      <c r="C531" s="5"/>
      <c r="D531" s="5"/>
      <c r="E531" s="5"/>
      <c r="F531" s="5"/>
      <c r="G531" s="5"/>
      <c r="H531" s="5" t="s">
        <v>847</v>
      </c>
      <c r="I531" s="6">
        <v>44733</v>
      </c>
      <c r="J531" s="5" t="s">
        <v>606</v>
      </c>
      <c r="K531" s="5" t="s">
        <v>711</v>
      </c>
      <c r="L531" s="5" t="s">
        <v>744</v>
      </c>
      <c r="M531" s="5"/>
      <c r="N531" s="7"/>
      <c r="O531" s="5" t="s">
        <v>556</v>
      </c>
      <c r="P531" s="8">
        <v>15000</v>
      </c>
      <c r="Q531" s="8">
        <f>ROUND(Q530+P531,5)</f>
        <v>15000</v>
      </c>
    </row>
    <row r="532" spans="1:17" ht="15.75" thickBot="1" x14ac:dyDescent="0.3">
      <c r="A532" s="5"/>
      <c r="B532" s="5"/>
      <c r="C532" s="5"/>
      <c r="D532" s="5"/>
      <c r="E532" s="5"/>
      <c r="F532" s="5"/>
      <c r="G532" s="5"/>
      <c r="H532" s="5" t="s">
        <v>848</v>
      </c>
      <c r="I532" s="6">
        <v>44833</v>
      </c>
      <c r="J532" s="5"/>
      <c r="K532" s="5" t="s">
        <v>447</v>
      </c>
      <c r="L532" s="5"/>
      <c r="M532" s="5"/>
      <c r="N532" s="7"/>
      <c r="O532" s="5" t="s">
        <v>556</v>
      </c>
      <c r="P532" s="9">
        <v>9275</v>
      </c>
      <c r="Q532" s="9">
        <f>ROUND(Q531+P532,5)</f>
        <v>24275</v>
      </c>
    </row>
    <row r="533" spans="1:17" x14ac:dyDescent="0.25">
      <c r="A533" s="5"/>
      <c r="B533" s="5"/>
      <c r="C533" s="5"/>
      <c r="D533" s="5"/>
      <c r="E533" s="5" t="s">
        <v>563</v>
      </c>
      <c r="F533" s="5"/>
      <c r="G533" s="5"/>
      <c r="H533" s="5"/>
      <c r="I533" s="6"/>
      <c r="J533" s="5"/>
      <c r="K533" s="5"/>
      <c r="L533" s="5"/>
      <c r="M533" s="5"/>
      <c r="N533" s="5"/>
      <c r="O533" s="5"/>
      <c r="P533" s="8">
        <f>ROUND(SUM(P530:P532),5)</f>
        <v>24275</v>
      </c>
      <c r="Q533" s="8">
        <f>Q532</f>
        <v>24275</v>
      </c>
    </row>
    <row r="534" spans="1:17" x14ac:dyDescent="0.25">
      <c r="A534" s="2"/>
      <c r="B534" s="2"/>
      <c r="C534" s="2"/>
      <c r="D534" s="2"/>
      <c r="E534" s="2" t="s">
        <v>564</v>
      </c>
      <c r="F534" s="2"/>
      <c r="G534" s="2"/>
      <c r="H534" s="2"/>
      <c r="I534" s="3"/>
      <c r="J534" s="2"/>
      <c r="K534" s="2"/>
      <c r="L534" s="2"/>
      <c r="M534" s="2"/>
      <c r="N534" s="2"/>
      <c r="O534" s="2"/>
      <c r="P534" s="4"/>
      <c r="Q534" s="4"/>
    </row>
    <row r="535" spans="1:17" x14ac:dyDescent="0.25">
      <c r="A535" s="5"/>
      <c r="B535" s="5"/>
      <c r="C535" s="5"/>
      <c r="D535" s="5"/>
      <c r="E535" s="5"/>
      <c r="F535" s="5"/>
      <c r="G535" s="5"/>
      <c r="H535" s="5" t="s">
        <v>849</v>
      </c>
      <c r="I535" s="6">
        <v>44699</v>
      </c>
      <c r="J535" s="5"/>
      <c r="K535" s="5" t="s">
        <v>712</v>
      </c>
      <c r="L535" s="5"/>
      <c r="M535" s="5"/>
      <c r="N535" s="7"/>
      <c r="O535" s="5" t="s">
        <v>556</v>
      </c>
      <c r="P535" s="8">
        <v>144.86000000000001</v>
      </c>
      <c r="Q535" s="8">
        <f t="shared" ref="Q535:Q545" si="9">ROUND(Q534+P535,5)</f>
        <v>144.86000000000001</v>
      </c>
    </row>
    <row r="536" spans="1:17" x14ac:dyDescent="0.25">
      <c r="A536" s="5"/>
      <c r="B536" s="5"/>
      <c r="C536" s="5"/>
      <c r="D536" s="5"/>
      <c r="E536" s="5"/>
      <c r="F536" s="5"/>
      <c r="G536" s="5"/>
      <c r="H536" s="5" t="s">
        <v>849</v>
      </c>
      <c r="I536" s="6">
        <v>44719</v>
      </c>
      <c r="J536" s="5"/>
      <c r="K536" s="5" t="s">
        <v>713</v>
      </c>
      <c r="L536" s="5" t="s">
        <v>745</v>
      </c>
      <c r="M536" s="5"/>
      <c r="N536" s="7"/>
      <c r="O536" s="5" t="s">
        <v>555</v>
      </c>
      <c r="P536" s="8">
        <v>1696.23</v>
      </c>
      <c r="Q536" s="8">
        <f t="shared" si="9"/>
        <v>1841.09</v>
      </c>
    </row>
    <row r="537" spans="1:17" x14ac:dyDescent="0.25">
      <c r="A537" s="5"/>
      <c r="B537" s="5"/>
      <c r="C537" s="5"/>
      <c r="D537" s="5"/>
      <c r="E537" s="5"/>
      <c r="F537" s="5"/>
      <c r="G537" s="5"/>
      <c r="H537" s="5" t="s">
        <v>849</v>
      </c>
      <c r="I537" s="6">
        <v>44748</v>
      </c>
      <c r="J537" s="5"/>
      <c r="K537" s="5" t="s">
        <v>712</v>
      </c>
      <c r="L537" s="5"/>
      <c r="M537" s="5"/>
      <c r="N537" s="7"/>
      <c r="O537" s="5" t="s">
        <v>556</v>
      </c>
      <c r="P537" s="8">
        <v>278.3</v>
      </c>
      <c r="Q537" s="8">
        <f t="shared" si="9"/>
        <v>2119.39</v>
      </c>
    </row>
    <row r="538" spans="1:17" x14ac:dyDescent="0.25">
      <c r="A538" s="5"/>
      <c r="B538" s="5"/>
      <c r="C538" s="5"/>
      <c r="D538" s="5"/>
      <c r="E538" s="5"/>
      <c r="F538" s="5"/>
      <c r="G538" s="5"/>
      <c r="H538" s="5" t="s">
        <v>849</v>
      </c>
      <c r="I538" s="6">
        <v>44756</v>
      </c>
      <c r="J538" s="5"/>
      <c r="K538" s="5" t="s">
        <v>877</v>
      </c>
      <c r="L538" s="5"/>
      <c r="M538" s="5"/>
      <c r="N538" s="7"/>
      <c r="O538" s="5" t="s">
        <v>554</v>
      </c>
      <c r="P538" s="8">
        <v>886.51</v>
      </c>
      <c r="Q538" s="8">
        <f t="shared" si="9"/>
        <v>3005.9</v>
      </c>
    </row>
    <row r="539" spans="1:17" x14ac:dyDescent="0.25">
      <c r="A539" s="5"/>
      <c r="B539" s="5"/>
      <c r="C539" s="5"/>
      <c r="D539" s="5"/>
      <c r="E539" s="5"/>
      <c r="F539" s="5"/>
      <c r="G539" s="5"/>
      <c r="H539" s="5" t="s">
        <v>849</v>
      </c>
      <c r="I539" s="6">
        <v>44771</v>
      </c>
      <c r="J539" s="5"/>
      <c r="K539" s="5" t="s">
        <v>712</v>
      </c>
      <c r="L539" s="5"/>
      <c r="M539" s="5"/>
      <c r="N539" s="7"/>
      <c r="O539" s="5" t="s">
        <v>554</v>
      </c>
      <c r="P539" s="8">
        <v>272.41000000000003</v>
      </c>
      <c r="Q539" s="8">
        <f t="shared" si="9"/>
        <v>3278.31</v>
      </c>
    </row>
    <row r="540" spans="1:17" x14ac:dyDescent="0.25">
      <c r="A540" s="5"/>
      <c r="B540" s="5"/>
      <c r="C540" s="5"/>
      <c r="D540" s="5"/>
      <c r="E540" s="5"/>
      <c r="F540" s="5"/>
      <c r="G540" s="5"/>
      <c r="H540" s="5" t="s">
        <v>849</v>
      </c>
      <c r="I540" s="6">
        <v>44776</v>
      </c>
      <c r="J540" s="5" t="s">
        <v>607</v>
      </c>
      <c r="K540" s="5" t="s">
        <v>877</v>
      </c>
      <c r="L540" s="5"/>
      <c r="M540" s="5"/>
      <c r="N540" s="7"/>
      <c r="O540" s="5" t="s">
        <v>554</v>
      </c>
      <c r="P540" s="8">
        <v>2332.66</v>
      </c>
      <c r="Q540" s="8">
        <f t="shared" si="9"/>
        <v>5610.97</v>
      </c>
    </row>
    <row r="541" spans="1:17" x14ac:dyDescent="0.25">
      <c r="A541" s="5"/>
      <c r="B541" s="5"/>
      <c r="C541" s="5"/>
      <c r="D541" s="5"/>
      <c r="E541" s="5"/>
      <c r="F541" s="5"/>
      <c r="G541" s="5"/>
      <c r="H541" s="5" t="s">
        <v>849</v>
      </c>
      <c r="I541" s="6">
        <v>44812</v>
      </c>
      <c r="J541" s="5"/>
      <c r="K541" s="5" t="s">
        <v>712</v>
      </c>
      <c r="L541" s="5"/>
      <c r="M541" s="5"/>
      <c r="N541" s="7"/>
      <c r="O541" s="5" t="s">
        <v>556</v>
      </c>
      <c r="P541" s="8">
        <v>111.5</v>
      </c>
      <c r="Q541" s="8">
        <f t="shared" si="9"/>
        <v>5722.47</v>
      </c>
    </row>
    <row r="542" spans="1:17" x14ac:dyDescent="0.25">
      <c r="A542" s="5"/>
      <c r="B542" s="5"/>
      <c r="C542" s="5"/>
      <c r="D542" s="5"/>
      <c r="E542" s="5"/>
      <c r="F542" s="5"/>
      <c r="G542" s="5"/>
      <c r="H542" s="5" t="s">
        <v>849</v>
      </c>
      <c r="I542" s="6">
        <v>44833</v>
      </c>
      <c r="J542" s="5"/>
      <c r="K542" s="5" t="s">
        <v>447</v>
      </c>
      <c r="L542" s="5"/>
      <c r="M542" s="5"/>
      <c r="N542" s="7"/>
      <c r="O542" s="5" t="s">
        <v>556</v>
      </c>
      <c r="P542" s="8">
        <v>5578.37</v>
      </c>
      <c r="Q542" s="8">
        <f t="shared" si="9"/>
        <v>11300.84</v>
      </c>
    </row>
    <row r="543" spans="1:17" x14ac:dyDescent="0.25">
      <c r="A543" s="5"/>
      <c r="B543" s="5"/>
      <c r="C543" s="5"/>
      <c r="D543" s="5"/>
      <c r="E543" s="5"/>
      <c r="F543" s="5"/>
      <c r="G543" s="5"/>
      <c r="H543" s="5" t="s">
        <v>849</v>
      </c>
      <c r="I543" s="6">
        <v>44844</v>
      </c>
      <c r="J543" s="5"/>
      <c r="K543" s="5" t="s">
        <v>712</v>
      </c>
      <c r="L543" s="5"/>
      <c r="M543" s="5"/>
      <c r="N543" s="7"/>
      <c r="O543" s="5" t="s">
        <v>556</v>
      </c>
      <c r="P543" s="8">
        <v>309.67</v>
      </c>
      <c r="Q543" s="8">
        <f t="shared" si="9"/>
        <v>11610.51</v>
      </c>
    </row>
    <row r="544" spans="1:17" x14ac:dyDescent="0.25">
      <c r="A544" s="5"/>
      <c r="B544" s="5"/>
      <c r="C544" s="5"/>
      <c r="D544" s="5"/>
      <c r="E544" s="5"/>
      <c r="F544" s="5"/>
      <c r="G544" s="5"/>
      <c r="H544" s="5" t="s">
        <v>849</v>
      </c>
      <c r="I544" s="6">
        <v>44875</v>
      </c>
      <c r="J544" s="5"/>
      <c r="K544" s="5" t="s">
        <v>712</v>
      </c>
      <c r="L544" s="5"/>
      <c r="M544" s="5"/>
      <c r="N544" s="7"/>
      <c r="O544" s="5" t="s">
        <v>556</v>
      </c>
      <c r="P544" s="8">
        <v>356.12</v>
      </c>
      <c r="Q544" s="8">
        <f t="shared" si="9"/>
        <v>11966.63</v>
      </c>
    </row>
    <row r="545" spans="1:17" ht="15.75" thickBot="1" x14ac:dyDescent="0.3">
      <c r="A545" s="5"/>
      <c r="B545" s="5"/>
      <c r="C545" s="5"/>
      <c r="D545" s="5"/>
      <c r="E545" s="5"/>
      <c r="F545" s="5"/>
      <c r="G545" s="5"/>
      <c r="H545" s="5" t="s">
        <v>849</v>
      </c>
      <c r="I545" s="6">
        <v>44905</v>
      </c>
      <c r="J545" s="5"/>
      <c r="K545" s="5" t="s">
        <v>712</v>
      </c>
      <c r="L545" s="5"/>
      <c r="M545" s="5"/>
      <c r="N545" s="7"/>
      <c r="O545" s="5" t="s">
        <v>554</v>
      </c>
      <c r="P545" s="9">
        <v>470.27</v>
      </c>
      <c r="Q545" s="9">
        <f t="shared" si="9"/>
        <v>12436.9</v>
      </c>
    </row>
    <row r="546" spans="1:17" x14ac:dyDescent="0.25">
      <c r="A546" s="5"/>
      <c r="B546" s="5"/>
      <c r="C546" s="5"/>
      <c r="D546" s="5"/>
      <c r="E546" s="5" t="s">
        <v>565</v>
      </c>
      <c r="F546" s="5"/>
      <c r="G546" s="5"/>
      <c r="H546" s="5"/>
      <c r="I546" s="6"/>
      <c r="J546" s="5"/>
      <c r="K546" s="5"/>
      <c r="L546" s="5"/>
      <c r="M546" s="5"/>
      <c r="N546" s="5"/>
      <c r="O546" s="5"/>
      <c r="P546" s="8">
        <f>ROUND(SUM(P534:P545),5)</f>
        <v>12436.9</v>
      </c>
      <c r="Q546" s="8">
        <f>Q545</f>
        <v>12436.9</v>
      </c>
    </row>
    <row r="547" spans="1:17" x14ac:dyDescent="0.25">
      <c r="A547" s="2"/>
      <c r="B547" s="2"/>
      <c r="C547" s="2"/>
      <c r="D547" s="2"/>
      <c r="E547" s="2" t="s">
        <v>566</v>
      </c>
      <c r="F547" s="2"/>
      <c r="G547" s="2"/>
      <c r="H547" s="2"/>
      <c r="I547" s="3"/>
      <c r="J547" s="2"/>
      <c r="K547" s="2"/>
      <c r="L547" s="2"/>
      <c r="M547" s="2"/>
      <c r="N547" s="2"/>
      <c r="O547" s="2"/>
      <c r="P547" s="4"/>
      <c r="Q547" s="4"/>
    </row>
    <row r="548" spans="1:17" x14ac:dyDescent="0.25">
      <c r="A548" s="5"/>
      <c r="B548" s="5"/>
      <c r="C548" s="5"/>
      <c r="D548" s="5"/>
      <c r="E548" s="5"/>
      <c r="F548" s="5"/>
      <c r="G548" s="5"/>
      <c r="H548" s="5" t="s">
        <v>851</v>
      </c>
      <c r="I548" s="6">
        <v>44776</v>
      </c>
      <c r="J548" s="5" t="s">
        <v>608</v>
      </c>
      <c r="K548" s="5"/>
      <c r="L548" s="5"/>
      <c r="M548" s="5"/>
      <c r="N548" s="7"/>
      <c r="O548" s="5" t="s">
        <v>554</v>
      </c>
      <c r="P548" s="8">
        <v>800</v>
      </c>
      <c r="Q548" s="8">
        <f>ROUND(Q547+P548,5)</f>
        <v>800</v>
      </c>
    </row>
    <row r="549" spans="1:17" ht="15.75" thickBot="1" x14ac:dyDescent="0.3">
      <c r="A549" s="5"/>
      <c r="B549" s="5"/>
      <c r="C549" s="5"/>
      <c r="D549" s="5"/>
      <c r="E549" s="5"/>
      <c r="F549" s="5"/>
      <c r="G549" s="5"/>
      <c r="H549" s="5" t="s">
        <v>850</v>
      </c>
      <c r="I549" s="6">
        <v>44833</v>
      </c>
      <c r="J549" s="5"/>
      <c r="K549" s="5" t="s">
        <v>447</v>
      </c>
      <c r="L549" s="5"/>
      <c r="M549" s="5"/>
      <c r="N549" s="7"/>
      <c r="O549" s="5" t="s">
        <v>556</v>
      </c>
      <c r="P549" s="9">
        <v>4714</v>
      </c>
      <c r="Q549" s="9">
        <f>ROUND(Q548+P549,5)</f>
        <v>5514</v>
      </c>
    </row>
    <row r="550" spans="1:17" x14ac:dyDescent="0.25">
      <c r="A550" s="5"/>
      <c r="B550" s="5"/>
      <c r="C550" s="5"/>
      <c r="D550" s="5"/>
      <c r="E550" s="5" t="s">
        <v>567</v>
      </c>
      <c r="F550" s="5"/>
      <c r="G550" s="5"/>
      <c r="H550" s="5"/>
      <c r="I550" s="6"/>
      <c r="J550" s="5"/>
      <c r="K550" s="5"/>
      <c r="L550" s="5"/>
      <c r="M550" s="5"/>
      <c r="N550" s="5"/>
      <c r="O550" s="5"/>
      <c r="P550" s="8">
        <f>ROUND(SUM(P547:P549),5)</f>
        <v>5514</v>
      </c>
      <c r="Q550" s="8">
        <f>Q549</f>
        <v>5514</v>
      </c>
    </row>
    <row r="551" spans="1:17" x14ac:dyDescent="0.25">
      <c r="A551" s="2"/>
      <c r="B551" s="2"/>
      <c r="C551" s="2"/>
      <c r="D551" s="2"/>
      <c r="E551" s="2" t="s">
        <v>568</v>
      </c>
      <c r="F551" s="2"/>
      <c r="G551" s="2"/>
      <c r="H551" s="2"/>
      <c r="I551" s="3"/>
      <c r="J551" s="2"/>
      <c r="K551" s="2"/>
      <c r="L551" s="2"/>
      <c r="M551" s="2"/>
      <c r="N551" s="2"/>
      <c r="O551" s="2"/>
      <c r="P551" s="4"/>
      <c r="Q551" s="4"/>
    </row>
    <row r="552" spans="1:17" x14ac:dyDescent="0.25">
      <c r="A552" s="5"/>
      <c r="B552" s="5"/>
      <c r="C552" s="5"/>
      <c r="D552" s="5"/>
      <c r="E552" s="5"/>
      <c r="F552" s="5"/>
      <c r="G552" s="5"/>
      <c r="H552" s="5" t="s">
        <v>849</v>
      </c>
      <c r="I552" s="6">
        <v>44691</v>
      </c>
      <c r="J552" s="5"/>
      <c r="K552" s="5" t="s">
        <v>714</v>
      </c>
      <c r="L552" s="5"/>
      <c r="M552" s="5"/>
      <c r="N552" s="7"/>
      <c r="O552" s="5" t="s">
        <v>556</v>
      </c>
      <c r="P552" s="8">
        <v>360</v>
      </c>
      <c r="Q552" s="8">
        <f>ROUND(Q551+P552,5)</f>
        <v>360</v>
      </c>
    </row>
    <row r="553" spans="1:17" x14ac:dyDescent="0.25">
      <c r="A553" s="5"/>
      <c r="B553" s="5"/>
      <c r="C553" s="5"/>
      <c r="D553" s="5"/>
      <c r="E553" s="5"/>
      <c r="F553" s="5"/>
      <c r="G553" s="5"/>
      <c r="H553" s="5" t="s">
        <v>849</v>
      </c>
      <c r="I553" s="6">
        <v>44708</v>
      </c>
      <c r="J553" s="5"/>
      <c r="K553" s="5" t="s">
        <v>714</v>
      </c>
      <c r="L553" s="5"/>
      <c r="M553" s="5"/>
      <c r="N553" s="7"/>
      <c r="O553" s="5" t="s">
        <v>556</v>
      </c>
      <c r="P553" s="8">
        <v>400</v>
      </c>
      <c r="Q553" s="8">
        <f>ROUND(Q552+P553,5)</f>
        <v>760</v>
      </c>
    </row>
    <row r="554" spans="1:17" ht="15.75" thickBot="1" x14ac:dyDescent="0.3">
      <c r="A554" s="5"/>
      <c r="B554" s="5"/>
      <c r="C554" s="5"/>
      <c r="D554" s="5"/>
      <c r="E554" s="5"/>
      <c r="F554" s="5"/>
      <c r="G554" s="5"/>
      <c r="H554" s="5" t="s">
        <v>849</v>
      </c>
      <c r="I554" s="6">
        <v>44867</v>
      </c>
      <c r="J554" s="5"/>
      <c r="K554" s="5" t="s">
        <v>715</v>
      </c>
      <c r="L554" s="5" t="s">
        <v>747</v>
      </c>
      <c r="M554" s="5"/>
      <c r="N554" s="7"/>
      <c r="O554" s="5" t="s">
        <v>556</v>
      </c>
      <c r="P554" s="9">
        <v>132.74</v>
      </c>
      <c r="Q554" s="9">
        <f>ROUND(Q553+P554,5)</f>
        <v>892.74</v>
      </c>
    </row>
    <row r="555" spans="1:17" x14ac:dyDescent="0.25">
      <c r="A555" s="5"/>
      <c r="B555" s="5"/>
      <c r="C555" s="5"/>
      <c r="D555" s="5"/>
      <c r="E555" s="5" t="s">
        <v>569</v>
      </c>
      <c r="F555" s="5"/>
      <c r="G555" s="5"/>
      <c r="H555" s="5"/>
      <c r="I555" s="6"/>
      <c r="J555" s="5"/>
      <c r="K555" s="5"/>
      <c r="L555" s="5"/>
      <c r="M555" s="5"/>
      <c r="N555" s="5"/>
      <c r="O555" s="5"/>
      <c r="P555" s="8">
        <f>ROUND(SUM(P551:P554),5)</f>
        <v>892.74</v>
      </c>
      <c r="Q555" s="8">
        <f>Q554</f>
        <v>892.74</v>
      </c>
    </row>
    <row r="556" spans="1:17" x14ac:dyDescent="0.25">
      <c r="A556" s="2"/>
      <c r="B556" s="2"/>
      <c r="C556" s="2"/>
      <c r="D556" s="2"/>
      <c r="E556" s="2" t="s">
        <v>570</v>
      </c>
      <c r="F556" s="2"/>
      <c r="G556" s="2"/>
      <c r="H556" s="2"/>
      <c r="I556" s="3"/>
      <c r="J556" s="2"/>
      <c r="K556" s="2"/>
      <c r="L556" s="2"/>
      <c r="M556" s="2"/>
      <c r="N556" s="2"/>
      <c r="O556" s="2"/>
      <c r="P556" s="4"/>
      <c r="Q556" s="4"/>
    </row>
    <row r="557" spans="1:17" x14ac:dyDescent="0.25">
      <c r="A557" s="5"/>
      <c r="B557" s="5"/>
      <c r="C557" s="5"/>
      <c r="D557" s="5"/>
      <c r="E557" s="5"/>
      <c r="F557" s="5"/>
      <c r="G557" s="5"/>
      <c r="H557" s="5" t="s">
        <v>852</v>
      </c>
      <c r="I557" s="6">
        <v>44663</v>
      </c>
      <c r="J557" s="5"/>
      <c r="K557" s="5" t="s">
        <v>716</v>
      </c>
      <c r="L557" s="5"/>
      <c r="M557" s="5"/>
      <c r="N557" s="7"/>
      <c r="O557" s="5" t="s">
        <v>554</v>
      </c>
      <c r="P557" s="8">
        <v>135.5</v>
      </c>
      <c r="Q557" s="8">
        <f t="shared" ref="Q557:Q578" si="10">ROUND(Q556+P557,5)</f>
        <v>135.5</v>
      </c>
    </row>
    <row r="558" spans="1:17" x14ac:dyDescent="0.25">
      <c r="A558" s="5"/>
      <c r="B558" s="5"/>
      <c r="C558" s="5"/>
      <c r="D558" s="5"/>
      <c r="E558" s="5"/>
      <c r="F558" s="5"/>
      <c r="G558" s="5"/>
      <c r="H558" s="5" t="s">
        <v>852</v>
      </c>
      <c r="I558" s="6">
        <v>44672</v>
      </c>
      <c r="J558" s="5" t="s">
        <v>609</v>
      </c>
      <c r="K558" s="5" t="s">
        <v>717</v>
      </c>
      <c r="L558" s="5"/>
      <c r="M558" s="5"/>
      <c r="N558" s="7"/>
      <c r="O558" s="5" t="s">
        <v>554</v>
      </c>
      <c r="P558" s="8">
        <v>88.5</v>
      </c>
      <c r="Q558" s="8">
        <f t="shared" si="10"/>
        <v>224</v>
      </c>
    </row>
    <row r="559" spans="1:17" x14ac:dyDescent="0.25">
      <c r="A559" s="5"/>
      <c r="B559" s="5"/>
      <c r="C559" s="5"/>
      <c r="D559" s="5"/>
      <c r="E559" s="5"/>
      <c r="F559" s="5"/>
      <c r="G559" s="5"/>
      <c r="H559" s="5" t="s">
        <v>852</v>
      </c>
      <c r="I559" s="6">
        <v>44672</v>
      </c>
      <c r="J559" s="5" t="s">
        <v>610</v>
      </c>
      <c r="K559" s="5" t="s">
        <v>877</v>
      </c>
      <c r="L559" s="5"/>
      <c r="M559" s="5"/>
      <c r="N559" s="7"/>
      <c r="O559" s="5" t="s">
        <v>554</v>
      </c>
      <c r="P559" s="8">
        <v>109.73</v>
      </c>
      <c r="Q559" s="8">
        <f t="shared" si="10"/>
        <v>333.73</v>
      </c>
    </row>
    <row r="560" spans="1:17" x14ac:dyDescent="0.25">
      <c r="A560" s="5"/>
      <c r="B560" s="5"/>
      <c r="C560" s="5"/>
      <c r="D560" s="5"/>
      <c r="E560" s="5"/>
      <c r="F560" s="5"/>
      <c r="G560" s="5"/>
      <c r="H560" s="5" t="s">
        <v>852</v>
      </c>
      <c r="I560" s="6">
        <v>44684</v>
      </c>
      <c r="J560" s="5"/>
      <c r="K560" s="5" t="s">
        <v>716</v>
      </c>
      <c r="L560" s="5"/>
      <c r="M560" s="5"/>
      <c r="N560" s="7"/>
      <c r="O560" s="5" t="s">
        <v>554</v>
      </c>
      <c r="P560" s="8">
        <v>279.77999999999997</v>
      </c>
      <c r="Q560" s="8">
        <f t="shared" si="10"/>
        <v>613.51</v>
      </c>
    </row>
    <row r="561" spans="1:17" x14ac:dyDescent="0.25">
      <c r="A561" s="5"/>
      <c r="B561" s="5"/>
      <c r="C561" s="5"/>
      <c r="D561" s="5"/>
      <c r="E561" s="5"/>
      <c r="F561" s="5"/>
      <c r="G561" s="5"/>
      <c r="H561" s="5" t="s">
        <v>852</v>
      </c>
      <c r="I561" s="6">
        <v>44747</v>
      </c>
      <c r="J561" s="5"/>
      <c r="K561" s="5" t="s">
        <v>716</v>
      </c>
      <c r="L561" s="5"/>
      <c r="M561" s="5"/>
      <c r="N561" s="7"/>
      <c r="O561" s="5" t="s">
        <v>554</v>
      </c>
      <c r="P561" s="8">
        <v>1578.41</v>
      </c>
      <c r="Q561" s="8">
        <f t="shared" si="10"/>
        <v>2191.92</v>
      </c>
    </row>
    <row r="562" spans="1:17" x14ac:dyDescent="0.25">
      <c r="A562" s="5"/>
      <c r="B562" s="5"/>
      <c r="C562" s="5"/>
      <c r="D562" s="5"/>
      <c r="E562" s="5"/>
      <c r="F562" s="5"/>
      <c r="G562" s="5"/>
      <c r="H562" s="5" t="s">
        <v>852</v>
      </c>
      <c r="I562" s="6">
        <v>44756</v>
      </c>
      <c r="J562" s="5"/>
      <c r="K562" s="5" t="s">
        <v>877</v>
      </c>
      <c r="L562" s="5"/>
      <c r="M562" s="5"/>
      <c r="N562" s="7"/>
      <c r="O562" s="5" t="s">
        <v>554</v>
      </c>
      <c r="P562" s="8">
        <v>420.49</v>
      </c>
      <c r="Q562" s="8">
        <f t="shared" si="10"/>
        <v>2612.41</v>
      </c>
    </row>
    <row r="563" spans="1:17" x14ac:dyDescent="0.25">
      <c r="A563" s="5"/>
      <c r="B563" s="5"/>
      <c r="C563" s="5"/>
      <c r="D563" s="5"/>
      <c r="E563" s="5"/>
      <c r="F563" s="5"/>
      <c r="G563" s="5"/>
      <c r="H563" s="5" t="s">
        <v>852</v>
      </c>
      <c r="I563" s="6">
        <v>44777</v>
      </c>
      <c r="J563" s="5"/>
      <c r="K563" s="5" t="s">
        <v>716</v>
      </c>
      <c r="L563" s="5"/>
      <c r="M563" s="5"/>
      <c r="N563" s="7"/>
      <c r="O563" s="5" t="s">
        <v>554</v>
      </c>
      <c r="P563" s="8">
        <v>860.35</v>
      </c>
      <c r="Q563" s="8">
        <f t="shared" si="10"/>
        <v>3472.76</v>
      </c>
    </row>
    <row r="564" spans="1:17" x14ac:dyDescent="0.25">
      <c r="A564" s="5"/>
      <c r="B564" s="5"/>
      <c r="C564" s="5"/>
      <c r="D564" s="5"/>
      <c r="E564" s="5"/>
      <c r="F564" s="5"/>
      <c r="G564" s="5"/>
      <c r="H564" s="5" t="s">
        <v>852</v>
      </c>
      <c r="I564" s="6">
        <v>44840</v>
      </c>
      <c r="J564" s="5"/>
      <c r="K564" s="5" t="s">
        <v>716</v>
      </c>
      <c r="L564" s="5"/>
      <c r="M564" s="5"/>
      <c r="N564" s="7"/>
      <c r="O564" s="5" t="s">
        <v>556</v>
      </c>
      <c r="P564" s="8">
        <v>2586.4499999999998</v>
      </c>
      <c r="Q564" s="8">
        <f t="shared" si="10"/>
        <v>6059.21</v>
      </c>
    </row>
    <row r="565" spans="1:17" x14ac:dyDescent="0.25">
      <c r="A565" s="5"/>
      <c r="B565" s="5"/>
      <c r="C565" s="5"/>
      <c r="D565" s="5"/>
      <c r="E565" s="5"/>
      <c r="F565" s="5"/>
      <c r="G565" s="5"/>
      <c r="H565" s="5" t="s">
        <v>852</v>
      </c>
      <c r="I565" s="6">
        <v>44862</v>
      </c>
      <c r="J565" s="5"/>
      <c r="K565" s="5" t="s">
        <v>716</v>
      </c>
      <c r="L565" s="5"/>
      <c r="M565" s="5"/>
      <c r="N565" s="7"/>
      <c r="O565" s="5" t="s">
        <v>556</v>
      </c>
      <c r="P565" s="8">
        <v>153.83000000000001</v>
      </c>
      <c r="Q565" s="8">
        <f t="shared" si="10"/>
        <v>6213.04</v>
      </c>
    </row>
    <row r="566" spans="1:17" x14ac:dyDescent="0.25">
      <c r="A566" s="5"/>
      <c r="B566" s="5"/>
      <c r="C566" s="5"/>
      <c r="D566" s="5"/>
      <c r="E566" s="5"/>
      <c r="F566" s="5"/>
      <c r="G566" s="5"/>
      <c r="H566" s="5" t="s">
        <v>852</v>
      </c>
      <c r="I566" s="6">
        <v>44866</v>
      </c>
      <c r="J566" s="5"/>
      <c r="K566" s="5" t="s">
        <v>716</v>
      </c>
      <c r="L566" s="5"/>
      <c r="M566" s="5"/>
      <c r="N566" s="7"/>
      <c r="O566" s="5" t="s">
        <v>556</v>
      </c>
      <c r="P566" s="8">
        <v>115.39</v>
      </c>
      <c r="Q566" s="8">
        <f t="shared" si="10"/>
        <v>6328.43</v>
      </c>
    </row>
    <row r="567" spans="1:17" x14ac:dyDescent="0.25">
      <c r="A567" s="5"/>
      <c r="B567" s="5"/>
      <c r="C567" s="5"/>
      <c r="D567" s="5"/>
      <c r="E567" s="5"/>
      <c r="F567" s="5"/>
      <c r="G567" s="5"/>
      <c r="H567" s="5" t="s">
        <v>852</v>
      </c>
      <c r="I567" s="6">
        <v>44867</v>
      </c>
      <c r="J567" s="5"/>
      <c r="K567" s="5" t="s">
        <v>716</v>
      </c>
      <c r="L567" s="5"/>
      <c r="M567" s="5"/>
      <c r="N567" s="7"/>
      <c r="O567" s="5" t="s">
        <v>556</v>
      </c>
      <c r="P567" s="8">
        <v>176.99</v>
      </c>
      <c r="Q567" s="8">
        <f t="shared" si="10"/>
        <v>6505.42</v>
      </c>
    </row>
    <row r="568" spans="1:17" x14ac:dyDescent="0.25">
      <c r="A568" s="5"/>
      <c r="B568" s="5"/>
      <c r="C568" s="5"/>
      <c r="D568" s="5"/>
      <c r="E568" s="5"/>
      <c r="F568" s="5"/>
      <c r="G568" s="5"/>
      <c r="H568" s="5" t="s">
        <v>852</v>
      </c>
      <c r="I568" s="6">
        <v>44868</v>
      </c>
      <c r="J568" s="5"/>
      <c r="K568" s="5" t="s">
        <v>716</v>
      </c>
      <c r="L568" s="5"/>
      <c r="M568" s="5"/>
      <c r="N568" s="7"/>
      <c r="O568" s="5" t="s">
        <v>556</v>
      </c>
      <c r="P568" s="8">
        <v>107.96</v>
      </c>
      <c r="Q568" s="8">
        <f t="shared" si="10"/>
        <v>6613.38</v>
      </c>
    </row>
    <row r="569" spans="1:17" x14ac:dyDescent="0.25">
      <c r="A569" s="5"/>
      <c r="B569" s="5"/>
      <c r="C569" s="5"/>
      <c r="D569" s="5"/>
      <c r="E569" s="5"/>
      <c r="F569" s="5"/>
      <c r="G569" s="5"/>
      <c r="H569" s="5" t="s">
        <v>852</v>
      </c>
      <c r="I569" s="6">
        <v>44869</v>
      </c>
      <c r="J569" s="5"/>
      <c r="K569" s="5" t="s">
        <v>716</v>
      </c>
      <c r="L569" s="5"/>
      <c r="M569" s="5"/>
      <c r="N569" s="7"/>
      <c r="O569" s="5" t="s">
        <v>556</v>
      </c>
      <c r="P569" s="8">
        <v>143.69999999999999</v>
      </c>
      <c r="Q569" s="8">
        <f t="shared" si="10"/>
        <v>6757.08</v>
      </c>
    </row>
    <row r="570" spans="1:17" x14ac:dyDescent="0.25">
      <c r="A570" s="5"/>
      <c r="B570" s="5"/>
      <c r="C570" s="5"/>
      <c r="D570" s="5"/>
      <c r="E570" s="5"/>
      <c r="F570" s="5"/>
      <c r="G570" s="5"/>
      <c r="H570" s="5" t="s">
        <v>852</v>
      </c>
      <c r="I570" s="6">
        <v>44873</v>
      </c>
      <c r="J570" s="5"/>
      <c r="K570" s="5" t="s">
        <v>716</v>
      </c>
      <c r="L570" s="5"/>
      <c r="M570" s="5"/>
      <c r="N570" s="7"/>
      <c r="O570" s="5" t="s">
        <v>556</v>
      </c>
      <c r="P570" s="8">
        <v>166.59</v>
      </c>
      <c r="Q570" s="8">
        <f t="shared" si="10"/>
        <v>6923.67</v>
      </c>
    </row>
    <row r="571" spans="1:17" x14ac:dyDescent="0.25">
      <c r="A571" s="5"/>
      <c r="B571" s="5"/>
      <c r="C571" s="5"/>
      <c r="D571" s="5"/>
      <c r="E571" s="5"/>
      <c r="F571" s="5"/>
      <c r="G571" s="5"/>
      <c r="H571" s="5" t="s">
        <v>852</v>
      </c>
      <c r="I571" s="6">
        <v>44879</v>
      </c>
      <c r="J571" s="5"/>
      <c r="K571" s="5" t="s">
        <v>716</v>
      </c>
      <c r="L571" s="5"/>
      <c r="M571" s="5"/>
      <c r="N571" s="7"/>
      <c r="O571" s="5" t="s">
        <v>556</v>
      </c>
      <c r="P571" s="8">
        <v>128.5</v>
      </c>
      <c r="Q571" s="8">
        <f t="shared" si="10"/>
        <v>7052.17</v>
      </c>
    </row>
    <row r="572" spans="1:17" x14ac:dyDescent="0.25">
      <c r="A572" s="5"/>
      <c r="B572" s="5"/>
      <c r="C572" s="5"/>
      <c r="D572" s="5"/>
      <c r="E572" s="5"/>
      <c r="F572" s="5"/>
      <c r="G572" s="5"/>
      <c r="H572" s="5" t="s">
        <v>852</v>
      </c>
      <c r="I572" s="6">
        <v>44881</v>
      </c>
      <c r="J572" s="5"/>
      <c r="K572" s="5" t="s">
        <v>716</v>
      </c>
      <c r="L572" s="5"/>
      <c r="M572" s="5"/>
      <c r="N572" s="7"/>
      <c r="O572" s="5" t="s">
        <v>556</v>
      </c>
      <c r="P572" s="8">
        <v>163.28</v>
      </c>
      <c r="Q572" s="8">
        <f t="shared" si="10"/>
        <v>7215.45</v>
      </c>
    </row>
    <row r="573" spans="1:17" x14ac:dyDescent="0.25">
      <c r="A573" s="5"/>
      <c r="B573" s="5"/>
      <c r="C573" s="5"/>
      <c r="D573" s="5"/>
      <c r="E573" s="5"/>
      <c r="F573" s="5"/>
      <c r="G573" s="5"/>
      <c r="H573" s="5" t="s">
        <v>852</v>
      </c>
      <c r="I573" s="6">
        <v>44894</v>
      </c>
      <c r="J573" s="5" t="s">
        <v>611</v>
      </c>
      <c r="K573" s="5" t="s">
        <v>716</v>
      </c>
      <c r="L573" s="5"/>
      <c r="M573" s="5"/>
      <c r="N573" s="7"/>
      <c r="O573" s="5" t="s">
        <v>554</v>
      </c>
      <c r="P573" s="8">
        <v>2261.9499999999998</v>
      </c>
      <c r="Q573" s="8">
        <f t="shared" si="10"/>
        <v>9477.4</v>
      </c>
    </row>
    <row r="574" spans="1:17" x14ac:dyDescent="0.25">
      <c r="A574" s="5"/>
      <c r="B574" s="5"/>
      <c r="C574" s="5"/>
      <c r="D574" s="5"/>
      <c r="E574" s="5"/>
      <c r="F574" s="5"/>
      <c r="G574" s="5"/>
      <c r="H574" s="5" t="s">
        <v>852</v>
      </c>
      <c r="I574" s="6">
        <v>44902</v>
      </c>
      <c r="J574" s="5"/>
      <c r="K574" s="5" t="s">
        <v>716</v>
      </c>
      <c r="L574" s="5"/>
      <c r="M574" s="5"/>
      <c r="N574" s="7"/>
      <c r="O574" s="5" t="s">
        <v>556</v>
      </c>
      <c r="P574" s="8">
        <v>105</v>
      </c>
      <c r="Q574" s="8">
        <f t="shared" si="10"/>
        <v>9582.4</v>
      </c>
    </row>
    <row r="575" spans="1:17" x14ac:dyDescent="0.25">
      <c r="A575" s="5"/>
      <c r="B575" s="5"/>
      <c r="C575" s="5"/>
      <c r="D575" s="5"/>
      <c r="E575" s="5"/>
      <c r="F575" s="5"/>
      <c r="G575" s="5"/>
      <c r="H575" s="5" t="s">
        <v>852</v>
      </c>
      <c r="I575" s="6">
        <v>44915</v>
      </c>
      <c r="J575" s="5"/>
      <c r="K575" s="5" t="s">
        <v>716</v>
      </c>
      <c r="L575" s="5"/>
      <c r="M575" s="5"/>
      <c r="N575" s="7"/>
      <c r="O575" s="5" t="s">
        <v>556</v>
      </c>
      <c r="P575" s="8">
        <v>96.97</v>
      </c>
      <c r="Q575" s="8">
        <f t="shared" si="10"/>
        <v>9679.3700000000008</v>
      </c>
    </row>
    <row r="576" spans="1:17" x14ac:dyDescent="0.25">
      <c r="A576" s="5"/>
      <c r="B576" s="5"/>
      <c r="C576" s="5"/>
      <c r="D576" s="5"/>
      <c r="E576" s="5"/>
      <c r="F576" s="5"/>
      <c r="G576" s="5"/>
      <c r="H576" s="5" t="s">
        <v>852</v>
      </c>
      <c r="I576" s="6">
        <v>44916</v>
      </c>
      <c r="J576" s="5"/>
      <c r="K576" s="5" t="s">
        <v>716</v>
      </c>
      <c r="L576" s="5"/>
      <c r="M576" s="5"/>
      <c r="N576" s="7"/>
      <c r="O576" s="5" t="s">
        <v>556</v>
      </c>
      <c r="P576" s="8">
        <v>96.35</v>
      </c>
      <c r="Q576" s="8">
        <f t="shared" si="10"/>
        <v>9775.7199999999993</v>
      </c>
    </row>
    <row r="577" spans="1:17" x14ac:dyDescent="0.25">
      <c r="A577" s="5"/>
      <c r="B577" s="5"/>
      <c r="C577" s="5"/>
      <c r="D577" s="5"/>
      <c r="E577" s="5"/>
      <c r="F577" s="5"/>
      <c r="G577" s="5"/>
      <c r="H577" s="5" t="s">
        <v>852</v>
      </c>
      <c r="I577" s="6">
        <v>44916</v>
      </c>
      <c r="J577" s="5"/>
      <c r="K577" s="5" t="s">
        <v>716</v>
      </c>
      <c r="L577" s="5"/>
      <c r="M577" s="5"/>
      <c r="N577" s="7"/>
      <c r="O577" s="5" t="s">
        <v>556</v>
      </c>
      <c r="P577" s="8">
        <v>100.35</v>
      </c>
      <c r="Q577" s="8">
        <f t="shared" si="10"/>
        <v>9876.07</v>
      </c>
    </row>
    <row r="578" spans="1:17" ht="15.75" thickBot="1" x14ac:dyDescent="0.3">
      <c r="A578" s="5"/>
      <c r="B578" s="5"/>
      <c r="C578" s="5"/>
      <c r="D578" s="5"/>
      <c r="E578" s="5"/>
      <c r="F578" s="5"/>
      <c r="G578" s="5"/>
      <c r="H578" s="5" t="s">
        <v>852</v>
      </c>
      <c r="I578" s="6">
        <v>44917</v>
      </c>
      <c r="J578" s="5"/>
      <c r="K578" s="5" t="s">
        <v>716</v>
      </c>
      <c r="L578" s="5"/>
      <c r="M578" s="5"/>
      <c r="N578" s="7"/>
      <c r="O578" s="5" t="s">
        <v>556</v>
      </c>
      <c r="P578" s="9">
        <v>131.65</v>
      </c>
      <c r="Q578" s="9">
        <f t="shared" si="10"/>
        <v>10007.719999999999</v>
      </c>
    </row>
    <row r="579" spans="1:17" x14ac:dyDescent="0.25">
      <c r="A579" s="5"/>
      <c r="B579" s="5"/>
      <c r="C579" s="5"/>
      <c r="D579" s="5"/>
      <c r="E579" s="5" t="s">
        <v>571</v>
      </c>
      <c r="F579" s="5"/>
      <c r="G579" s="5"/>
      <c r="H579" s="5"/>
      <c r="I579" s="6"/>
      <c r="J579" s="5"/>
      <c r="K579" s="5"/>
      <c r="L579" s="5"/>
      <c r="M579" s="5"/>
      <c r="N579" s="5"/>
      <c r="O579" s="5"/>
      <c r="P579" s="8">
        <f>ROUND(SUM(P556:P578),5)</f>
        <v>10007.719999999999</v>
      </c>
      <c r="Q579" s="8">
        <f>Q578</f>
        <v>10007.719999999999</v>
      </c>
    </row>
    <row r="580" spans="1:17" x14ac:dyDescent="0.25">
      <c r="A580" s="2"/>
      <c r="B580" s="2"/>
      <c r="C580" s="2"/>
      <c r="D580" s="2"/>
      <c r="E580" s="2" t="s">
        <v>572</v>
      </c>
      <c r="F580" s="2"/>
      <c r="G580" s="2"/>
      <c r="H580" s="2"/>
      <c r="I580" s="3"/>
      <c r="J580" s="2"/>
      <c r="K580" s="2"/>
      <c r="L580" s="2"/>
      <c r="M580" s="2"/>
      <c r="N580" s="2"/>
      <c r="O580" s="2"/>
      <c r="P580" s="4"/>
      <c r="Q580" s="4"/>
    </row>
    <row r="581" spans="1:17" x14ac:dyDescent="0.25">
      <c r="A581" s="5"/>
      <c r="B581" s="5"/>
      <c r="C581" s="5"/>
      <c r="D581" s="5"/>
      <c r="E581" s="5"/>
      <c r="F581" s="5"/>
      <c r="G581" s="5"/>
      <c r="H581" s="5" t="s">
        <v>853</v>
      </c>
      <c r="I581" s="6">
        <v>44681</v>
      </c>
      <c r="J581" s="5"/>
      <c r="K581" s="5"/>
      <c r="L581" s="5"/>
      <c r="M581" s="5"/>
      <c r="N581" s="7"/>
      <c r="O581" s="5" t="s">
        <v>554</v>
      </c>
      <c r="P581" s="8">
        <v>204.62</v>
      </c>
      <c r="Q581" s="8">
        <f t="shared" ref="Q581:Q594" si="11">ROUND(Q580+P581,5)</f>
        <v>204.62</v>
      </c>
    </row>
    <row r="582" spans="1:17" x14ac:dyDescent="0.25">
      <c r="A582" s="5"/>
      <c r="B582" s="5"/>
      <c r="C582" s="5"/>
      <c r="D582" s="5"/>
      <c r="E582" s="5"/>
      <c r="F582" s="5"/>
      <c r="G582" s="5"/>
      <c r="H582" s="5" t="s">
        <v>853</v>
      </c>
      <c r="I582" s="6">
        <v>44706</v>
      </c>
      <c r="J582" s="5" t="s">
        <v>612</v>
      </c>
      <c r="K582" s="5"/>
      <c r="L582" s="5" t="s">
        <v>748</v>
      </c>
      <c r="M582" s="5"/>
      <c r="N582" s="7"/>
      <c r="O582" s="5" t="s">
        <v>763</v>
      </c>
      <c r="P582" s="8">
        <v>124.11</v>
      </c>
      <c r="Q582" s="8">
        <f t="shared" si="11"/>
        <v>328.73</v>
      </c>
    </row>
    <row r="583" spans="1:17" x14ac:dyDescent="0.25">
      <c r="A583" s="5"/>
      <c r="B583" s="5"/>
      <c r="C583" s="5"/>
      <c r="D583" s="5"/>
      <c r="E583" s="5"/>
      <c r="F583" s="5"/>
      <c r="G583" s="5"/>
      <c r="H583" s="5" t="s">
        <v>853</v>
      </c>
      <c r="I583" s="6">
        <v>44712</v>
      </c>
      <c r="J583" s="5"/>
      <c r="K583" s="5"/>
      <c r="L583" s="5"/>
      <c r="M583" s="5"/>
      <c r="N583" s="7"/>
      <c r="O583" s="5" t="s">
        <v>554</v>
      </c>
      <c r="P583" s="8">
        <v>145.31</v>
      </c>
      <c r="Q583" s="8">
        <f t="shared" si="11"/>
        <v>474.04</v>
      </c>
    </row>
    <row r="584" spans="1:17" x14ac:dyDescent="0.25">
      <c r="A584" s="5"/>
      <c r="B584" s="5"/>
      <c r="C584" s="5"/>
      <c r="D584" s="5"/>
      <c r="E584" s="5"/>
      <c r="F584" s="5"/>
      <c r="G584" s="5"/>
      <c r="H584" s="5" t="s">
        <v>853</v>
      </c>
      <c r="I584" s="6">
        <v>44739</v>
      </c>
      <c r="J584" s="5"/>
      <c r="K584" s="5"/>
      <c r="L584" s="5"/>
      <c r="M584" s="5"/>
      <c r="N584" s="7"/>
      <c r="O584" s="5" t="s">
        <v>554</v>
      </c>
      <c r="P584" s="8">
        <v>331.55</v>
      </c>
      <c r="Q584" s="8">
        <f t="shared" si="11"/>
        <v>805.59</v>
      </c>
    </row>
    <row r="585" spans="1:17" x14ac:dyDescent="0.25">
      <c r="A585" s="5"/>
      <c r="B585" s="5"/>
      <c r="C585" s="5"/>
      <c r="D585" s="5"/>
      <c r="E585" s="5"/>
      <c r="F585" s="5"/>
      <c r="G585" s="5"/>
      <c r="H585" s="5" t="s">
        <v>853</v>
      </c>
      <c r="I585" s="6">
        <v>44743</v>
      </c>
      <c r="J585" s="5"/>
      <c r="K585" s="5"/>
      <c r="L585" s="5" t="s">
        <v>749</v>
      </c>
      <c r="M585" s="5"/>
      <c r="N585" s="7"/>
      <c r="O585" s="5" t="s">
        <v>554</v>
      </c>
      <c r="P585" s="8">
        <v>573.23</v>
      </c>
      <c r="Q585" s="8">
        <f t="shared" si="11"/>
        <v>1378.82</v>
      </c>
    </row>
    <row r="586" spans="1:17" x14ac:dyDescent="0.25">
      <c r="A586" s="5"/>
      <c r="B586" s="5"/>
      <c r="C586" s="5"/>
      <c r="D586" s="5"/>
      <c r="E586" s="5"/>
      <c r="F586" s="5"/>
      <c r="G586" s="5"/>
      <c r="H586" s="5" t="s">
        <v>853</v>
      </c>
      <c r="I586" s="6">
        <v>44746</v>
      </c>
      <c r="J586" s="5" t="s">
        <v>613</v>
      </c>
      <c r="K586" s="5"/>
      <c r="L586" s="5"/>
      <c r="M586" s="5"/>
      <c r="N586" s="7"/>
      <c r="O586" s="5" t="s">
        <v>554</v>
      </c>
      <c r="P586" s="8">
        <v>2</v>
      </c>
      <c r="Q586" s="8">
        <f t="shared" si="11"/>
        <v>1380.82</v>
      </c>
    </row>
    <row r="587" spans="1:17" x14ac:dyDescent="0.25">
      <c r="A587" s="5"/>
      <c r="B587" s="5"/>
      <c r="C587" s="5"/>
      <c r="D587" s="5"/>
      <c r="E587" s="5"/>
      <c r="F587" s="5"/>
      <c r="G587" s="5"/>
      <c r="H587" s="5" t="s">
        <v>853</v>
      </c>
      <c r="I587" s="6">
        <v>44774</v>
      </c>
      <c r="J587" s="5"/>
      <c r="K587" s="5"/>
      <c r="L587" s="5" t="s">
        <v>749</v>
      </c>
      <c r="M587" s="5"/>
      <c r="N587" s="7"/>
      <c r="O587" s="5" t="s">
        <v>554</v>
      </c>
      <c r="P587" s="8">
        <v>1064.25</v>
      </c>
      <c r="Q587" s="8">
        <f t="shared" si="11"/>
        <v>2445.0700000000002</v>
      </c>
    </row>
    <row r="588" spans="1:17" x14ac:dyDescent="0.25">
      <c r="A588" s="5"/>
      <c r="B588" s="5"/>
      <c r="C588" s="5"/>
      <c r="D588" s="5"/>
      <c r="E588" s="5"/>
      <c r="F588" s="5"/>
      <c r="G588" s="5"/>
      <c r="H588" s="5" t="s">
        <v>853</v>
      </c>
      <c r="I588" s="6">
        <v>44805</v>
      </c>
      <c r="J588" s="5"/>
      <c r="K588" s="5"/>
      <c r="L588" s="5" t="s">
        <v>749</v>
      </c>
      <c r="M588" s="5"/>
      <c r="N588" s="7"/>
      <c r="O588" s="5" t="s">
        <v>554</v>
      </c>
      <c r="P588" s="8">
        <v>842.03</v>
      </c>
      <c r="Q588" s="8">
        <f t="shared" si="11"/>
        <v>3287.1</v>
      </c>
    </row>
    <row r="589" spans="1:17" x14ac:dyDescent="0.25">
      <c r="A589" s="5"/>
      <c r="B589" s="5"/>
      <c r="C589" s="5"/>
      <c r="D589" s="5"/>
      <c r="E589" s="5"/>
      <c r="F589" s="5"/>
      <c r="G589" s="5"/>
      <c r="H589" s="5" t="s">
        <v>853</v>
      </c>
      <c r="I589" s="6">
        <v>44833</v>
      </c>
      <c r="J589" s="5"/>
      <c r="K589" s="5" t="s">
        <v>447</v>
      </c>
      <c r="L589" s="5"/>
      <c r="M589" s="5"/>
      <c r="N589" s="7"/>
      <c r="O589" s="5" t="s">
        <v>556</v>
      </c>
      <c r="P589" s="8">
        <v>970.73</v>
      </c>
      <c r="Q589" s="8">
        <f t="shared" si="11"/>
        <v>4257.83</v>
      </c>
    </row>
    <row r="590" spans="1:17" x14ac:dyDescent="0.25">
      <c r="A590" s="5"/>
      <c r="B590" s="5"/>
      <c r="C590" s="5"/>
      <c r="D590" s="5"/>
      <c r="E590" s="5"/>
      <c r="F590" s="5"/>
      <c r="G590" s="5"/>
      <c r="H590" s="5" t="s">
        <v>853</v>
      </c>
      <c r="I590" s="6">
        <v>44835</v>
      </c>
      <c r="J590" s="5"/>
      <c r="K590" s="5"/>
      <c r="L590" s="5" t="s">
        <v>749</v>
      </c>
      <c r="M590" s="5"/>
      <c r="N590" s="7"/>
      <c r="O590" s="5" t="s">
        <v>554</v>
      </c>
      <c r="P590" s="8">
        <v>1726.5</v>
      </c>
      <c r="Q590" s="8">
        <f t="shared" si="11"/>
        <v>5984.33</v>
      </c>
    </row>
    <row r="591" spans="1:17" x14ac:dyDescent="0.25">
      <c r="A591" s="5"/>
      <c r="B591" s="5"/>
      <c r="C591" s="5"/>
      <c r="D591" s="5"/>
      <c r="E591" s="5"/>
      <c r="F591" s="5"/>
      <c r="G591" s="5"/>
      <c r="H591" s="5" t="s">
        <v>853</v>
      </c>
      <c r="I591" s="6">
        <v>44866</v>
      </c>
      <c r="J591" s="5"/>
      <c r="K591" s="5"/>
      <c r="L591" s="5" t="s">
        <v>749</v>
      </c>
      <c r="M591" s="5"/>
      <c r="N591" s="7"/>
      <c r="O591" s="5" t="s">
        <v>554</v>
      </c>
      <c r="P591" s="8">
        <v>298.55</v>
      </c>
      <c r="Q591" s="8">
        <f t="shared" si="11"/>
        <v>6282.88</v>
      </c>
    </row>
    <row r="592" spans="1:17" x14ac:dyDescent="0.25">
      <c r="A592" s="5"/>
      <c r="B592" s="5"/>
      <c r="C592" s="5"/>
      <c r="D592" s="5"/>
      <c r="E592" s="5"/>
      <c r="F592" s="5"/>
      <c r="G592" s="5"/>
      <c r="H592" s="5" t="s">
        <v>853</v>
      </c>
      <c r="I592" s="6">
        <v>44879</v>
      </c>
      <c r="J592" s="5" t="s">
        <v>614</v>
      </c>
      <c r="K592" s="5"/>
      <c r="L592" s="5" t="s">
        <v>750</v>
      </c>
      <c r="M592" s="5"/>
      <c r="N592" s="7"/>
      <c r="O592" s="5" t="s">
        <v>554</v>
      </c>
      <c r="P592" s="8">
        <v>558.24</v>
      </c>
      <c r="Q592" s="8">
        <f t="shared" si="11"/>
        <v>6841.12</v>
      </c>
    </row>
    <row r="593" spans="1:17" x14ac:dyDescent="0.25">
      <c r="A593" s="5"/>
      <c r="B593" s="5"/>
      <c r="C593" s="5"/>
      <c r="D593" s="5"/>
      <c r="E593" s="5"/>
      <c r="F593" s="5"/>
      <c r="G593" s="5"/>
      <c r="H593" s="5" t="s">
        <v>853</v>
      </c>
      <c r="I593" s="6">
        <v>44879</v>
      </c>
      <c r="J593" s="5" t="s">
        <v>615</v>
      </c>
      <c r="K593" s="5"/>
      <c r="L593" s="5" t="s">
        <v>751</v>
      </c>
      <c r="M593" s="5"/>
      <c r="N593" s="7"/>
      <c r="O593" s="5" t="s">
        <v>554</v>
      </c>
      <c r="P593" s="8">
        <v>7</v>
      </c>
      <c r="Q593" s="8">
        <f t="shared" si="11"/>
        <v>6848.12</v>
      </c>
    </row>
    <row r="594" spans="1:17" ht="15.75" thickBot="1" x14ac:dyDescent="0.3">
      <c r="A594" s="5"/>
      <c r="B594" s="5"/>
      <c r="C594" s="5"/>
      <c r="D594" s="5"/>
      <c r="E594" s="5"/>
      <c r="F594" s="5"/>
      <c r="G594" s="5"/>
      <c r="H594" s="5" t="s">
        <v>853</v>
      </c>
      <c r="I594" s="6">
        <v>44896</v>
      </c>
      <c r="J594" s="5"/>
      <c r="K594" s="5"/>
      <c r="L594" s="5" t="s">
        <v>749</v>
      </c>
      <c r="M594" s="5"/>
      <c r="N594" s="7"/>
      <c r="O594" s="5" t="s">
        <v>554</v>
      </c>
      <c r="P594" s="9">
        <v>1195.1600000000001</v>
      </c>
      <c r="Q594" s="9">
        <f t="shared" si="11"/>
        <v>8043.28</v>
      </c>
    </row>
    <row r="595" spans="1:17" x14ac:dyDescent="0.25">
      <c r="A595" s="5"/>
      <c r="B595" s="5"/>
      <c r="C595" s="5"/>
      <c r="D595" s="5"/>
      <c r="E595" s="5" t="s">
        <v>573</v>
      </c>
      <c r="F595" s="5"/>
      <c r="G595" s="5"/>
      <c r="H595" s="5"/>
      <c r="I595" s="6"/>
      <c r="J595" s="5"/>
      <c r="K595" s="5"/>
      <c r="L595" s="5"/>
      <c r="M595" s="5"/>
      <c r="N595" s="5"/>
      <c r="O595" s="5"/>
      <c r="P595" s="8">
        <f>ROUND(SUM(P580:P594),5)</f>
        <v>8043.28</v>
      </c>
      <c r="Q595" s="8">
        <f>Q594</f>
        <v>8043.28</v>
      </c>
    </row>
    <row r="596" spans="1:17" x14ac:dyDescent="0.25">
      <c r="A596" s="2"/>
      <c r="B596" s="2"/>
      <c r="C596" s="2"/>
      <c r="D596" s="2"/>
      <c r="E596" s="2" t="s">
        <v>574</v>
      </c>
      <c r="F596" s="2"/>
      <c r="G596" s="2"/>
      <c r="H596" s="2"/>
      <c r="I596" s="3"/>
      <c r="J596" s="2"/>
      <c r="K596" s="2"/>
      <c r="L596" s="2"/>
      <c r="M596" s="2"/>
      <c r="N596" s="2"/>
      <c r="O596" s="2"/>
      <c r="P596" s="4"/>
      <c r="Q596" s="4"/>
    </row>
    <row r="597" spans="1:17" x14ac:dyDescent="0.25">
      <c r="A597" s="5"/>
      <c r="B597" s="5"/>
      <c r="C597" s="5"/>
      <c r="D597" s="5"/>
      <c r="E597" s="5"/>
      <c r="F597" s="5"/>
      <c r="G597" s="5"/>
      <c r="H597" s="5" t="s">
        <v>870</v>
      </c>
      <c r="I597" s="6">
        <v>44817</v>
      </c>
      <c r="J597" s="5" t="s">
        <v>616</v>
      </c>
      <c r="K597" s="5"/>
      <c r="L597" s="5" t="s">
        <v>752</v>
      </c>
      <c r="M597" s="5"/>
      <c r="N597" s="7"/>
      <c r="O597" s="5" t="s">
        <v>764</v>
      </c>
      <c r="P597" s="8">
        <v>678</v>
      </c>
      <c r="Q597" s="8">
        <f>ROUND(Q596+P597,5)</f>
        <v>678</v>
      </c>
    </row>
    <row r="598" spans="1:17" ht="15.75" thickBot="1" x14ac:dyDescent="0.3">
      <c r="A598" s="5"/>
      <c r="B598" s="5"/>
      <c r="C598" s="5"/>
      <c r="D598" s="5"/>
      <c r="E598" s="5"/>
      <c r="F598" s="5"/>
      <c r="G598" s="5"/>
      <c r="H598" s="5" t="s">
        <v>870</v>
      </c>
      <c r="I598" s="6">
        <v>44817</v>
      </c>
      <c r="J598" s="5" t="s">
        <v>616</v>
      </c>
      <c r="K598" s="5"/>
      <c r="L598" s="5" t="s">
        <v>752</v>
      </c>
      <c r="M598" s="5"/>
      <c r="N598" s="7"/>
      <c r="O598" s="5" t="s">
        <v>574</v>
      </c>
      <c r="P598" s="9">
        <v>678</v>
      </c>
      <c r="Q598" s="9">
        <f>ROUND(Q597+P598,5)</f>
        <v>1356</v>
      </c>
    </row>
    <row r="599" spans="1:17" x14ac:dyDescent="0.25">
      <c r="A599" s="5"/>
      <c r="B599" s="5"/>
      <c r="C599" s="5"/>
      <c r="D599" s="5"/>
      <c r="E599" s="5" t="s">
        <v>575</v>
      </c>
      <c r="F599" s="5"/>
      <c r="G599" s="5"/>
      <c r="H599" s="5"/>
      <c r="I599" s="6"/>
      <c r="J599" s="5"/>
      <c r="K599" s="5"/>
      <c r="L599" s="5"/>
      <c r="M599" s="5"/>
      <c r="N599" s="5"/>
      <c r="O599" s="5"/>
      <c r="P599" s="8">
        <f>ROUND(SUM(P596:P598),5)</f>
        <v>1356</v>
      </c>
      <c r="Q599" s="8">
        <f>Q598</f>
        <v>1356</v>
      </c>
    </row>
    <row r="600" spans="1:17" x14ac:dyDescent="0.25">
      <c r="A600" s="2"/>
      <c r="B600" s="2"/>
      <c r="C600" s="2"/>
      <c r="D600" s="2"/>
      <c r="E600" s="2" t="s">
        <v>576</v>
      </c>
      <c r="F600" s="2"/>
      <c r="G600" s="2"/>
      <c r="H600" s="2"/>
      <c r="I600" s="3"/>
      <c r="J600" s="2"/>
      <c r="K600" s="2"/>
      <c r="L600" s="2"/>
      <c r="M600" s="2"/>
      <c r="N600" s="2"/>
      <c r="O600" s="2"/>
      <c r="P600" s="4"/>
      <c r="Q600" s="4"/>
    </row>
    <row r="601" spans="1:17" x14ac:dyDescent="0.25">
      <c r="A601" s="5"/>
      <c r="B601" s="5"/>
      <c r="C601" s="5"/>
      <c r="D601" s="5"/>
      <c r="E601" s="5"/>
      <c r="F601" s="5"/>
      <c r="G601" s="5"/>
      <c r="H601" s="5" t="s">
        <v>854</v>
      </c>
      <c r="I601" s="6">
        <v>44725</v>
      </c>
      <c r="J601" s="5"/>
      <c r="K601" s="5"/>
      <c r="L601" s="5" t="s">
        <v>753</v>
      </c>
      <c r="M601" s="5"/>
      <c r="N601" s="7"/>
      <c r="O601" s="5" t="s">
        <v>554</v>
      </c>
      <c r="P601" s="8">
        <v>402.22</v>
      </c>
      <c r="Q601" s="8">
        <f>ROUND(Q600+P601,5)</f>
        <v>402.22</v>
      </c>
    </row>
    <row r="602" spans="1:17" x14ac:dyDescent="0.25">
      <c r="A602" s="5"/>
      <c r="B602" s="5"/>
      <c r="C602" s="5"/>
      <c r="D602" s="5"/>
      <c r="E602" s="5"/>
      <c r="F602" s="5"/>
      <c r="G602" s="5"/>
      <c r="H602" s="5" t="s">
        <v>854</v>
      </c>
      <c r="I602" s="6">
        <v>44739</v>
      </c>
      <c r="J602" s="5"/>
      <c r="K602" s="5"/>
      <c r="L602" s="5"/>
      <c r="M602" s="5"/>
      <c r="N602" s="7"/>
      <c r="O602" s="5" t="s">
        <v>554</v>
      </c>
      <c r="P602" s="8">
        <v>402.22</v>
      </c>
      <c r="Q602" s="8">
        <f>ROUND(Q601+P602,5)</f>
        <v>804.44</v>
      </c>
    </row>
    <row r="603" spans="1:17" ht="15.75" thickBot="1" x14ac:dyDescent="0.3">
      <c r="A603" s="5"/>
      <c r="B603" s="5"/>
      <c r="C603" s="5"/>
      <c r="D603" s="5"/>
      <c r="E603" s="5"/>
      <c r="F603" s="5"/>
      <c r="G603" s="5"/>
      <c r="H603" s="5" t="s">
        <v>854</v>
      </c>
      <c r="I603" s="6">
        <v>44890</v>
      </c>
      <c r="J603" s="5" t="s">
        <v>617</v>
      </c>
      <c r="K603" s="5"/>
      <c r="L603" s="5"/>
      <c r="M603" s="5"/>
      <c r="N603" s="7"/>
      <c r="O603" s="5" t="s">
        <v>554</v>
      </c>
      <c r="P603" s="9">
        <v>1091.5899999999999</v>
      </c>
      <c r="Q603" s="9">
        <f>ROUND(Q602+P603,5)</f>
        <v>1896.03</v>
      </c>
    </row>
    <row r="604" spans="1:17" x14ac:dyDescent="0.25">
      <c r="A604" s="5"/>
      <c r="B604" s="5"/>
      <c r="C604" s="5"/>
      <c r="D604" s="5"/>
      <c r="E604" s="5" t="s">
        <v>577</v>
      </c>
      <c r="F604" s="5"/>
      <c r="G604" s="5"/>
      <c r="H604" s="5"/>
      <c r="I604" s="6"/>
      <c r="J604" s="5"/>
      <c r="K604" s="5"/>
      <c r="L604" s="5"/>
      <c r="M604" s="5"/>
      <c r="N604" s="5"/>
      <c r="O604" s="5"/>
      <c r="P604" s="8">
        <f>ROUND(SUM(P600:P603),5)</f>
        <v>1896.03</v>
      </c>
      <c r="Q604" s="8">
        <f>Q603</f>
        <v>1896.03</v>
      </c>
    </row>
    <row r="605" spans="1:17" x14ac:dyDescent="0.25">
      <c r="A605" s="2"/>
      <c r="B605" s="2"/>
      <c r="C605" s="2"/>
      <c r="D605" s="2"/>
      <c r="E605" s="2" t="s">
        <v>578</v>
      </c>
      <c r="F605" s="2"/>
      <c r="G605" s="2"/>
      <c r="H605" s="2"/>
      <c r="I605" s="3"/>
      <c r="J605" s="2"/>
      <c r="K605" s="2"/>
      <c r="L605" s="2"/>
      <c r="M605" s="2"/>
      <c r="N605" s="2"/>
      <c r="O605" s="2"/>
      <c r="P605" s="4"/>
      <c r="Q605" s="4"/>
    </row>
    <row r="606" spans="1:17" ht="15.75" thickBot="1" x14ac:dyDescent="0.3">
      <c r="A606" s="1"/>
      <c r="B606" s="1"/>
      <c r="C606" s="1"/>
      <c r="D606" s="1"/>
      <c r="E606" s="1"/>
      <c r="F606" s="5"/>
      <c r="G606" s="5"/>
      <c r="H606" s="5" t="s">
        <v>869</v>
      </c>
      <c r="I606" s="6">
        <v>44655</v>
      </c>
      <c r="J606" s="5" t="s">
        <v>618</v>
      </c>
      <c r="K606" s="5"/>
      <c r="L606" s="5" t="s">
        <v>754</v>
      </c>
      <c r="M606" s="5"/>
      <c r="N606" s="7"/>
      <c r="O606" s="5" t="s">
        <v>764</v>
      </c>
      <c r="P606" s="9">
        <v>593.27</v>
      </c>
      <c r="Q606" s="9">
        <f>ROUND(Q605+P606,5)</f>
        <v>593.27</v>
      </c>
    </row>
    <row r="607" spans="1:17" x14ac:dyDescent="0.25">
      <c r="A607" s="5"/>
      <c r="B607" s="5"/>
      <c r="C607" s="5"/>
      <c r="D607" s="5"/>
      <c r="E607" s="5" t="s">
        <v>579</v>
      </c>
      <c r="F607" s="5"/>
      <c r="G607" s="5"/>
      <c r="H607" s="5"/>
      <c r="I607" s="6"/>
      <c r="J607" s="5"/>
      <c r="K607" s="5"/>
      <c r="L607" s="5"/>
      <c r="M607" s="5"/>
      <c r="N607" s="5"/>
      <c r="O607" s="5"/>
      <c r="P607" s="8">
        <f>ROUND(SUM(P605:P606),5)</f>
        <v>593.27</v>
      </c>
      <c r="Q607" s="8">
        <f>Q606</f>
        <v>593.27</v>
      </c>
    </row>
    <row r="608" spans="1:17" x14ac:dyDescent="0.25">
      <c r="A608" s="2"/>
      <c r="B608" s="2"/>
      <c r="C608" s="2"/>
      <c r="D608" s="2"/>
      <c r="E608" s="2" t="s">
        <v>580</v>
      </c>
      <c r="F608" s="2"/>
      <c r="G608" s="2"/>
      <c r="H608" s="2"/>
      <c r="I608" s="3"/>
      <c r="J608" s="2"/>
      <c r="K608" s="2"/>
      <c r="L608" s="2"/>
      <c r="M608" s="2"/>
      <c r="N608" s="2"/>
      <c r="O608" s="2"/>
      <c r="P608" s="4"/>
      <c r="Q608" s="4"/>
    </row>
    <row r="609" spans="1:17" x14ac:dyDescent="0.25">
      <c r="A609" s="5"/>
      <c r="B609" s="5"/>
      <c r="C609" s="5"/>
      <c r="D609" s="5"/>
      <c r="E609" s="5"/>
      <c r="F609" s="5"/>
      <c r="G609" s="5"/>
      <c r="H609" s="5" t="s">
        <v>855</v>
      </c>
      <c r="I609" s="6">
        <v>44701</v>
      </c>
      <c r="J609" s="5"/>
      <c r="K609" s="5" t="s">
        <v>718</v>
      </c>
      <c r="L609" s="5"/>
      <c r="M609" s="5"/>
      <c r="N609" s="7"/>
      <c r="O609" s="5" t="s">
        <v>554</v>
      </c>
      <c r="P609" s="8">
        <v>6257.66</v>
      </c>
      <c r="Q609" s="8">
        <f t="shared" ref="Q609:Q616" si="12">ROUND(Q608+P609,5)</f>
        <v>6257.66</v>
      </c>
    </row>
    <row r="610" spans="1:17" x14ac:dyDescent="0.25">
      <c r="A610" s="5"/>
      <c r="B610" s="5"/>
      <c r="C610" s="5"/>
      <c r="D610" s="5"/>
      <c r="E610" s="5"/>
      <c r="F610" s="5"/>
      <c r="G610" s="5"/>
      <c r="H610" s="5" t="s">
        <v>855</v>
      </c>
      <c r="I610" s="6">
        <v>44732</v>
      </c>
      <c r="J610" s="5"/>
      <c r="K610" s="5" t="s">
        <v>718</v>
      </c>
      <c r="L610" s="5"/>
      <c r="M610" s="5"/>
      <c r="N610" s="7"/>
      <c r="O610" s="5" t="s">
        <v>554</v>
      </c>
      <c r="P610" s="8">
        <v>3487.68</v>
      </c>
      <c r="Q610" s="8">
        <f t="shared" si="12"/>
        <v>9745.34</v>
      </c>
    </row>
    <row r="611" spans="1:17" x14ac:dyDescent="0.25">
      <c r="A611" s="5"/>
      <c r="B611" s="5"/>
      <c r="C611" s="5"/>
      <c r="D611" s="5"/>
      <c r="E611" s="5"/>
      <c r="F611" s="5"/>
      <c r="G611" s="5"/>
      <c r="H611" s="5" t="s">
        <v>855</v>
      </c>
      <c r="I611" s="6">
        <v>44762</v>
      </c>
      <c r="J611" s="5"/>
      <c r="K611" s="5" t="s">
        <v>718</v>
      </c>
      <c r="L611" s="5"/>
      <c r="M611" s="5"/>
      <c r="N611" s="7"/>
      <c r="O611" s="5" t="s">
        <v>556</v>
      </c>
      <c r="P611" s="8">
        <v>3940.95</v>
      </c>
      <c r="Q611" s="8">
        <f t="shared" si="12"/>
        <v>13686.29</v>
      </c>
    </row>
    <row r="612" spans="1:17" x14ac:dyDescent="0.25">
      <c r="A612" s="5"/>
      <c r="B612" s="5"/>
      <c r="C612" s="5"/>
      <c r="D612" s="5"/>
      <c r="E612" s="5"/>
      <c r="F612" s="5"/>
      <c r="G612" s="5"/>
      <c r="H612" s="5" t="s">
        <v>855</v>
      </c>
      <c r="I612" s="6">
        <v>44795</v>
      </c>
      <c r="J612" s="5"/>
      <c r="K612" s="5" t="s">
        <v>718</v>
      </c>
      <c r="L612" s="5"/>
      <c r="M612" s="5"/>
      <c r="N612" s="7"/>
      <c r="O612" s="5" t="s">
        <v>556</v>
      </c>
      <c r="P612" s="8">
        <v>3487.57</v>
      </c>
      <c r="Q612" s="8">
        <f t="shared" si="12"/>
        <v>17173.86</v>
      </c>
    </row>
    <row r="613" spans="1:17" x14ac:dyDescent="0.25">
      <c r="A613" s="5"/>
      <c r="B613" s="5"/>
      <c r="C613" s="5"/>
      <c r="D613" s="5"/>
      <c r="E613" s="5"/>
      <c r="F613" s="5"/>
      <c r="G613" s="5"/>
      <c r="H613" s="5" t="s">
        <v>855</v>
      </c>
      <c r="I613" s="6">
        <v>44824</v>
      </c>
      <c r="J613" s="5"/>
      <c r="K613" s="5" t="s">
        <v>718</v>
      </c>
      <c r="L613" s="5"/>
      <c r="M613" s="5"/>
      <c r="N613" s="7"/>
      <c r="O613" s="5" t="s">
        <v>554</v>
      </c>
      <c r="P613" s="8">
        <v>4212.46</v>
      </c>
      <c r="Q613" s="8">
        <f t="shared" si="12"/>
        <v>21386.32</v>
      </c>
    </row>
    <row r="614" spans="1:17" x14ac:dyDescent="0.25">
      <c r="A614" s="5"/>
      <c r="B614" s="5"/>
      <c r="C614" s="5"/>
      <c r="D614" s="5"/>
      <c r="E614" s="5"/>
      <c r="F614" s="5"/>
      <c r="G614" s="5"/>
      <c r="H614" s="5" t="s">
        <v>855</v>
      </c>
      <c r="I614" s="6">
        <v>44854</v>
      </c>
      <c r="J614" s="5" t="s">
        <v>619</v>
      </c>
      <c r="K614" s="5" t="s">
        <v>718</v>
      </c>
      <c r="L614" s="5"/>
      <c r="M614" s="5"/>
      <c r="N614" s="7"/>
      <c r="O614" s="5" t="s">
        <v>554</v>
      </c>
      <c r="P614" s="8">
        <v>3478.29</v>
      </c>
      <c r="Q614" s="8">
        <f t="shared" si="12"/>
        <v>24864.61</v>
      </c>
    </row>
    <row r="615" spans="1:17" x14ac:dyDescent="0.25">
      <c r="A615" s="5"/>
      <c r="B615" s="5"/>
      <c r="C615" s="5"/>
      <c r="D615" s="5"/>
      <c r="E615" s="5"/>
      <c r="F615" s="5"/>
      <c r="G615" s="5"/>
      <c r="H615" s="5" t="s">
        <v>855</v>
      </c>
      <c r="I615" s="6">
        <v>44886</v>
      </c>
      <c r="J615" s="5"/>
      <c r="K615" s="5" t="s">
        <v>718</v>
      </c>
      <c r="L615" s="5"/>
      <c r="M615" s="5"/>
      <c r="N615" s="7"/>
      <c r="O615" s="5" t="s">
        <v>556</v>
      </c>
      <c r="P615" s="8">
        <v>3732.9</v>
      </c>
      <c r="Q615" s="8">
        <f t="shared" si="12"/>
        <v>28597.51</v>
      </c>
    </row>
    <row r="616" spans="1:17" ht="15.75" thickBot="1" x14ac:dyDescent="0.3">
      <c r="A616" s="5"/>
      <c r="B616" s="5"/>
      <c r="C616" s="5"/>
      <c r="D616" s="5"/>
      <c r="E616" s="5"/>
      <c r="F616" s="5"/>
      <c r="G616" s="5"/>
      <c r="H616" s="5" t="s">
        <v>855</v>
      </c>
      <c r="I616" s="6">
        <v>44915</v>
      </c>
      <c r="J616" s="5"/>
      <c r="K616" s="5" t="s">
        <v>718</v>
      </c>
      <c r="L616" s="5"/>
      <c r="M616" s="5"/>
      <c r="N616" s="7"/>
      <c r="O616" s="5" t="s">
        <v>556</v>
      </c>
      <c r="P616" s="9">
        <v>3732.89</v>
      </c>
      <c r="Q616" s="9">
        <f t="shared" si="12"/>
        <v>32330.400000000001</v>
      </c>
    </row>
    <row r="617" spans="1:17" x14ac:dyDescent="0.25">
      <c r="A617" s="5"/>
      <c r="B617" s="5"/>
      <c r="C617" s="5"/>
      <c r="D617" s="5"/>
      <c r="E617" s="5" t="s">
        <v>581</v>
      </c>
      <c r="F617" s="5"/>
      <c r="G617" s="5"/>
      <c r="H617" s="5"/>
      <c r="I617" s="6"/>
      <c r="J617" s="5"/>
      <c r="K617" s="5"/>
      <c r="L617" s="5"/>
      <c r="M617" s="5"/>
      <c r="N617" s="5"/>
      <c r="O617" s="5"/>
      <c r="P617" s="8">
        <f>ROUND(SUM(P608:P616),5)</f>
        <v>32330.400000000001</v>
      </c>
      <c r="Q617" s="8">
        <f>Q616</f>
        <v>32330.400000000001</v>
      </c>
    </row>
    <row r="618" spans="1:17" x14ac:dyDescent="0.25">
      <c r="A618" s="2"/>
      <c r="B618" s="2"/>
      <c r="C618" s="2"/>
      <c r="D618" s="2"/>
      <c r="E618" s="2" t="s">
        <v>582</v>
      </c>
      <c r="F618" s="2"/>
      <c r="G618" s="2"/>
      <c r="H618" s="2"/>
      <c r="I618" s="3"/>
      <c r="J618" s="2"/>
      <c r="K618" s="2"/>
      <c r="L618" s="2"/>
      <c r="M618" s="2"/>
      <c r="N618" s="2"/>
      <c r="O618" s="2"/>
      <c r="P618" s="4"/>
      <c r="Q618" s="4"/>
    </row>
    <row r="619" spans="1:17" x14ac:dyDescent="0.25">
      <c r="A619" s="5"/>
      <c r="B619" s="5"/>
      <c r="C619" s="5"/>
      <c r="D619" s="5"/>
      <c r="E619" s="5"/>
      <c r="F619" s="5"/>
      <c r="G619" s="5"/>
      <c r="H619" s="5" t="s">
        <v>856</v>
      </c>
      <c r="I619" s="6">
        <v>44681</v>
      </c>
      <c r="J619" s="5"/>
      <c r="K619" s="5" t="s">
        <v>719</v>
      </c>
      <c r="L619" s="5"/>
      <c r="M619" s="5"/>
      <c r="N619" s="7"/>
      <c r="O619" s="5" t="s">
        <v>556</v>
      </c>
      <c r="P619" s="8">
        <v>198.43</v>
      </c>
      <c r="Q619" s="8">
        <f t="shared" ref="Q619:Q625" si="13">ROUND(Q618+P619,5)</f>
        <v>198.43</v>
      </c>
    </row>
    <row r="620" spans="1:17" x14ac:dyDescent="0.25">
      <c r="A620" s="5"/>
      <c r="B620" s="5"/>
      <c r="C620" s="5"/>
      <c r="D620" s="5"/>
      <c r="E620" s="5"/>
      <c r="F620" s="5"/>
      <c r="G620" s="5"/>
      <c r="H620" s="5" t="s">
        <v>856</v>
      </c>
      <c r="I620" s="6">
        <v>44722</v>
      </c>
      <c r="J620" s="5"/>
      <c r="K620" s="5" t="s">
        <v>719</v>
      </c>
      <c r="L620" s="5"/>
      <c r="M620" s="5"/>
      <c r="N620" s="7"/>
      <c r="O620" s="5" t="s">
        <v>556</v>
      </c>
      <c r="P620" s="8">
        <v>206.23</v>
      </c>
      <c r="Q620" s="8">
        <f t="shared" si="13"/>
        <v>404.66</v>
      </c>
    </row>
    <row r="621" spans="1:17" x14ac:dyDescent="0.25">
      <c r="A621" s="5"/>
      <c r="B621" s="5"/>
      <c r="C621" s="5"/>
      <c r="D621" s="5"/>
      <c r="E621" s="5"/>
      <c r="F621" s="5"/>
      <c r="G621" s="5"/>
      <c r="H621" s="5" t="s">
        <v>856</v>
      </c>
      <c r="I621" s="6">
        <v>44771</v>
      </c>
      <c r="J621" s="5"/>
      <c r="K621" s="5" t="s">
        <v>719</v>
      </c>
      <c r="L621" s="5"/>
      <c r="M621" s="5"/>
      <c r="N621" s="7"/>
      <c r="O621" s="5" t="s">
        <v>554</v>
      </c>
      <c r="P621" s="8">
        <v>414.9</v>
      </c>
      <c r="Q621" s="8">
        <f t="shared" si="13"/>
        <v>819.56</v>
      </c>
    </row>
    <row r="622" spans="1:17" x14ac:dyDescent="0.25">
      <c r="A622" s="5"/>
      <c r="B622" s="5"/>
      <c r="C622" s="5"/>
      <c r="D622" s="5"/>
      <c r="E622" s="5"/>
      <c r="F622" s="5"/>
      <c r="G622" s="5"/>
      <c r="H622" s="5" t="s">
        <v>856</v>
      </c>
      <c r="I622" s="6">
        <v>44834</v>
      </c>
      <c r="J622" s="5"/>
      <c r="K622" s="5" t="s">
        <v>719</v>
      </c>
      <c r="L622" s="5"/>
      <c r="M622" s="5"/>
      <c r="N622" s="7"/>
      <c r="O622" s="5" t="s">
        <v>556</v>
      </c>
      <c r="P622" s="8">
        <v>223.42</v>
      </c>
      <c r="Q622" s="8">
        <f t="shared" si="13"/>
        <v>1042.98</v>
      </c>
    </row>
    <row r="623" spans="1:17" x14ac:dyDescent="0.25">
      <c r="A623" s="5"/>
      <c r="B623" s="5"/>
      <c r="C623" s="5"/>
      <c r="D623" s="5"/>
      <c r="E623" s="5"/>
      <c r="F623" s="5"/>
      <c r="G623" s="5"/>
      <c r="H623" s="5" t="s">
        <v>856</v>
      </c>
      <c r="I623" s="6">
        <v>44865</v>
      </c>
      <c r="J623" s="5"/>
      <c r="K623" s="5" t="s">
        <v>719</v>
      </c>
      <c r="L623" s="5"/>
      <c r="M623" s="5"/>
      <c r="N623" s="7"/>
      <c r="O623" s="5" t="s">
        <v>556</v>
      </c>
      <c r="P623" s="8">
        <v>235.11</v>
      </c>
      <c r="Q623" s="8">
        <f t="shared" si="13"/>
        <v>1278.0899999999999</v>
      </c>
    </row>
    <row r="624" spans="1:17" x14ac:dyDescent="0.25">
      <c r="A624" s="5"/>
      <c r="B624" s="5"/>
      <c r="C624" s="5"/>
      <c r="D624" s="5"/>
      <c r="E624" s="5"/>
      <c r="F624" s="5"/>
      <c r="G624" s="5"/>
      <c r="H624" s="5" t="s">
        <v>856</v>
      </c>
      <c r="I624" s="6">
        <v>44895</v>
      </c>
      <c r="J624" s="5"/>
      <c r="K624" s="5" t="s">
        <v>719</v>
      </c>
      <c r="L624" s="5"/>
      <c r="M624" s="5"/>
      <c r="N624" s="7"/>
      <c r="O624" s="5" t="s">
        <v>556</v>
      </c>
      <c r="P624" s="8">
        <v>277.18</v>
      </c>
      <c r="Q624" s="8">
        <f t="shared" si="13"/>
        <v>1555.27</v>
      </c>
    </row>
    <row r="625" spans="1:17" ht="15.75" thickBot="1" x14ac:dyDescent="0.3">
      <c r="A625" s="5"/>
      <c r="B625" s="5"/>
      <c r="C625" s="5"/>
      <c r="D625" s="5"/>
      <c r="E625" s="5"/>
      <c r="F625" s="5"/>
      <c r="G625" s="5"/>
      <c r="H625" s="5" t="s">
        <v>856</v>
      </c>
      <c r="I625" s="6">
        <v>44926</v>
      </c>
      <c r="J625" s="5"/>
      <c r="K625" s="5" t="s">
        <v>719</v>
      </c>
      <c r="L625" s="5"/>
      <c r="M625" s="5"/>
      <c r="N625" s="7"/>
      <c r="O625" s="5" t="s">
        <v>556</v>
      </c>
      <c r="P625" s="9">
        <v>225.9</v>
      </c>
      <c r="Q625" s="9">
        <f t="shared" si="13"/>
        <v>1781.17</v>
      </c>
    </row>
    <row r="626" spans="1:17" x14ac:dyDescent="0.25">
      <c r="A626" s="5"/>
      <c r="B626" s="5"/>
      <c r="C626" s="5"/>
      <c r="D626" s="5"/>
      <c r="E626" s="5" t="s">
        <v>583</v>
      </c>
      <c r="F626" s="5"/>
      <c r="G626" s="5"/>
      <c r="H626" s="5"/>
      <c r="I626" s="6"/>
      <c r="J626" s="5"/>
      <c r="K626" s="5"/>
      <c r="L626" s="5"/>
      <c r="M626" s="5"/>
      <c r="N626" s="5"/>
      <c r="O626" s="5"/>
      <c r="P626" s="8">
        <f>ROUND(SUM(P618:P625),5)</f>
        <v>1781.17</v>
      </c>
      <c r="Q626" s="8">
        <f>Q625</f>
        <v>1781.17</v>
      </c>
    </row>
    <row r="627" spans="1:17" x14ac:dyDescent="0.25">
      <c r="A627" s="2"/>
      <c r="B627" s="2"/>
      <c r="C627" s="2"/>
      <c r="D627" s="2"/>
      <c r="E627" s="2" t="s">
        <v>584</v>
      </c>
      <c r="F627" s="2"/>
      <c r="G627" s="2"/>
      <c r="H627" s="2"/>
      <c r="I627" s="3"/>
      <c r="J627" s="2"/>
      <c r="K627" s="2"/>
      <c r="L627" s="2"/>
      <c r="M627" s="2"/>
      <c r="N627" s="2"/>
      <c r="O627" s="2"/>
      <c r="P627" s="4"/>
      <c r="Q627" s="4"/>
    </row>
    <row r="628" spans="1:17" x14ac:dyDescent="0.25">
      <c r="A628" s="5"/>
      <c r="B628" s="5"/>
      <c r="C628" s="5"/>
      <c r="D628" s="5"/>
      <c r="E628" s="5"/>
      <c r="F628" s="5"/>
      <c r="G628" s="5"/>
      <c r="H628" s="5" t="s">
        <v>857</v>
      </c>
      <c r="I628" s="6">
        <v>44690</v>
      </c>
      <c r="J628" s="5"/>
      <c r="K628" s="5" t="s">
        <v>720</v>
      </c>
      <c r="L628" s="5"/>
      <c r="M628" s="5"/>
      <c r="N628" s="7"/>
      <c r="O628" s="5" t="s">
        <v>554</v>
      </c>
      <c r="P628" s="8">
        <v>377.68</v>
      </c>
      <c r="Q628" s="8">
        <f t="shared" ref="Q628:Q637" si="14">ROUND(Q627+P628,5)</f>
        <v>377.68</v>
      </c>
    </row>
    <row r="629" spans="1:17" x14ac:dyDescent="0.25">
      <c r="A629" s="5"/>
      <c r="B629" s="5"/>
      <c r="C629" s="5"/>
      <c r="D629" s="5"/>
      <c r="E629" s="5"/>
      <c r="F629" s="5"/>
      <c r="G629" s="5"/>
      <c r="H629" s="5" t="s">
        <v>857</v>
      </c>
      <c r="I629" s="6">
        <v>44713</v>
      </c>
      <c r="J629" s="5"/>
      <c r="K629" s="5"/>
      <c r="L629" s="5"/>
      <c r="M629" s="5"/>
      <c r="N629" s="7"/>
      <c r="O629" s="5" t="s">
        <v>554</v>
      </c>
      <c r="P629" s="8">
        <v>88</v>
      </c>
      <c r="Q629" s="8">
        <f t="shared" si="14"/>
        <v>465.68</v>
      </c>
    </row>
    <row r="630" spans="1:17" x14ac:dyDescent="0.25">
      <c r="A630" s="5"/>
      <c r="B630" s="5"/>
      <c r="C630" s="5"/>
      <c r="D630" s="5"/>
      <c r="E630" s="5"/>
      <c r="F630" s="5"/>
      <c r="G630" s="5"/>
      <c r="H630" s="5" t="s">
        <v>857</v>
      </c>
      <c r="I630" s="6">
        <v>44746</v>
      </c>
      <c r="J630" s="5"/>
      <c r="K630" s="5" t="s">
        <v>721</v>
      </c>
      <c r="L630" s="5"/>
      <c r="M630" s="5"/>
      <c r="N630" s="7"/>
      <c r="O630" s="5" t="s">
        <v>556</v>
      </c>
      <c r="P630" s="8">
        <v>88</v>
      </c>
      <c r="Q630" s="8">
        <f t="shared" si="14"/>
        <v>553.67999999999995</v>
      </c>
    </row>
    <row r="631" spans="1:17" x14ac:dyDescent="0.25">
      <c r="A631" s="5"/>
      <c r="B631" s="5"/>
      <c r="C631" s="5"/>
      <c r="D631" s="5"/>
      <c r="E631" s="5"/>
      <c r="F631" s="5"/>
      <c r="G631" s="5"/>
      <c r="H631" s="5" t="s">
        <v>857</v>
      </c>
      <c r="I631" s="6">
        <v>44746</v>
      </c>
      <c r="J631" s="5"/>
      <c r="K631" s="5" t="s">
        <v>721</v>
      </c>
      <c r="L631" s="5"/>
      <c r="M631" s="5"/>
      <c r="N631" s="7"/>
      <c r="O631" s="5" t="s">
        <v>556</v>
      </c>
      <c r="P631" s="8">
        <v>88</v>
      </c>
      <c r="Q631" s="8">
        <f t="shared" si="14"/>
        <v>641.67999999999995</v>
      </c>
    </row>
    <row r="632" spans="1:17" x14ac:dyDescent="0.25">
      <c r="A632" s="5"/>
      <c r="B632" s="5"/>
      <c r="C632" s="5"/>
      <c r="D632" s="5"/>
      <c r="E632" s="5"/>
      <c r="F632" s="5"/>
      <c r="G632" s="5"/>
      <c r="H632" s="5" t="s">
        <v>857</v>
      </c>
      <c r="I632" s="6">
        <v>44747</v>
      </c>
      <c r="J632" s="5" t="s">
        <v>620</v>
      </c>
      <c r="K632" s="5"/>
      <c r="L632" s="5"/>
      <c r="M632" s="5"/>
      <c r="N632" s="7"/>
      <c r="O632" s="5" t="s">
        <v>554</v>
      </c>
      <c r="P632" s="8">
        <v>-99.44</v>
      </c>
      <c r="Q632" s="8">
        <f t="shared" si="14"/>
        <v>542.24</v>
      </c>
    </row>
    <row r="633" spans="1:17" x14ac:dyDescent="0.25">
      <c r="A633" s="5"/>
      <c r="B633" s="5"/>
      <c r="C633" s="5"/>
      <c r="D633" s="5"/>
      <c r="E633" s="5"/>
      <c r="F633" s="5"/>
      <c r="G633" s="5"/>
      <c r="H633" s="5" t="s">
        <v>857</v>
      </c>
      <c r="I633" s="6">
        <v>44775</v>
      </c>
      <c r="J633" s="5"/>
      <c r="K633" s="5" t="s">
        <v>721</v>
      </c>
      <c r="L633" s="5"/>
      <c r="M633" s="5"/>
      <c r="N633" s="7"/>
      <c r="O633" s="5" t="s">
        <v>556</v>
      </c>
      <c r="P633" s="8">
        <v>88</v>
      </c>
      <c r="Q633" s="8">
        <f t="shared" si="14"/>
        <v>630.24</v>
      </c>
    </row>
    <row r="634" spans="1:17" x14ac:dyDescent="0.25">
      <c r="A634" s="5"/>
      <c r="B634" s="5"/>
      <c r="C634" s="5"/>
      <c r="D634" s="5"/>
      <c r="E634" s="5"/>
      <c r="F634" s="5"/>
      <c r="G634" s="5"/>
      <c r="H634" s="5" t="s">
        <v>857</v>
      </c>
      <c r="I634" s="6">
        <v>44805</v>
      </c>
      <c r="J634" s="5"/>
      <c r="K634" s="5" t="s">
        <v>720</v>
      </c>
      <c r="L634" s="5"/>
      <c r="M634" s="5"/>
      <c r="N634" s="7"/>
      <c r="O634" s="5" t="s">
        <v>554</v>
      </c>
      <c r="P634" s="8">
        <v>88</v>
      </c>
      <c r="Q634" s="8">
        <f t="shared" si="14"/>
        <v>718.24</v>
      </c>
    </row>
    <row r="635" spans="1:17" x14ac:dyDescent="0.25">
      <c r="A635" s="5"/>
      <c r="B635" s="5"/>
      <c r="C635" s="5"/>
      <c r="D635" s="5"/>
      <c r="E635" s="5"/>
      <c r="F635" s="5"/>
      <c r="G635" s="5"/>
      <c r="H635" s="5" t="s">
        <v>857</v>
      </c>
      <c r="I635" s="6">
        <v>44837</v>
      </c>
      <c r="J635" s="5"/>
      <c r="K635" s="5" t="s">
        <v>721</v>
      </c>
      <c r="L635" s="5"/>
      <c r="M635" s="5"/>
      <c r="N635" s="7"/>
      <c r="O635" s="5" t="s">
        <v>556</v>
      </c>
      <c r="P635" s="8">
        <v>88</v>
      </c>
      <c r="Q635" s="8">
        <f t="shared" si="14"/>
        <v>806.24</v>
      </c>
    </row>
    <row r="636" spans="1:17" x14ac:dyDescent="0.25">
      <c r="A636" s="5"/>
      <c r="B636" s="5"/>
      <c r="C636" s="5"/>
      <c r="D636" s="5"/>
      <c r="E636" s="5"/>
      <c r="F636" s="5"/>
      <c r="G636" s="5"/>
      <c r="H636" s="5" t="s">
        <v>857</v>
      </c>
      <c r="I636" s="6">
        <v>44867</v>
      </c>
      <c r="J636" s="5"/>
      <c r="K636" s="5" t="s">
        <v>720</v>
      </c>
      <c r="L636" s="5"/>
      <c r="M636" s="5"/>
      <c r="N636" s="7"/>
      <c r="O636" s="5" t="s">
        <v>556</v>
      </c>
      <c r="P636" s="8">
        <v>88</v>
      </c>
      <c r="Q636" s="8">
        <f t="shared" si="14"/>
        <v>894.24</v>
      </c>
    </row>
    <row r="637" spans="1:17" ht="15.75" thickBot="1" x14ac:dyDescent="0.3">
      <c r="A637" s="5"/>
      <c r="B637" s="5"/>
      <c r="C637" s="5"/>
      <c r="D637" s="5"/>
      <c r="E637" s="5"/>
      <c r="F637" s="5"/>
      <c r="G637" s="5"/>
      <c r="H637" s="5" t="s">
        <v>857</v>
      </c>
      <c r="I637" s="6">
        <v>44896</v>
      </c>
      <c r="J637" s="5"/>
      <c r="K637" s="5" t="s">
        <v>721</v>
      </c>
      <c r="L637" s="5"/>
      <c r="M637" s="5"/>
      <c r="N637" s="7"/>
      <c r="O637" s="5" t="s">
        <v>556</v>
      </c>
      <c r="P637" s="9">
        <v>88</v>
      </c>
      <c r="Q637" s="9">
        <f t="shared" si="14"/>
        <v>982.24</v>
      </c>
    </row>
    <row r="638" spans="1:17" x14ac:dyDescent="0.25">
      <c r="A638" s="5"/>
      <c r="B638" s="5"/>
      <c r="C638" s="5"/>
      <c r="D638" s="5"/>
      <c r="E638" s="5" t="s">
        <v>585</v>
      </c>
      <c r="F638" s="5"/>
      <c r="G638" s="5"/>
      <c r="H638" s="5"/>
      <c r="I638" s="6"/>
      <c r="J638" s="5"/>
      <c r="K638" s="5"/>
      <c r="L638" s="5"/>
      <c r="M638" s="5"/>
      <c r="N638" s="5"/>
      <c r="O638" s="5"/>
      <c r="P638" s="8">
        <f>ROUND(SUM(P627:P637),5)</f>
        <v>982.24</v>
      </c>
      <c r="Q638" s="8">
        <f>Q637</f>
        <v>982.24</v>
      </c>
    </row>
    <row r="639" spans="1:17" x14ac:dyDescent="0.25">
      <c r="A639" s="2"/>
      <c r="B639" s="2"/>
      <c r="C639" s="2"/>
      <c r="D639" s="2"/>
      <c r="E639" s="2" t="s">
        <v>586</v>
      </c>
      <c r="F639" s="2"/>
      <c r="G639" s="2"/>
      <c r="H639" s="2"/>
      <c r="I639" s="3"/>
      <c r="J639" s="2"/>
      <c r="K639" s="2"/>
      <c r="L639" s="2"/>
      <c r="M639" s="2"/>
      <c r="N639" s="2"/>
      <c r="O639" s="2"/>
      <c r="P639" s="4"/>
      <c r="Q639" s="4"/>
    </row>
    <row r="640" spans="1:17" ht="15.75" thickBot="1" x14ac:dyDescent="0.3">
      <c r="A640" s="1"/>
      <c r="B640" s="1"/>
      <c r="C640" s="1"/>
      <c r="D640" s="1"/>
      <c r="E640" s="1"/>
      <c r="F640" s="5"/>
      <c r="G640" s="5"/>
      <c r="H640" s="5" t="s">
        <v>858</v>
      </c>
      <c r="I640" s="6">
        <v>44833</v>
      </c>
      <c r="J640" s="5"/>
      <c r="K640" s="5" t="s">
        <v>447</v>
      </c>
      <c r="L640" s="5"/>
      <c r="M640" s="5"/>
      <c r="N640" s="7"/>
      <c r="O640" s="5" t="s">
        <v>556</v>
      </c>
      <c r="P640" s="9">
        <v>1145.07</v>
      </c>
      <c r="Q640" s="9">
        <f>ROUND(Q639+P640,5)</f>
        <v>1145.07</v>
      </c>
    </row>
    <row r="641" spans="1:17" x14ac:dyDescent="0.25">
      <c r="A641" s="5"/>
      <c r="B641" s="5"/>
      <c r="C641" s="5"/>
      <c r="D641" s="5"/>
      <c r="E641" s="5" t="s">
        <v>587</v>
      </c>
      <c r="F641" s="5"/>
      <c r="G641" s="5"/>
      <c r="H641" s="5"/>
      <c r="I641" s="6"/>
      <c r="J641" s="5"/>
      <c r="K641" s="5"/>
      <c r="L641" s="5"/>
      <c r="M641" s="5"/>
      <c r="N641" s="5"/>
      <c r="O641" s="5"/>
      <c r="P641" s="8">
        <f>ROUND(SUM(P639:P640),5)</f>
        <v>1145.07</v>
      </c>
      <c r="Q641" s="8">
        <f>Q640</f>
        <v>1145.07</v>
      </c>
    </row>
    <row r="642" spans="1:17" x14ac:dyDescent="0.25">
      <c r="A642" s="2"/>
      <c r="B642" s="2"/>
      <c r="C642" s="2"/>
      <c r="D642" s="2"/>
      <c r="E642" s="2" t="s">
        <v>588</v>
      </c>
      <c r="F642" s="2"/>
      <c r="G642" s="2"/>
      <c r="H642" s="2"/>
      <c r="I642" s="3"/>
      <c r="J642" s="2"/>
      <c r="K642" s="2"/>
      <c r="L642" s="2"/>
      <c r="M642" s="2"/>
      <c r="N642" s="2"/>
      <c r="O642" s="2"/>
      <c r="P642" s="4"/>
      <c r="Q642" s="4"/>
    </row>
    <row r="643" spans="1:17" x14ac:dyDescent="0.25">
      <c r="A643" s="5"/>
      <c r="B643" s="5"/>
      <c r="C643" s="5"/>
      <c r="D643" s="5"/>
      <c r="E643" s="5"/>
      <c r="F643" s="5"/>
      <c r="G643" s="5"/>
      <c r="H643" s="5" t="s">
        <v>859</v>
      </c>
      <c r="I643" s="6">
        <v>44672</v>
      </c>
      <c r="J643" s="5"/>
      <c r="K643" s="5" t="s">
        <v>722</v>
      </c>
      <c r="L643" s="5"/>
      <c r="M643" s="5"/>
      <c r="N643" s="7"/>
      <c r="O643" s="5" t="s">
        <v>554</v>
      </c>
      <c r="P643" s="8">
        <v>40</v>
      </c>
      <c r="Q643" s="8">
        <f t="shared" ref="Q643:Q651" si="15">ROUND(Q642+P643,5)</f>
        <v>40</v>
      </c>
    </row>
    <row r="644" spans="1:17" x14ac:dyDescent="0.25">
      <c r="A644" s="5"/>
      <c r="B644" s="5"/>
      <c r="C644" s="5"/>
      <c r="D644" s="5"/>
      <c r="E644" s="5"/>
      <c r="F644" s="5"/>
      <c r="G644" s="5"/>
      <c r="H644" s="5" t="s">
        <v>859</v>
      </c>
      <c r="I644" s="6">
        <v>44683</v>
      </c>
      <c r="J644" s="5"/>
      <c r="K644" s="5" t="s">
        <v>722</v>
      </c>
      <c r="L644" s="5"/>
      <c r="M644" s="5"/>
      <c r="N644" s="7"/>
      <c r="O644" s="5" t="s">
        <v>554</v>
      </c>
      <c r="P644" s="8">
        <v>40</v>
      </c>
      <c r="Q644" s="8">
        <f t="shared" si="15"/>
        <v>80</v>
      </c>
    </row>
    <row r="645" spans="1:17" x14ac:dyDescent="0.25">
      <c r="A645" s="5"/>
      <c r="B645" s="5"/>
      <c r="C645" s="5"/>
      <c r="D645" s="5"/>
      <c r="E645" s="5"/>
      <c r="F645" s="5"/>
      <c r="G645" s="5"/>
      <c r="H645" s="5" t="s">
        <v>859</v>
      </c>
      <c r="I645" s="6">
        <v>44714</v>
      </c>
      <c r="J645" s="5"/>
      <c r="K645" s="5" t="s">
        <v>722</v>
      </c>
      <c r="L645" s="5"/>
      <c r="M645" s="5"/>
      <c r="N645" s="7"/>
      <c r="O645" s="5" t="s">
        <v>554</v>
      </c>
      <c r="P645" s="8">
        <v>40</v>
      </c>
      <c r="Q645" s="8">
        <f t="shared" si="15"/>
        <v>120</v>
      </c>
    </row>
    <row r="646" spans="1:17" x14ac:dyDescent="0.25">
      <c r="A646" s="5"/>
      <c r="B646" s="5"/>
      <c r="C646" s="5"/>
      <c r="D646" s="5"/>
      <c r="E646" s="5"/>
      <c r="F646" s="5"/>
      <c r="G646" s="5"/>
      <c r="H646" s="5" t="s">
        <v>859</v>
      </c>
      <c r="I646" s="6">
        <v>44746</v>
      </c>
      <c r="J646" s="5"/>
      <c r="K646" s="5" t="s">
        <v>722</v>
      </c>
      <c r="L646" s="5"/>
      <c r="M646" s="5"/>
      <c r="N646" s="7"/>
      <c r="O646" s="5" t="s">
        <v>556</v>
      </c>
      <c r="P646" s="8">
        <v>40</v>
      </c>
      <c r="Q646" s="8">
        <f t="shared" si="15"/>
        <v>160</v>
      </c>
    </row>
    <row r="647" spans="1:17" x14ac:dyDescent="0.25">
      <c r="A647" s="5"/>
      <c r="B647" s="5"/>
      <c r="C647" s="5"/>
      <c r="D647" s="5"/>
      <c r="E647" s="5"/>
      <c r="F647" s="5"/>
      <c r="G647" s="5"/>
      <c r="H647" s="5" t="s">
        <v>859</v>
      </c>
      <c r="I647" s="6">
        <v>44776</v>
      </c>
      <c r="J647" s="5"/>
      <c r="K647" s="5" t="s">
        <v>722</v>
      </c>
      <c r="L647" s="5"/>
      <c r="M647" s="5"/>
      <c r="N647" s="7"/>
      <c r="O647" s="5" t="s">
        <v>556</v>
      </c>
      <c r="P647" s="8">
        <v>40</v>
      </c>
      <c r="Q647" s="8">
        <f t="shared" si="15"/>
        <v>200</v>
      </c>
    </row>
    <row r="648" spans="1:17" x14ac:dyDescent="0.25">
      <c r="A648" s="5"/>
      <c r="B648" s="5"/>
      <c r="C648" s="5"/>
      <c r="D648" s="5"/>
      <c r="E648" s="5"/>
      <c r="F648" s="5"/>
      <c r="G648" s="5"/>
      <c r="H648" s="5" t="s">
        <v>859</v>
      </c>
      <c r="I648" s="6">
        <v>44806</v>
      </c>
      <c r="J648" s="5"/>
      <c r="K648" s="5" t="s">
        <v>722</v>
      </c>
      <c r="L648" s="5"/>
      <c r="M648" s="5"/>
      <c r="N648" s="7"/>
      <c r="O648" s="5" t="s">
        <v>554</v>
      </c>
      <c r="P648" s="8">
        <v>40</v>
      </c>
      <c r="Q648" s="8">
        <f t="shared" si="15"/>
        <v>240</v>
      </c>
    </row>
    <row r="649" spans="1:17" x14ac:dyDescent="0.25">
      <c r="A649" s="5"/>
      <c r="B649" s="5"/>
      <c r="C649" s="5"/>
      <c r="D649" s="5"/>
      <c r="E649" s="5"/>
      <c r="F649" s="5"/>
      <c r="G649" s="5"/>
      <c r="H649" s="5" t="s">
        <v>859</v>
      </c>
      <c r="I649" s="6">
        <v>44837</v>
      </c>
      <c r="J649" s="5"/>
      <c r="K649" s="5" t="s">
        <v>722</v>
      </c>
      <c r="L649" s="5"/>
      <c r="M649" s="5"/>
      <c r="N649" s="7"/>
      <c r="O649" s="5" t="s">
        <v>556</v>
      </c>
      <c r="P649" s="8">
        <v>40</v>
      </c>
      <c r="Q649" s="8">
        <f t="shared" si="15"/>
        <v>280</v>
      </c>
    </row>
    <row r="650" spans="1:17" x14ac:dyDescent="0.25">
      <c r="A650" s="5"/>
      <c r="B650" s="5"/>
      <c r="C650" s="5"/>
      <c r="D650" s="5"/>
      <c r="E650" s="5"/>
      <c r="F650" s="5"/>
      <c r="G650" s="5"/>
      <c r="H650" s="5" t="s">
        <v>859</v>
      </c>
      <c r="I650" s="6">
        <v>44867</v>
      </c>
      <c r="J650" s="5"/>
      <c r="K650" s="5" t="s">
        <v>722</v>
      </c>
      <c r="L650" s="5"/>
      <c r="M650" s="5"/>
      <c r="N650" s="7"/>
      <c r="O650" s="5" t="s">
        <v>556</v>
      </c>
      <c r="P650" s="8">
        <v>40</v>
      </c>
      <c r="Q650" s="8">
        <f t="shared" si="15"/>
        <v>320</v>
      </c>
    </row>
    <row r="651" spans="1:17" ht="15.75" thickBot="1" x14ac:dyDescent="0.3">
      <c r="A651" s="5"/>
      <c r="B651" s="5"/>
      <c r="C651" s="5"/>
      <c r="D651" s="5"/>
      <c r="E651" s="5"/>
      <c r="F651" s="5"/>
      <c r="G651" s="5"/>
      <c r="H651" s="5" t="s">
        <v>859</v>
      </c>
      <c r="I651" s="6">
        <v>44897</v>
      </c>
      <c r="J651" s="5"/>
      <c r="K651" s="5" t="s">
        <v>722</v>
      </c>
      <c r="L651" s="5"/>
      <c r="M651" s="5"/>
      <c r="N651" s="7"/>
      <c r="O651" s="5" t="s">
        <v>556</v>
      </c>
      <c r="P651" s="9">
        <v>40</v>
      </c>
      <c r="Q651" s="9">
        <f t="shared" si="15"/>
        <v>360</v>
      </c>
    </row>
    <row r="652" spans="1:17" x14ac:dyDescent="0.25">
      <c r="A652" s="5"/>
      <c r="B652" s="5"/>
      <c r="C652" s="5"/>
      <c r="D652" s="5"/>
      <c r="E652" s="5" t="s">
        <v>589</v>
      </c>
      <c r="F652" s="5"/>
      <c r="G652" s="5"/>
      <c r="H652" s="5"/>
      <c r="I652" s="6"/>
      <c r="J652" s="5"/>
      <c r="K652" s="5"/>
      <c r="L652" s="5"/>
      <c r="M652" s="5"/>
      <c r="N652" s="5"/>
      <c r="O652" s="5"/>
      <c r="P652" s="8">
        <f>ROUND(SUM(P642:P651),5)</f>
        <v>360</v>
      </c>
      <c r="Q652" s="8">
        <f>Q651</f>
        <v>360</v>
      </c>
    </row>
    <row r="653" spans="1:17" x14ac:dyDescent="0.25">
      <c r="A653" s="2"/>
      <c r="B653" s="2"/>
      <c r="C653" s="2"/>
      <c r="D653" s="2"/>
      <c r="E653" s="2" t="s">
        <v>590</v>
      </c>
      <c r="F653" s="2"/>
      <c r="G653" s="2"/>
      <c r="H653" s="2"/>
      <c r="I653" s="3"/>
      <c r="J653" s="2"/>
      <c r="K653" s="2"/>
      <c r="L653" s="2"/>
      <c r="M653" s="2"/>
      <c r="N653" s="2"/>
      <c r="O653" s="2"/>
      <c r="P653" s="4"/>
      <c r="Q653" s="4"/>
    </row>
    <row r="654" spans="1:17" x14ac:dyDescent="0.25">
      <c r="A654" s="5"/>
      <c r="B654" s="5"/>
      <c r="C654" s="5"/>
      <c r="D654" s="5"/>
      <c r="E654" s="5"/>
      <c r="F654" s="5"/>
      <c r="G654" s="5"/>
      <c r="H654" s="5" t="s">
        <v>860</v>
      </c>
      <c r="I654" s="6">
        <v>44671</v>
      </c>
      <c r="J654" s="5" t="s">
        <v>621</v>
      </c>
      <c r="K654" s="5" t="s">
        <v>723</v>
      </c>
      <c r="L654" s="5"/>
      <c r="M654" s="5"/>
      <c r="N654" s="7"/>
      <c r="O654" s="5" t="s">
        <v>556</v>
      </c>
      <c r="P654" s="8">
        <v>210</v>
      </c>
      <c r="Q654" s="8">
        <f t="shared" ref="Q654:Q665" si="16">ROUND(Q653+P654,5)</f>
        <v>210</v>
      </c>
    </row>
    <row r="655" spans="1:17" x14ac:dyDescent="0.25">
      <c r="A655" s="5"/>
      <c r="B655" s="5"/>
      <c r="C655" s="5"/>
      <c r="D655" s="5"/>
      <c r="E655" s="5"/>
      <c r="F655" s="5"/>
      <c r="G655" s="5"/>
      <c r="H655" s="5" t="s">
        <v>860</v>
      </c>
      <c r="I655" s="6">
        <v>44690</v>
      </c>
      <c r="J655" s="5"/>
      <c r="K655" s="5" t="s">
        <v>723</v>
      </c>
      <c r="L655" s="5"/>
      <c r="M655" s="5"/>
      <c r="N655" s="7"/>
      <c r="O655" s="5" t="s">
        <v>556</v>
      </c>
      <c r="P655" s="8">
        <v>210</v>
      </c>
      <c r="Q655" s="8">
        <f t="shared" si="16"/>
        <v>420</v>
      </c>
    </row>
    <row r="656" spans="1:17" x14ac:dyDescent="0.25">
      <c r="A656" s="5"/>
      <c r="B656" s="5"/>
      <c r="C656" s="5"/>
      <c r="D656" s="5"/>
      <c r="E656" s="5"/>
      <c r="F656" s="5"/>
      <c r="G656" s="5"/>
      <c r="H656" s="5" t="s">
        <v>860</v>
      </c>
      <c r="I656" s="6">
        <v>44698</v>
      </c>
      <c r="J656" s="5"/>
      <c r="K656" s="5" t="s">
        <v>723</v>
      </c>
      <c r="L656" s="5"/>
      <c r="M656" s="5"/>
      <c r="N656" s="7"/>
      <c r="O656" s="5" t="s">
        <v>556</v>
      </c>
      <c r="P656" s="8">
        <v>210</v>
      </c>
      <c r="Q656" s="8">
        <f t="shared" si="16"/>
        <v>630</v>
      </c>
    </row>
    <row r="657" spans="1:17" x14ac:dyDescent="0.25">
      <c r="A657" s="5"/>
      <c r="B657" s="5"/>
      <c r="C657" s="5"/>
      <c r="D657" s="5"/>
      <c r="E657" s="5"/>
      <c r="F657" s="5"/>
      <c r="G657" s="5"/>
      <c r="H657" s="5" t="s">
        <v>860</v>
      </c>
      <c r="I657" s="6">
        <v>44732</v>
      </c>
      <c r="J657" s="5"/>
      <c r="K657" s="5" t="s">
        <v>723</v>
      </c>
      <c r="L657" s="5"/>
      <c r="M657" s="5"/>
      <c r="N657" s="7"/>
      <c r="O657" s="5" t="s">
        <v>554</v>
      </c>
      <c r="P657" s="8">
        <v>420</v>
      </c>
      <c r="Q657" s="8">
        <f t="shared" si="16"/>
        <v>1050</v>
      </c>
    </row>
    <row r="658" spans="1:17" x14ac:dyDescent="0.25">
      <c r="A658" s="5"/>
      <c r="B658" s="5"/>
      <c r="C658" s="5"/>
      <c r="D658" s="5"/>
      <c r="E658" s="5"/>
      <c r="F658" s="5"/>
      <c r="G658" s="5"/>
      <c r="H658" s="5" t="s">
        <v>860</v>
      </c>
      <c r="I658" s="6">
        <v>44748</v>
      </c>
      <c r="J658" s="5"/>
      <c r="K658" s="5" t="s">
        <v>723</v>
      </c>
      <c r="L658" s="5"/>
      <c r="M658" s="5"/>
      <c r="N658" s="7"/>
      <c r="O658" s="5" t="s">
        <v>556</v>
      </c>
      <c r="P658" s="8">
        <v>105</v>
      </c>
      <c r="Q658" s="8">
        <f t="shared" si="16"/>
        <v>1155</v>
      </c>
    </row>
    <row r="659" spans="1:17" x14ac:dyDescent="0.25">
      <c r="A659" s="5"/>
      <c r="B659" s="5"/>
      <c r="C659" s="5"/>
      <c r="D659" s="5"/>
      <c r="E659" s="5"/>
      <c r="F659" s="5"/>
      <c r="G659" s="5"/>
      <c r="H659" s="5" t="s">
        <v>860</v>
      </c>
      <c r="I659" s="6">
        <v>44753</v>
      </c>
      <c r="J659" s="5"/>
      <c r="K659" s="5" t="s">
        <v>723</v>
      </c>
      <c r="L659" s="5"/>
      <c r="M659" s="5"/>
      <c r="N659" s="7"/>
      <c r="O659" s="5" t="s">
        <v>556</v>
      </c>
      <c r="P659" s="8">
        <v>105</v>
      </c>
      <c r="Q659" s="8">
        <f t="shared" si="16"/>
        <v>1260</v>
      </c>
    </row>
    <row r="660" spans="1:17" x14ac:dyDescent="0.25">
      <c r="A660" s="5"/>
      <c r="B660" s="5"/>
      <c r="C660" s="5"/>
      <c r="D660" s="5"/>
      <c r="E660" s="5"/>
      <c r="F660" s="5"/>
      <c r="G660" s="5"/>
      <c r="H660" s="5" t="s">
        <v>860</v>
      </c>
      <c r="I660" s="6">
        <v>44781</v>
      </c>
      <c r="J660" s="5"/>
      <c r="K660" s="5" t="s">
        <v>723</v>
      </c>
      <c r="L660" s="5"/>
      <c r="M660" s="5"/>
      <c r="N660" s="7"/>
      <c r="O660" s="5" t="s">
        <v>556</v>
      </c>
      <c r="P660" s="8">
        <v>420</v>
      </c>
      <c r="Q660" s="8">
        <f t="shared" si="16"/>
        <v>1680</v>
      </c>
    </row>
    <row r="661" spans="1:17" x14ac:dyDescent="0.25">
      <c r="A661" s="5"/>
      <c r="B661" s="5"/>
      <c r="C661" s="5"/>
      <c r="D661" s="5"/>
      <c r="E661" s="5"/>
      <c r="F661" s="5"/>
      <c r="G661" s="5"/>
      <c r="H661" s="5" t="s">
        <v>860</v>
      </c>
      <c r="I661" s="6">
        <v>44782</v>
      </c>
      <c r="J661" s="5"/>
      <c r="K661" s="5" t="s">
        <v>723</v>
      </c>
      <c r="L661" s="5"/>
      <c r="M661" s="5"/>
      <c r="N661" s="7"/>
      <c r="O661" s="5" t="s">
        <v>556</v>
      </c>
      <c r="P661" s="8">
        <v>420</v>
      </c>
      <c r="Q661" s="8">
        <f t="shared" si="16"/>
        <v>2100</v>
      </c>
    </row>
    <row r="662" spans="1:17" x14ac:dyDescent="0.25">
      <c r="A662" s="5"/>
      <c r="B662" s="5"/>
      <c r="C662" s="5"/>
      <c r="D662" s="5"/>
      <c r="E662" s="5"/>
      <c r="F662" s="5"/>
      <c r="G662" s="5"/>
      <c r="H662" s="5" t="s">
        <v>860</v>
      </c>
      <c r="I662" s="6">
        <v>44792</v>
      </c>
      <c r="J662" s="5"/>
      <c r="K662" s="5" t="s">
        <v>723</v>
      </c>
      <c r="L662" s="5"/>
      <c r="M662" s="5"/>
      <c r="N662" s="7"/>
      <c r="O662" s="5" t="s">
        <v>556</v>
      </c>
      <c r="P662" s="8">
        <v>210</v>
      </c>
      <c r="Q662" s="8">
        <f t="shared" si="16"/>
        <v>2310</v>
      </c>
    </row>
    <row r="663" spans="1:17" x14ac:dyDescent="0.25">
      <c r="A663" s="5"/>
      <c r="B663" s="5"/>
      <c r="C663" s="5"/>
      <c r="D663" s="5"/>
      <c r="E663" s="5"/>
      <c r="F663" s="5"/>
      <c r="G663" s="5"/>
      <c r="H663" s="5" t="s">
        <v>860</v>
      </c>
      <c r="I663" s="6">
        <v>44811</v>
      </c>
      <c r="J663" s="5" t="s">
        <v>622</v>
      </c>
      <c r="K663" s="5"/>
      <c r="L663" s="5"/>
      <c r="M663" s="5"/>
      <c r="N663" s="7"/>
      <c r="O663" s="5" t="s">
        <v>554</v>
      </c>
      <c r="P663" s="8">
        <v>-474.6</v>
      </c>
      <c r="Q663" s="8">
        <f t="shared" si="16"/>
        <v>1835.4</v>
      </c>
    </row>
    <row r="664" spans="1:17" x14ac:dyDescent="0.25">
      <c r="A664" s="5"/>
      <c r="B664" s="5"/>
      <c r="C664" s="5"/>
      <c r="D664" s="5"/>
      <c r="E664" s="5"/>
      <c r="F664" s="5"/>
      <c r="G664" s="5"/>
      <c r="H664" s="5" t="s">
        <v>860</v>
      </c>
      <c r="I664" s="6">
        <v>44818</v>
      </c>
      <c r="J664" s="5"/>
      <c r="K664" s="5" t="s">
        <v>723</v>
      </c>
      <c r="L664" s="5"/>
      <c r="M664" s="5"/>
      <c r="N664" s="7"/>
      <c r="O664" s="5" t="s">
        <v>554</v>
      </c>
      <c r="P664" s="8">
        <v>355.95</v>
      </c>
      <c r="Q664" s="8">
        <f t="shared" si="16"/>
        <v>2191.35</v>
      </c>
    </row>
    <row r="665" spans="1:17" ht="15.75" thickBot="1" x14ac:dyDescent="0.3">
      <c r="A665" s="5"/>
      <c r="B665" s="5"/>
      <c r="C665" s="5"/>
      <c r="D665" s="5"/>
      <c r="E665" s="5"/>
      <c r="F665" s="5"/>
      <c r="G665" s="5"/>
      <c r="H665" s="5" t="s">
        <v>860</v>
      </c>
      <c r="I665" s="6">
        <v>44859</v>
      </c>
      <c r="J665" s="5"/>
      <c r="K665" s="5" t="s">
        <v>723</v>
      </c>
      <c r="L665" s="5"/>
      <c r="M665" s="5"/>
      <c r="N665" s="7"/>
      <c r="O665" s="5" t="s">
        <v>556</v>
      </c>
      <c r="P665" s="9">
        <v>630</v>
      </c>
      <c r="Q665" s="9">
        <f t="shared" si="16"/>
        <v>2821.35</v>
      </c>
    </row>
    <row r="666" spans="1:17" x14ac:dyDescent="0.25">
      <c r="A666" s="5"/>
      <c r="B666" s="5"/>
      <c r="C666" s="5"/>
      <c r="D666" s="5"/>
      <c r="E666" s="5" t="s">
        <v>591</v>
      </c>
      <c r="F666" s="5"/>
      <c r="G666" s="5"/>
      <c r="H666" s="5"/>
      <c r="I666" s="6"/>
      <c r="J666" s="5"/>
      <c r="K666" s="5"/>
      <c r="L666" s="5"/>
      <c r="M666" s="5"/>
      <c r="N666" s="5"/>
      <c r="O666" s="5"/>
      <c r="P666" s="8">
        <f>ROUND(SUM(P653:P665),5)</f>
        <v>2821.35</v>
      </c>
      <c r="Q666" s="8">
        <f>Q665</f>
        <v>2821.35</v>
      </c>
    </row>
    <row r="667" spans="1:17" x14ac:dyDescent="0.25">
      <c r="A667" s="2"/>
      <c r="B667" s="2"/>
      <c r="C667" s="2"/>
      <c r="D667" s="2"/>
      <c r="E667" s="2" t="s">
        <v>592</v>
      </c>
      <c r="F667" s="2"/>
      <c r="G667" s="2"/>
      <c r="H667" s="2"/>
      <c r="I667" s="3"/>
      <c r="J667" s="2"/>
      <c r="K667" s="2"/>
      <c r="L667" s="2"/>
      <c r="M667" s="2"/>
      <c r="N667" s="2"/>
      <c r="O667" s="2"/>
      <c r="P667" s="4"/>
      <c r="Q667" s="4"/>
    </row>
    <row r="668" spans="1:17" x14ac:dyDescent="0.25">
      <c r="A668" s="5"/>
      <c r="B668" s="5"/>
      <c r="C668" s="5"/>
      <c r="D668" s="5"/>
      <c r="E668" s="5"/>
      <c r="F668" s="5"/>
      <c r="G668" s="5"/>
      <c r="H668" s="5" t="s">
        <v>861</v>
      </c>
      <c r="I668" s="6">
        <v>44670</v>
      </c>
      <c r="J668" s="5" t="s">
        <v>623</v>
      </c>
      <c r="K668" s="5" t="s">
        <v>876</v>
      </c>
      <c r="L668" s="5" t="s">
        <v>755</v>
      </c>
      <c r="M668" s="5"/>
      <c r="N668" s="7"/>
      <c r="O668" s="5" t="s">
        <v>554</v>
      </c>
      <c r="P668" s="8">
        <v>815.07</v>
      </c>
      <c r="Q668" s="8">
        <f t="shared" ref="Q668:Q694" si="17">ROUND(Q667+P668,5)</f>
        <v>815.07</v>
      </c>
    </row>
    <row r="669" spans="1:17" x14ac:dyDescent="0.25">
      <c r="A669" s="5"/>
      <c r="B669" s="5"/>
      <c r="C669" s="5"/>
      <c r="D669" s="5"/>
      <c r="E669" s="5"/>
      <c r="F669" s="5"/>
      <c r="G669" s="5"/>
      <c r="H669" s="5" t="s">
        <v>861</v>
      </c>
      <c r="I669" s="6">
        <v>44684</v>
      </c>
      <c r="J669" s="5"/>
      <c r="K669" s="5" t="s">
        <v>876</v>
      </c>
      <c r="L669" s="5" t="s">
        <v>756</v>
      </c>
      <c r="M669" s="5"/>
      <c r="N669" s="7"/>
      <c r="O669" s="5" t="s">
        <v>554</v>
      </c>
      <c r="P669" s="8">
        <v>114.53</v>
      </c>
      <c r="Q669" s="8">
        <f t="shared" si="17"/>
        <v>929.6</v>
      </c>
    </row>
    <row r="670" spans="1:17" x14ac:dyDescent="0.25">
      <c r="A670" s="5"/>
      <c r="B670" s="5"/>
      <c r="C670" s="5"/>
      <c r="D670" s="5"/>
      <c r="E670" s="5"/>
      <c r="F670" s="5"/>
      <c r="G670" s="5"/>
      <c r="H670" s="5" t="s">
        <v>861</v>
      </c>
      <c r="I670" s="6">
        <v>44686</v>
      </c>
      <c r="J670" s="5"/>
      <c r="K670" s="5" t="s">
        <v>725</v>
      </c>
      <c r="L670" s="5"/>
      <c r="M670" s="5"/>
      <c r="N670" s="7"/>
      <c r="O670" s="5" t="s">
        <v>556</v>
      </c>
      <c r="P670" s="8">
        <v>500</v>
      </c>
      <c r="Q670" s="8">
        <f t="shared" si="17"/>
        <v>1429.6</v>
      </c>
    </row>
    <row r="671" spans="1:17" x14ac:dyDescent="0.25">
      <c r="A671" s="5"/>
      <c r="B671" s="5"/>
      <c r="C671" s="5"/>
      <c r="D671" s="5"/>
      <c r="E671" s="5"/>
      <c r="F671" s="5"/>
      <c r="G671" s="5"/>
      <c r="H671" s="5" t="s">
        <v>861</v>
      </c>
      <c r="I671" s="6">
        <v>44698</v>
      </c>
      <c r="J671" s="5"/>
      <c r="K671" s="5" t="s">
        <v>726</v>
      </c>
      <c r="L671" s="5"/>
      <c r="M671" s="5"/>
      <c r="N671" s="7"/>
      <c r="O671" s="5" t="s">
        <v>555</v>
      </c>
      <c r="P671" s="8">
        <v>634.24</v>
      </c>
      <c r="Q671" s="8">
        <f t="shared" si="17"/>
        <v>2063.84</v>
      </c>
    </row>
    <row r="672" spans="1:17" x14ac:dyDescent="0.25">
      <c r="A672" s="5"/>
      <c r="B672" s="5"/>
      <c r="C672" s="5"/>
      <c r="D672" s="5"/>
      <c r="E672" s="5"/>
      <c r="F672" s="5"/>
      <c r="G672" s="5"/>
      <c r="H672" s="5" t="s">
        <v>861</v>
      </c>
      <c r="I672" s="6">
        <v>44699</v>
      </c>
      <c r="J672" s="5"/>
      <c r="K672" s="5" t="s">
        <v>725</v>
      </c>
      <c r="L672" s="5"/>
      <c r="M672" s="5"/>
      <c r="N672" s="7"/>
      <c r="O672" s="5" t="s">
        <v>556</v>
      </c>
      <c r="P672" s="8">
        <v>2990.82</v>
      </c>
      <c r="Q672" s="8">
        <f t="shared" si="17"/>
        <v>5054.66</v>
      </c>
    </row>
    <row r="673" spans="1:17" x14ac:dyDescent="0.25">
      <c r="A673" s="5"/>
      <c r="B673" s="5"/>
      <c r="C673" s="5"/>
      <c r="D673" s="5"/>
      <c r="E673" s="5"/>
      <c r="F673" s="5"/>
      <c r="G673" s="5"/>
      <c r="H673" s="5" t="s">
        <v>861</v>
      </c>
      <c r="I673" s="6">
        <v>44699</v>
      </c>
      <c r="J673" s="5"/>
      <c r="K673" s="5" t="s">
        <v>727</v>
      </c>
      <c r="L673" s="5"/>
      <c r="M673" s="5"/>
      <c r="N673" s="7"/>
      <c r="O673" s="5" t="s">
        <v>555</v>
      </c>
      <c r="P673" s="8">
        <v>41.18</v>
      </c>
      <c r="Q673" s="8">
        <f t="shared" si="17"/>
        <v>5095.84</v>
      </c>
    </row>
    <row r="674" spans="1:17" x14ac:dyDescent="0.25">
      <c r="A674" s="5"/>
      <c r="B674" s="5"/>
      <c r="C674" s="5"/>
      <c r="D674" s="5"/>
      <c r="E674" s="5"/>
      <c r="F674" s="5"/>
      <c r="G674" s="5"/>
      <c r="H674" s="5" t="s">
        <v>861</v>
      </c>
      <c r="I674" s="6">
        <v>44701</v>
      </c>
      <c r="J674" s="5" t="s">
        <v>624</v>
      </c>
      <c r="K674" s="5" t="s">
        <v>728</v>
      </c>
      <c r="L674" s="5"/>
      <c r="M674" s="5"/>
      <c r="N674" s="7"/>
      <c r="O674" s="5" t="s">
        <v>554</v>
      </c>
      <c r="P674" s="8">
        <v>3805.31</v>
      </c>
      <c r="Q674" s="8">
        <f t="shared" si="17"/>
        <v>8901.15</v>
      </c>
    </row>
    <row r="675" spans="1:17" x14ac:dyDescent="0.25">
      <c r="A675" s="5"/>
      <c r="B675" s="5"/>
      <c r="C675" s="5"/>
      <c r="D675" s="5"/>
      <c r="E675" s="5"/>
      <c r="F675" s="5"/>
      <c r="G675" s="5"/>
      <c r="H675" s="5" t="s">
        <v>861</v>
      </c>
      <c r="I675" s="6">
        <v>44705</v>
      </c>
      <c r="J675" s="5"/>
      <c r="K675" s="5" t="s">
        <v>726</v>
      </c>
      <c r="L675" s="5"/>
      <c r="M675" s="5"/>
      <c r="N675" s="7"/>
      <c r="O675" s="5" t="s">
        <v>555</v>
      </c>
      <c r="P675" s="8">
        <v>-299.99</v>
      </c>
      <c r="Q675" s="8">
        <f t="shared" si="17"/>
        <v>8601.16</v>
      </c>
    </row>
    <row r="676" spans="1:17" x14ac:dyDescent="0.25">
      <c r="A676" s="5"/>
      <c r="B676" s="5"/>
      <c r="C676" s="5"/>
      <c r="D676" s="5"/>
      <c r="E676" s="5"/>
      <c r="F676" s="5"/>
      <c r="G676" s="5"/>
      <c r="H676" s="5" t="s">
        <v>861</v>
      </c>
      <c r="I676" s="6">
        <v>44725</v>
      </c>
      <c r="J676" s="5" t="s">
        <v>625</v>
      </c>
      <c r="K676" s="5" t="s">
        <v>873</v>
      </c>
      <c r="L676" s="5"/>
      <c r="M676" s="5"/>
      <c r="N676" s="7"/>
      <c r="O676" s="5" t="s">
        <v>554</v>
      </c>
      <c r="P676" s="8">
        <v>3258.34</v>
      </c>
      <c r="Q676" s="8">
        <f t="shared" si="17"/>
        <v>11859.5</v>
      </c>
    </row>
    <row r="677" spans="1:17" x14ac:dyDescent="0.25">
      <c r="A677" s="5"/>
      <c r="B677" s="5"/>
      <c r="C677" s="5"/>
      <c r="D677" s="5"/>
      <c r="E677" s="5"/>
      <c r="F677" s="5"/>
      <c r="G677" s="5"/>
      <c r="H677" s="5" t="s">
        <v>861</v>
      </c>
      <c r="I677" s="6">
        <v>44725</v>
      </c>
      <c r="J677" s="5" t="s">
        <v>626</v>
      </c>
      <c r="K677" s="5" t="s">
        <v>877</v>
      </c>
      <c r="L677" s="5"/>
      <c r="M677" s="5"/>
      <c r="N677" s="7"/>
      <c r="O677" s="5" t="s">
        <v>554</v>
      </c>
      <c r="P677" s="8">
        <v>573.21</v>
      </c>
      <c r="Q677" s="8">
        <f t="shared" si="17"/>
        <v>12432.71</v>
      </c>
    </row>
    <row r="678" spans="1:17" x14ac:dyDescent="0.25">
      <c r="A678" s="5"/>
      <c r="B678" s="5"/>
      <c r="C678" s="5"/>
      <c r="D678" s="5"/>
      <c r="E678" s="5"/>
      <c r="F678" s="5"/>
      <c r="G678" s="5"/>
      <c r="H678" s="5" t="s">
        <v>861</v>
      </c>
      <c r="I678" s="6">
        <v>44725</v>
      </c>
      <c r="J678" s="5" t="s">
        <v>627</v>
      </c>
      <c r="K678" s="5" t="s">
        <v>874</v>
      </c>
      <c r="L678" s="5"/>
      <c r="M678" s="5"/>
      <c r="N678" s="7"/>
      <c r="O678" s="5" t="s">
        <v>554</v>
      </c>
      <c r="P678" s="8">
        <v>4096.82</v>
      </c>
      <c r="Q678" s="8">
        <f t="shared" si="17"/>
        <v>16529.53</v>
      </c>
    </row>
    <row r="679" spans="1:17" x14ac:dyDescent="0.25">
      <c r="A679" s="5"/>
      <c r="B679" s="5"/>
      <c r="C679" s="5"/>
      <c r="D679" s="5"/>
      <c r="E679" s="5"/>
      <c r="F679" s="5"/>
      <c r="G679" s="5"/>
      <c r="H679" s="5" t="s">
        <v>861</v>
      </c>
      <c r="I679" s="6">
        <v>44725</v>
      </c>
      <c r="J679" s="5" t="s">
        <v>628</v>
      </c>
      <c r="K679" s="5" t="s">
        <v>875</v>
      </c>
      <c r="L679" s="5" t="s">
        <v>759</v>
      </c>
      <c r="M679" s="5"/>
      <c r="N679" s="7"/>
      <c r="O679" s="5" t="s">
        <v>554</v>
      </c>
      <c r="P679" s="8">
        <v>549.46</v>
      </c>
      <c r="Q679" s="8">
        <f t="shared" si="17"/>
        <v>17078.990000000002</v>
      </c>
    </row>
    <row r="680" spans="1:17" x14ac:dyDescent="0.25">
      <c r="A680" s="5"/>
      <c r="B680" s="5"/>
      <c r="C680" s="5"/>
      <c r="D680" s="5"/>
      <c r="E680" s="5"/>
      <c r="F680" s="5"/>
      <c r="G680" s="5"/>
      <c r="H680" s="5" t="s">
        <v>861</v>
      </c>
      <c r="I680" s="6">
        <v>44733</v>
      </c>
      <c r="J680" s="5" t="s">
        <v>606</v>
      </c>
      <c r="K680" s="5" t="s">
        <v>711</v>
      </c>
      <c r="L680" s="5"/>
      <c r="M680" s="5"/>
      <c r="N680" s="7"/>
      <c r="O680" s="5" t="s">
        <v>556</v>
      </c>
      <c r="P680" s="8">
        <v>1816.51</v>
      </c>
      <c r="Q680" s="8">
        <f t="shared" si="17"/>
        <v>18895.5</v>
      </c>
    </row>
    <row r="681" spans="1:17" x14ac:dyDescent="0.25">
      <c r="A681" s="5"/>
      <c r="B681" s="5"/>
      <c r="C681" s="5"/>
      <c r="D681" s="5"/>
      <c r="E681" s="5"/>
      <c r="F681" s="5"/>
      <c r="G681" s="5"/>
      <c r="H681" s="5" t="s">
        <v>861</v>
      </c>
      <c r="I681" s="6">
        <v>44734</v>
      </c>
      <c r="J681" s="5" t="s">
        <v>629</v>
      </c>
      <c r="K681" s="5" t="s">
        <v>725</v>
      </c>
      <c r="L681" s="5"/>
      <c r="M681" s="5"/>
      <c r="N681" s="7"/>
      <c r="O681" s="5" t="s">
        <v>556</v>
      </c>
      <c r="P681" s="8">
        <v>2400</v>
      </c>
      <c r="Q681" s="8">
        <f t="shared" si="17"/>
        <v>21295.5</v>
      </c>
    </row>
    <row r="682" spans="1:17" x14ac:dyDescent="0.25">
      <c r="A682" s="5"/>
      <c r="B682" s="5"/>
      <c r="C682" s="5"/>
      <c r="D682" s="5"/>
      <c r="E682" s="5"/>
      <c r="F682" s="5"/>
      <c r="G682" s="5"/>
      <c r="H682" s="5" t="s">
        <v>861</v>
      </c>
      <c r="I682" s="6">
        <v>44739</v>
      </c>
      <c r="J682" s="5"/>
      <c r="K682" s="5" t="s">
        <v>876</v>
      </c>
      <c r="L682" s="5"/>
      <c r="M682" s="5"/>
      <c r="N682" s="7"/>
      <c r="O682" s="5" t="s">
        <v>554</v>
      </c>
      <c r="P682" s="8">
        <v>943.48</v>
      </c>
      <c r="Q682" s="8">
        <f t="shared" si="17"/>
        <v>22238.98</v>
      </c>
    </row>
    <row r="683" spans="1:17" x14ac:dyDescent="0.25">
      <c r="A683" s="5"/>
      <c r="B683" s="5"/>
      <c r="C683" s="5"/>
      <c r="D683" s="5"/>
      <c r="E683" s="5"/>
      <c r="F683" s="5"/>
      <c r="G683" s="5"/>
      <c r="H683" s="5" t="s">
        <v>861</v>
      </c>
      <c r="I683" s="6">
        <v>44748</v>
      </c>
      <c r="J683" s="5"/>
      <c r="K683" s="5" t="s">
        <v>719</v>
      </c>
      <c r="L683" s="5"/>
      <c r="M683" s="5"/>
      <c r="N683" s="7"/>
      <c r="O683" s="5" t="s">
        <v>556</v>
      </c>
      <c r="P683" s="8">
        <v>206.23</v>
      </c>
      <c r="Q683" s="8">
        <f t="shared" si="17"/>
        <v>22445.21</v>
      </c>
    </row>
    <row r="684" spans="1:17" x14ac:dyDescent="0.25">
      <c r="A684" s="5"/>
      <c r="B684" s="5"/>
      <c r="C684" s="5"/>
      <c r="D684" s="5"/>
      <c r="E684" s="5"/>
      <c r="F684" s="5"/>
      <c r="G684" s="5"/>
      <c r="H684" s="5" t="s">
        <v>861</v>
      </c>
      <c r="I684" s="6">
        <v>44756</v>
      </c>
      <c r="J684" s="5"/>
      <c r="K684" s="5" t="s">
        <v>877</v>
      </c>
      <c r="L684" s="5"/>
      <c r="M684" s="5"/>
      <c r="N684" s="7"/>
      <c r="O684" s="5" t="s">
        <v>554</v>
      </c>
      <c r="P684" s="8">
        <v>379.32</v>
      </c>
      <c r="Q684" s="8">
        <f t="shared" si="17"/>
        <v>22824.53</v>
      </c>
    </row>
    <row r="685" spans="1:17" x14ac:dyDescent="0.25">
      <c r="A685" s="5"/>
      <c r="B685" s="5"/>
      <c r="C685" s="5"/>
      <c r="D685" s="5"/>
      <c r="E685" s="5"/>
      <c r="F685" s="5"/>
      <c r="G685" s="5"/>
      <c r="H685" s="5" t="s">
        <v>861</v>
      </c>
      <c r="I685" s="6">
        <v>44773</v>
      </c>
      <c r="J685" s="5"/>
      <c r="K685" s="5" t="s">
        <v>719</v>
      </c>
      <c r="L685" s="5"/>
      <c r="M685" s="5"/>
      <c r="N685" s="7"/>
      <c r="O685" s="5" t="s">
        <v>556</v>
      </c>
      <c r="P685" s="8">
        <v>230.25</v>
      </c>
      <c r="Q685" s="8">
        <f t="shared" si="17"/>
        <v>23054.78</v>
      </c>
    </row>
    <row r="686" spans="1:17" x14ac:dyDescent="0.25">
      <c r="A686" s="5"/>
      <c r="B686" s="5"/>
      <c r="C686" s="5"/>
      <c r="D686" s="5"/>
      <c r="E686" s="5"/>
      <c r="F686" s="5"/>
      <c r="G686" s="5"/>
      <c r="H686" s="5" t="s">
        <v>861</v>
      </c>
      <c r="I686" s="6">
        <v>44784</v>
      </c>
      <c r="J686" s="5"/>
      <c r="K686" s="5" t="s">
        <v>730</v>
      </c>
      <c r="L686" s="5"/>
      <c r="M686" s="5"/>
      <c r="N686" s="7"/>
      <c r="O686" s="5" t="s">
        <v>556</v>
      </c>
      <c r="P686" s="8">
        <v>535</v>
      </c>
      <c r="Q686" s="8">
        <f t="shared" si="17"/>
        <v>23589.78</v>
      </c>
    </row>
    <row r="687" spans="1:17" x14ac:dyDescent="0.25">
      <c r="A687" s="5"/>
      <c r="B687" s="5"/>
      <c r="C687" s="5"/>
      <c r="D687" s="5"/>
      <c r="E687" s="5"/>
      <c r="F687" s="5"/>
      <c r="G687" s="5"/>
      <c r="H687" s="5" t="s">
        <v>861</v>
      </c>
      <c r="I687" s="6">
        <v>44799</v>
      </c>
      <c r="J687" s="5"/>
      <c r="K687" s="5" t="s">
        <v>719</v>
      </c>
      <c r="L687" s="5"/>
      <c r="M687" s="5"/>
      <c r="N687" s="7"/>
      <c r="O687" s="5" t="s">
        <v>554</v>
      </c>
      <c r="P687" s="8">
        <v>438.92</v>
      </c>
      <c r="Q687" s="8">
        <f t="shared" si="17"/>
        <v>24028.7</v>
      </c>
    </row>
    <row r="688" spans="1:17" x14ac:dyDescent="0.25">
      <c r="A688" s="5"/>
      <c r="B688" s="5"/>
      <c r="C688" s="5"/>
      <c r="D688" s="5"/>
      <c r="E688" s="5"/>
      <c r="F688" s="5"/>
      <c r="G688" s="5"/>
      <c r="H688" s="5" t="s">
        <v>861</v>
      </c>
      <c r="I688" s="6">
        <v>44799</v>
      </c>
      <c r="J688" s="5" t="s">
        <v>630</v>
      </c>
      <c r="K688" s="5"/>
      <c r="L688" s="5"/>
      <c r="M688" s="5"/>
      <c r="N688" s="7"/>
      <c r="O688" s="5" t="s">
        <v>554</v>
      </c>
      <c r="P688" s="8">
        <v>20</v>
      </c>
      <c r="Q688" s="8">
        <f t="shared" si="17"/>
        <v>24048.7</v>
      </c>
    </row>
    <row r="689" spans="1:17" x14ac:dyDescent="0.25">
      <c r="A689" s="5"/>
      <c r="B689" s="5"/>
      <c r="C689" s="5"/>
      <c r="D689" s="5"/>
      <c r="E689" s="5"/>
      <c r="F689" s="5"/>
      <c r="G689" s="5"/>
      <c r="H689" s="5" t="s">
        <v>861</v>
      </c>
      <c r="I689" s="6">
        <v>44813</v>
      </c>
      <c r="J689" s="5"/>
      <c r="K689" s="5" t="s">
        <v>876</v>
      </c>
      <c r="L689" s="5" t="s">
        <v>761</v>
      </c>
      <c r="M689" s="5"/>
      <c r="N689" s="7"/>
      <c r="O689" s="5" t="s">
        <v>556</v>
      </c>
      <c r="P689" s="8">
        <v>452.59</v>
      </c>
      <c r="Q689" s="8">
        <f t="shared" si="17"/>
        <v>24501.29</v>
      </c>
    </row>
    <row r="690" spans="1:17" x14ac:dyDescent="0.25">
      <c r="A690" s="5"/>
      <c r="B690" s="5"/>
      <c r="C690" s="5"/>
      <c r="D690" s="5"/>
      <c r="E690" s="5"/>
      <c r="F690" s="5"/>
      <c r="G690" s="5"/>
      <c r="H690" s="5" t="s">
        <v>861</v>
      </c>
      <c r="I690" s="6">
        <v>44833</v>
      </c>
      <c r="J690" s="5"/>
      <c r="K690" s="5" t="s">
        <v>447</v>
      </c>
      <c r="L690" s="5"/>
      <c r="M690" s="5"/>
      <c r="N690" s="7"/>
      <c r="O690" s="5" t="s">
        <v>556</v>
      </c>
      <c r="P690" s="8">
        <v>481.75</v>
      </c>
      <c r="Q690" s="8">
        <f t="shared" si="17"/>
        <v>24983.040000000001</v>
      </c>
    </row>
    <row r="691" spans="1:17" x14ac:dyDescent="0.25">
      <c r="A691" s="5"/>
      <c r="B691" s="5"/>
      <c r="C691" s="5"/>
      <c r="D691" s="5"/>
      <c r="E691" s="5"/>
      <c r="F691" s="5"/>
      <c r="G691" s="5"/>
      <c r="H691" s="5" t="s">
        <v>861</v>
      </c>
      <c r="I691" s="6">
        <v>44847</v>
      </c>
      <c r="J691" s="5"/>
      <c r="K691" s="5" t="s">
        <v>876</v>
      </c>
      <c r="L691" s="5"/>
      <c r="M691" s="5"/>
      <c r="N691" s="7"/>
      <c r="O691" s="5" t="s">
        <v>556</v>
      </c>
      <c r="P691" s="8">
        <v>1197.72</v>
      </c>
      <c r="Q691" s="8">
        <f t="shared" si="17"/>
        <v>26180.76</v>
      </c>
    </row>
    <row r="692" spans="1:17" x14ac:dyDescent="0.25">
      <c r="A692" s="5"/>
      <c r="B692" s="5"/>
      <c r="C692" s="5"/>
      <c r="D692" s="5"/>
      <c r="E692" s="5"/>
      <c r="F692" s="5"/>
      <c r="G692" s="5"/>
      <c r="H692" s="5" t="s">
        <v>861</v>
      </c>
      <c r="I692" s="6">
        <v>44855</v>
      </c>
      <c r="J692" s="5"/>
      <c r="K692" s="5" t="s">
        <v>876</v>
      </c>
      <c r="L692" s="5"/>
      <c r="M692" s="5"/>
      <c r="N692" s="7"/>
      <c r="O692" s="5" t="s">
        <v>556</v>
      </c>
      <c r="P692" s="8">
        <v>2162.25</v>
      </c>
      <c r="Q692" s="8">
        <f t="shared" si="17"/>
        <v>28343.01</v>
      </c>
    </row>
    <row r="693" spans="1:17" x14ac:dyDescent="0.25">
      <c r="A693" s="5"/>
      <c r="B693" s="5"/>
      <c r="C693" s="5"/>
      <c r="D693" s="5"/>
      <c r="E693" s="5"/>
      <c r="F693" s="5"/>
      <c r="G693" s="5"/>
      <c r="H693" s="5" t="s">
        <v>861</v>
      </c>
      <c r="I693" s="6">
        <v>44858</v>
      </c>
      <c r="J693" s="5"/>
      <c r="K693" s="5" t="s">
        <v>732</v>
      </c>
      <c r="L693" s="5"/>
      <c r="M693" s="5"/>
      <c r="N693" s="7"/>
      <c r="O693" s="5" t="s">
        <v>556</v>
      </c>
      <c r="P693" s="8">
        <v>341.81</v>
      </c>
      <c r="Q693" s="8">
        <f t="shared" si="17"/>
        <v>28684.82</v>
      </c>
    </row>
    <row r="694" spans="1:17" ht="15.75" thickBot="1" x14ac:dyDescent="0.3">
      <c r="A694" s="5"/>
      <c r="B694" s="5"/>
      <c r="C694" s="5"/>
      <c r="D694" s="5"/>
      <c r="E694" s="5"/>
      <c r="F694" s="5"/>
      <c r="G694" s="5"/>
      <c r="H694" s="5" t="s">
        <v>861</v>
      </c>
      <c r="I694" s="6">
        <v>44886</v>
      </c>
      <c r="J694" s="5" t="s">
        <v>631</v>
      </c>
      <c r="K694" s="5" t="s">
        <v>877</v>
      </c>
      <c r="L694" s="5" t="s">
        <v>762</v>
      </c>
      <c r="M694" s="5"/>
      <c r="N694" s="7"/>
      <c r="O694" s="5" t="s">
        <v>554</v>
      </c>
      <c r="P694" s="9">
        <v>7782.3</v>
      </c>
      <c r="Q694" s="9">
        <f t="shared" si="17"/>
        <v>36467.120000000003</v>
      </c>
    </row>
    <row r="695" spans="1:17" x14ac:dyDescent="0.25">
      <c r="A695" s="5"/>
      <c r="B695" s="5"/>
      <c r="C695" s="5"/>
      <c r="D695" s="5"/>
      <c r="E695" s="5" t="s">
        <v>593</v>
      </c>
      <c r="F695" s="5"/>
      <c r="G695" s="5"/>
      <c r="H695" s="5"/>
      <c r="I695" s="6"/>
      <c r="J695" s="5"/>
      <c r="K695" s="5"/>
      <c r="L695" s="5"/>
      <c r="M695" s="5"/>
      <c r="N695" s="5"/>
      <c r="O695" s="5"/>
      <c r="P695" s="8">
        <f>ROUND(SUM(P667:P694),5)</f>
        <v>36467.120000000003</v>
      </c>
      <c r="Q695" s="8">
        <f>Q694</f>
        <v>36467.120000000003</v>
      </c>
    </row>
    <row r="696" spans="1:17" x14ac:dyDescent="0.25">
      <c r="A696" s="2"/>
      <c r="B696" s="2"/>
      <c r="C696" s="2"/>
      <c r="D696" s="2"/>
      <c r="E696" s="2" t="s">
        <v>594</v>
      </c>
      <c r="F696" s="2"/>
      <c r="G696" s="2"/>
      <c r="H696" s="2"/>
      <c r="I696" s="3"/>
      <c r="J696" s="2"/>
      <c r="K696" s="2"/>
      <c r="L696" s="2"/>
      <c r="M696" s="2"/>
      <c r="N696" s="2"/>
      <c r="O696" s="2"/>
      <c r="P696" s="4"/>
      <c r="Q696" s="4"/>
    </row>
    <row r="697" spans="1:17" x14ac:dyDescent="0.25">
      <c r="A697" s="5"/>
      <c r="B697" s="5"/>
      <c r="C697" s="5"/>
      <c r="D697" s="5"/>
      <c r="E697" s="5"/>
      <c r="F697" s="5"/>
      <c r="G697" s="5"/>
      <c r="H697" s="5" t="s">
        <v>596</v>
      </c>
      <c r="I697" s="6">
        <v>44664</v>
      </c>
      <c r="J697" s="5" t="s">
        <v>632</v>
      </c>
      <c r="K697" s="5" t="s">
        <v>877</v>
      </c>
      <c r="L697" s="5"/>
      <c r="M697" s="5"/>
      <c r="N697" s="7"/>
      <c r="O697" s="5" t="s">
        <v>554</v>
      </c>
      <c r="P697" s="8">
        <v>1920</v>
      </c>
      <c r="Q697" s="8">
        <f t="shared" ref="Q697:Q760" si="18">ROUND(Q696+P697,5)</f>
        <v>1920</v>
      </c>
    </row>
    <row r="698" spans="1:17" x14ac:dyDescent="0.25">
      <c r="A698" s="5"/>
      <c r="B698" s="5"/>
      <c r="C698" s="5"/>
      <c r="D698" s="5"/>
      <c r="E698" s="5"/>
      <c r="F698" s="5"/>
      <c r="G698" s="5"/>
      <c r="H698" s="5" t="s">
        <v>596</v>
      </c>
      <c r="I698" s="6">
        <v>44664</v>
      </c>
      <c r="J698" s="5" t="s">
        <v>632</v>
      </c>
      <c r="K698" s="5" t="s">
        <v>877</v>
      </c>
      <c r="L698" s="5"/>
      <c r="M698" s="5"/>
      <c r="N698" s="7"/>
      <c r="O698" s="5" t="s">
        <v>554</v>
      </c>
      <c r="P698" s="8">
        <v>101.77</v>
      </c>
      <c r="Q698" s="8">
        <f t="shared" si="18"/>
        <v>2021.77</v>
      </c>
    </row>
    <row r="699" spans="1:17" x14ac:dyDescent="0.25">
      <c r="A699" s="5"/>
      <c r="B699" s="5"/>
      <c r="C699" s="5"/>
      <c r="D699" s="5"/>
      <c r="E699" s="5"/>
      <c r="F699" s="5"/>
      <c r="G699" s="5"/>
      <c r="H699" s="5" t="s">
        <v>596</v>
      </c>
      <c r="I699" s="6">
        <v>44664</v>
      </c>
      <c r="J699" s="5" t="s">
        <v>632</v>
      </c>
      <c r="K699" s="5" t="s">
        <v>877</v>
      </c>
      <c r="L699" s="5"/>
      <c r="M699" s="5"/>
      <c r="N699" s="7"/>
      <c r="O699" s="5" t="s">
        <v>554</v>
      </c>
      <c r="P699" s="8">
        <v>42.48</v>
      </c>
      <c r="Q699" s="8">
        <f t="shared" si="18"/>
        <v>2064.25</v>
      </c>
    </row>
    <row r="700" spans="1:17" x14ac:dyDescent="0.25">
      <c r="A700" s="5"/>
      <c r="B700" s="5"/>
      <c r="C700" s="5"/>
      <c r="D700" s="5"/>
      <c r="E700" s="5"/>
      <c r="F700" s="5"/>
      <c r="G700" s="5"/>
      <c r="H700" s="5" t="s">
        <v>596</v>
      </c>
      <c r="I700" s="6">
        <v>44664</v>
      </c>
      <c r="J700" s="5" t="s">
        <v>632</v>
      </c>
      <c r="K700" s="5" t="s">
        <v>877</v>
      </c>
      <c r="L700" s="5"/>
      <c r="M700" s="5"/>
      <c r="N700" s="7"/>
      <c r="O700" s="5" t="s">
        <v>554</v>
      </c>
      <c r="P700" s="8">
        <v>76.8</v>
      </c>
      <c r="Q700" s="8">
        <f t="shared" si="18"/>
        <v>2141.0500000000002</v>
      </c>
    </row>
    <row r="701" spans="1:17" x14ac:dyDescent="0.25">
      <c r="A701" s="5"/>
      <c r="B701" s="5"/>
      <c r="C701" s="5"/>
      <c r="D701" s="5"/>
      <c r="E701" s="5"/>
      <c r="F701" s="5"/>
      <c r="G701" s="5"/>
      <c r="H701" s="5" t="s">
        <v>596</v>
      </c>
      <c r="I701" s="6">
        <v>44664</v>
      </c>
      <c r="J701" s="5" t="s">
        <v>633</v>
      </c>
      <c r="K701" s="5" t="s">
        <v>876</v>
      </c>
      <c r="L701" s="5"/>
      <c r="M701" s="5"/>
      <c r="N701" s="7"/>
      <c r="O701" s="5" t="s">
        <v>554</v>
      </c>
      <c r="P701" s="8">
        <v>2400</v>
      </c>
      <c r="Q701" s="8">
        <f t="shared" si="18"/>
        <v>4541.05</v>
      </c>
    </row>
    <row r="702" spans="1:17" x14ac:dyDescent="0.25">
      <c r="A702" s="5"/>
      <c r="B702" s="5"/>
      <c r="C702" s="5"/>
      <c r="D702" s="5"/>
      <c r="E702" s="5"/>
      <c r="F702" s="5"/>
      <c r="G702" s="5"/>
      <c r="H702" s="5" t="s">
        <v>596</v>
      </c>
      <c r="I702" s="6">
        <v>44664</v>
      </c>
      <c r="J702" s="5" t="s">
        <v>633</v>
      </c>
      <c r="K702" s="5" t="s">
        <v>876</v>
      </c>
      <c r="L702" s="5"/>
      <c r="M702" s="5"/>
      <c r="N702" s="7"/>
      <c r="O702" s="5" t="s">
        <v>554</v>
      </c>
      <c r="P702" s="8">
        <v>129.13</v>
      </c>
      <c r="Q702" s="8">
        <f t="shared" si="18"/>
        <v>4670.18</v>
      </c>
    </row>
    <row r="703" spans="1:17" x14ac:dyDescent="0.25">
      <c r="A703" s="5"/>
      <c r="B703" s="5"/>
      <c r="C703" s="5"/>
      <c r="D703" s="5"/>
      <c r="E703" s="5"/>
      <c r="F703" s="5"/>
      <c r="G703" s="5"/>
      <c r="H703" s="5" t="s">
        <v>596</v>
      </c>
      <c r="I703" s="6">
        <v>44664</v>
      </c>
      <c r="J703" s="5" t="s">
        <v>633</v>
      </c>
      <c r="K703" s="5" t="s">
        <v>876</v>
      </c>
      <c r="L703" s="5"/>
      <c r="M703" s="5"/>
      <c r="N703" s="7"/>
      <c r="O703" s="5" t="s">
        <v>554</v>
      </c>
      <c r="P703" s="8">
        <v>53.09</v>
      </c>
      <c r="Q703" s="8">
        <f t="shared" si="18"/>
        <v>4723.2700000000004</v>
      </c>
    </row>
    <row r="704" spans="1:17" x14ac:dyDescent="0.25">
      <c r="A704" s="5"/>
      <c r="B704" s="5"/>
      <c r="C704" s="5"/>
      <c r="D704" s="5"/>
      <c r="E704" s="5"/>
      <c r="F704" s="5"/>
      <c r="G704" s="5"/>
      <c r="H704" s="5" t="s">
        <v>596</v>
      </c>
      <c r="I704" s="6">
        <v>44664</v>
      </c>
      <c r="J704" s="5" t="s">
        <v>633</v>
      </c>
      <c r="K704" s="5" t="s">
        <v>876</v>
      </c>
      <c r="L704" s="5"/>
      <c r="M704" s="5"/>
      <c r="N704" s="7"/>
      <c r="O704" s="5" t="s">
        <v>554</v>
      </c>
      <c r="P704" s="8">
        <v>96</v>
      </c>
      <c r="Q704" s="8">
        <f t="shared" si="18"/>
        <v>4819.2700000000004</v>
      </c>
    </row>
    <row r="705" spans="1:17" x14ac:dyDescent="0.25">
      <c r="A705" s="5"/>
      <c r="B705" s="5"/>
      <c r="C705" s="5"/>
      <c r="D705" s="5"/>
      <c r="E705" s="5"/>
      <c r="F705" s="5"/>
      <c r="G705" s="5"/>
      <c r="H705" s="5" t="s">
        <v>596</v>
      </c>
      <c r="I705" s="6">
        <v>44664</v>
      </c>
      <c r="J705" s="5" t="s">
        <v>634</v>
      </c>
      <c r="K705" s="5" t="s">
        <v>878</v>
      </c>
      <c r="L705" s="5"/>
      <c r="M705" s="5"/>
      <c r="N705" s="7"/>
      <c r="O705" s="5" t="s">
        <v>554</v>
      </c>
      <c r="P705" s="8">
        <v>567</v>
      </c>
      <c r="Q705" s="8">
        <f t="shared" si="18"/>
        <v>5386.27</v>
      </c>
    </row>
    <row r="706" spans="1:17" x14ac:dyDescent="0.25">
      <c r="A706" s="5"/>
      <c r="B706" s="5"/>
      <c r="C706" s="5"/>
      <c r="D706" s="5"/>
      <c r="E706" s="5"/>
      <c r="F706" s="5"/>
      <c r="G706" s="5"/>
      <c r="H706" s="5" t="s">
        <v>596</v>
      </c>
      <c r="I706" s="6">
        <v>44664</v>
      </c>
      <c r="J706" s="5" t="s">
        <v>634</v>
      </c>
      <c r="K706" s="5" t="s">
        <v>878</v>
      </c>
      <c r="L706" s="5"/>
      <c r="M706" s="5"/>
      <c r="N706" s="7"/>
      <c r="O706" s="5" t="s">
        <v>554</v>
      </c>
      <c r="P706" s="8">
        <v>24.65</v>
      </c>
      <c r="Q706" s="8">
        <f t="shared" si="18"/>
        <v>5410.92</v>
      </c>
    </row>
    <row r="707" spans="1:17" x14ac:dyDescent="0.25">
      <c r="A707" s="5"/>
      <c r="B707" s="5"/>
      <c r="C707" s="5"/>
      <c r="D707" s="5"/>
      <c r="E707" s="5"/>
      <c r="F707" s="5"/>
      <c r="G707" s="5"/>
      <c r="H707" s="5" t="s">
        <v>596</v>
      </c>
      <c r="I707" s="6">
        <v>44664</v>
      </c>
      <c r="J707" s="5" t="s">
        <v>634</v>
      </c>
      <c r="K707" s="5" t="s">
        <v>878</v>
      </c>
      <c r="L707" s="5"/>
      <c r="M707" s="5"/>
      <c r="N707" s="7"/>
      <c r="O707" s="5" t="s">
        <v>554</v>
      </c>
      <c r="P707" s="8">
        <v>12.54</v>
      </c>
      <c r="Q707" s="8">
        <f t="shared" si="18"/>
        <v>5423.46</v>
      </c>
    </row>
    <row r="708" spans="1:17" x14ac:dyDescent="0.25">
      <c r="A708" s="5"/>
      <c r="B708" s="5"/>
      <c r="C708" s="5"/>
      <c r="D708" s="5"/>
      <c r="E708" s="5"/>
      <c r="F708" s="5"/>
      <c r="G708" s="5"/>
      <c r="H708" s="5" t="s">
        <v>596</v>
      </c>
      <c r="I708" s="6">
        <v>44664</v>
      </c>
      <c r="J708" s="5" t="s">
        <v>634</v>
      </c>
      <c r="K708" s="5" t="s">
        <v>878</v>
      </c>
      <c r="L708" s="5"/>
      <c r="M708" s="5"/>
      <c r="N708" s="7"/>
      <c r="O708" s="5" t="s">
        <v>554</v>
      </c>
      <c r="P708" s="8">
        <v>22.68</v>
      </c>
      <c r="Q708" s="8">
        <f t="shared" si="18"/>
        <v>5446.14</v>
      </c>
    </row>
    <row r="709" spans="1:17" x14ac:dyDescent="0.25">
      <c r="A709" s="5"/>
      <c r="B709" s="5"/>
      <c r="C709" s="5"/>
      <c r="D709" s="5"/>
      <c r="E709" s="5"/>
      <c r="F709" s="5"/>
      <c r="G709" s="5"/>
      <c r="H709" s="5" t="s">
        <v>596</v>
      </c>
      <c r="I709" s="6">
        <v>44679</v>
      </c>
      <c r="J709" s="5" t="s">
        <v>635</v>
      </c>
      <c r="K709" s="5" t="s">
        <v>877</v>
      </c>
      <c r="L709" s="5"/>
      <c r="M709" s="5"/>
      <c r="N709" s="7"/>
      <c r="O709" s="5" t="s">
        <v>554</v>
      </c>
      <c r="P709" s="8">
        <v>1600</v>
      </c>
      <c r="Q709" s="8">
        <f t="shared" si="18"/>
        <v>7046.14</v>
      </c>
    </row>
    <row r="710" spans="1:17" x14ac:dyDescent="0.25">
      <c r="A710" s="5"/>
      <c r="B710" s="5"/>
      <c r="C710" s="5"/>
      <c r="D710" s="5"/>
      <c r="E710" s="5"/>
      <c r="F710" s="5"/>
      <c r="G710" s="5"/>
      <c r="H710" s="5" t="s">
        <v>596</v>
      </c>
      <c r="I710" s="6">
        <v>44679</v>
      </c>
      <c r="J710" s="5" t="s">
        <v>635</v>
      </c>
      <c r="K710" s="5" t="s">
        <v>877</v>
      </c>
      <c r="L710" s="5"/>
      <c r="M710" s="5"/>
      <c r="N710" s="7"/>
      <c r="O710" s="5" t="s">
        <v>554</v>
      </c>
      <c r="P710" s="8">
        <v>83.53</v>
      </c>
      <c r="Q710" s="8">
        <f t="shared" si="18"/>
        <v>7129.67</v>
      </c>
    </row>
    <row r="711" spans="1:17" x14ac:dyDescent="0.25">
      <c r="A711" s="5"/>
      <c r="B711" s="5"/>
      <c r="C711" s="5"/>
      <c r="D711" s="5"/>
      <c r="E711" s="5"/>
      <c r="F711" s="5"/>
      <c r="G711" s="5"/>
      <c r="H711" s="5" t="s">
        <v>596</v>
      </c>
      <c r="I711" s="6">
        <v>44679</v>
      </c>
      <c r="J711" s="5" t="s">
        <v>635</v>
      </c>
      <c r="K711" s="5" t="s">
        <v>877</v>
      </c>
      <c r="L711" s="5"/>
      <c r="M711" s="5"/>
      <c r="N711" s="7"/>
      <c r="O711" s="5" t="s">
        <v>554</v>
      </c>
      <c r="P711" s="8">
        <v>35.39</v>
      </c>
      <c r="Q711" s="8">
        <f t="shared" si="18"/>
        <v>7165.06</v>
      </c>
    </row>
    <row r="712" spans="1:17" x14ac:dyDescent="0.25">
      <c r="A712" s="5"/>
      <c r="B712" s="5"/>
      <c r="C712" s="5"/>
      <c r="D712" s="5"/>
      <c r="E712" s="5"/>
      <c r="F712" s="5"/>
      <c r="G712" s="5"/>
      <c r="H712" s="5" t="s">
        <v>596</v>
      </c>
      <c r="I712" s="6">
        <v>44679</v>
      </c>
      <c r="J712" s="5" t="s">
        <v>635</v>
      </c>
      <c r="K712" s="5" t="s">
        <v>877</v>
      </c>
      <c r="L712" s="5"/>
      <c r="M712" s="5"/>
      <c r="N712" s="7"/>
      <c r="O712" s="5" t="s">
        <v>554</v>
      </c>
      <c r="P712" s="8">
        <v>64</v>
      </c>
      <c r="Q712" s="8">
        <f t="shared" si="18"/>
        <v>7229.06</v>
      </c>
    </row>
    <row r="713" spans="1:17" x14ac:dyDescent="0.25">
      <c r="A713" s="5"/>
      <c r="B713" s="5"/>
      <c r="C713" s="5"/>
      <c r="D713" s="5"/>
      <c r="E713" s="5"/>
      <c r="F713" s="5"/>
      <c r="G713" s="5"/>
      <c r="H713" s="5" t="s">
        <v>596</v>
      </c>
      <c r="I713" s="6">
        <v>44679</v>
      </c>
      <c r="J713" s="5" t="s">
        <v>636</v>
      </c>
      <c r="K713" s="5" t="s">
        <v>876</v>
      </c>
      <c r="L713" s="5"/>
      <c r="M713" s="5"/>
      <c r="N713" s="7"/>
      <c r="O713" s="5" t="s">
        <v>554</v>
      </c>
      <c r="P713" s="8">
        <v>2000</v>
      </c>
      <c r="Q713" s="8">
        <f t="shared" si="18"/>
        <v>9229.06</v>
      </c>
    </row>
    <row r="714" spans="1:17" x14ac:dyDescent="0.25">
      <c r="A714" s="5"/>
      <c r="B714" s="5"/>
      <c r="C714" s="5"/>
      <c r="D714" s="5"/>
      <c r="E714" s="5"/>
      <c r="F714" s="5"/>
      <c r="G714" s="5"/>
      <c r="H714" s="5" t="s">
        <v>596</v>
      </c>
      <c r="I714" s="6">
        <v>44679</v>
      </c>
      <c r="J714" s="5" t="s">
        <v>636</v>
      </c>
      <c r="K714" s="5" t="s">
        <v>876</v>
      </c>
      <c r="L714" s="5"/>
      <c r="M714" s="5"/>
      <c r="N714" s="7"/>
      <c r="O714" s="5" t="s">
        <v>554</v>
      </c>
      <c r="P714" s="8">
        <v>106.33</v>
      </c>
      <c r="Q714" s="8">
        <f t="shared" si="18"/>
        <v>9335.39</v>
      </c>
    </row>
    <row r="715" spans="1:17" x14ac:dyDescent="0.25">
      <c r="A715" s="5"/>
      <c r="B715" s="5"/>
      <c r="C715" s="5"/>
      <c r="D715" s="5"/>
      <c r="E715" s="5"/>
      <c r="F715" s="5"/>
      <c r="G715" s="5"/>
      <c r="H715" s="5" t="s">
        <v>596</v>
      </c>
      <c r="I715" s="6">
        <v>44679</v>
      </c>
      <c r="J715" s="5" t="s">
        <v>636</v>
      </c>
      <c r="K715" s="5" t="s">
        <v>876</v>
      </c>
      <c r="L715" s="5"/>
      <c r="M715" s="5"/>
      <c r="N715" s="7"/>
      <c r="O715" s="5" t="s">
        <v>554</v>
      </c>
      <c r="P715" s="8">
        <v>44.24</v>
      </c>
      <c r="Q715" s="8">
        <f t="shared" si="18"/>
        <v>9379.6299999999992</v>
      </c>
    </row>
    <row r="716" spans="1:17" x14ac:dyDescent="0.25">
      <c r="A716" s="5"/>
      <c r="B716" s="5"/>
      <c r="C716" s="5"/>
      <c r="D716" s="5"/>
      <c r="E716" s="5"/>
      <c r="F716" s="5"/>
      <c r="G716" s="5"/>
      <c r="H716" s="5" t="s">
        <v>596</v>
      </c>
      <c r="I716" s="6">
        <v>44679</v>
      </c>
      <c r="J716" s="5" t="s">
        <v>636</v>
      </c>
      <c r="K716" s="5" t="s">
        <v>876</v>
      </c>
      <c r="L716" s="5"/>
      <c r="M716" s="5"/>
      <c r="N716" s="7"/>
      <c r="O716" s="5" t="s">
        <v>554</v>
      </c>
      <c r="P716" s="8">
        <v>80</v>
      </c>
      <c r="Q716" s="8">
        <f t="shared" si="18"/>
        <v>9459.6299999999992</v>
      </c>
    </row>
    <row r="717" spans="1:17" x14ac:dyDescent="0.25">
      <c r="A717" s="5"/>
      <c r="B717" s="5"/>
      <c r="C717" s="5"/>
      <c r="D717" s="5"/>
      <c r="E717" s="5"/>
      <c r="F717" s="5"/>
      <c r="G717" s="5"/>
      <c r="H717" s="5" t="s">
        <v>596</v>
      </c>
      <c r="I717" s="6">
        <v>44693</v>
      </c>
      <c r="J717" s="5" t="s">
        <v>637</v>
      </c>
      <c r="K717" s="5" t="s">
        <v>877</v>
      </c>
      <c r="L717" s="5"/>
      <c r="M717" s="5"/>
      <c r="N717" s="7"/>
      <c r="O717" s="5" t="s">
        <v>554</v>
      </c>
      <c r="P717" s="8">
        <v>1600</v>
      </c>
      <c r="Q717" s="8">
        <f t="shared" si="18"/>
        <v>11059.63</v>
      </c>
    </row>
    <row r="718" spans="1:17" x14ac:dyDescent="0.25">
      <c r="A718" s="5"/>
      <c r="B718" s="5"/>
      <c r="C718" s="5"/>
      <c r="D718" s="5"/>
      <c r="E718" s="5"/>
      <c r="F718" s="5"/>
      <c r="G718" s="5"/>
      <c r="H718" s="5" t="s">
        <v>596</v>
      </c>
      <c r="I718" s="6">
        <v>44693</v>
      </c>
      <c r="J718" s="5" t="s">
        <v>637</v>
      </c>
      <c r="K718" s="5" t="s">
        <v>877</v>
      </c>
      <c r="L718" s="5"/>
      <c r="M718" s="5"/>
      <c r="N718" s="7"/>
      <c r="O718" s="5" t="s">
        <v>554</v>
      </c>
      <c r="P718" s="8">
        <v>83.53</v>
      </c>
      <c r="Q718" s="8">
        <f t="shared" si="18"/>
        <v>11143.16</v>
      </c>
    </row>
    <row r="719" spans="1:17" x14ac:dyDescent="0.25">
      <c r="A719" s="5"/>
      <c r="B719" s="5"/>
      <c r="C719" s="5"/>
      <c r="D719" s="5"/>
      <c r="E719" s="5"/>
      <c r="F719" s="5"/>
      <c r="G719" s="5"/>
      <c r="H719" s="5" t="s">
        <v>596</v>
      </c>
      <c r="I719" s="6">
        <v>44693</v>
      </c>
      <c r="J719" s="5" t="s">
        <v>637</v>
      </c>
      <c r="K719" s="5" t="s">
        <v>877</v>
      </c>
      <c r="L719" s="5"/>
      <c r="M719" s="5"/>
      <c r="N719" s="7"/>
      <c r="O719" s="5" t="s">
        <v>554</v>
      </c>
      <c r="P719" s="8">
        <v>35.39</v>
      </c>
      <c r="Q719" s="8">
        <f t="shared" si="18"/>
        <v>11178.55</v>
      </c>
    </row>
    <row r="720" spans="1:17" x14ac:dyDescent="0.25">
      <c r="A720" s="5"/>
      <c r="B720" s="5"/>
      <c r="C720" s="5"/>
      <c r="D720" s="5"/>
      <c r="E720" s="5"/>
      <c r="F720" s="5"/>
      <c r="G720" s="5"/>
      <c r="H720" s="5" t="s">
        <v>596</v>
      </c>
      <c r="I720" s="6">
        <v>44693</v>
      </c>
      <c r="J720" s="5" t="s">
        <v>637</v>
      </c>
      <c r="K720" s="5" t="s">
        <v>877</v>
      </c>
      <c r="L720" s="5"/>
      <c r="M720" s="5"/>
      <c r="N720" s="7"/>
      <c r="O720" s="5" t="s">
        <v>554</v>
      </c>
      <c r="P720" s="8">
        <v>64</v>
      </c>
      <c r="Q720" s="8">
        <f t="shared" si="18"/>
        <v>11242.55</v>
      </c>
    </row>
    <row r="721" spans="1:17" x14ac:dyDescent="0.25">
      <c r="A721" s="5"/>
      <c r="B721" s="5"/>
      <c r="C721" s="5"/>
      <c r="D721" s="5"/>
      <c r="E721" s="5"/>
      <c r="F721" s="5"/>
      <c r="G721" s="5"/>
      <c r="H721" s="5" t="s">
        <v>596</v>
      </c>
      <c r="I721" s="6">
        <v>44693</v>
      </c>
      <c r="J721" s="5" t="s">
        <v>638</v>
      </c>
      <c r="K721" s="5" t="s">
        <v>876</v>
      </c>
      <c r="L721" s="5"/>
      <c r="M721" s="5"/>
      <c r="N721" s="7"/>
      <c r="O721" s="5" t="s">
        <v>554</v>
      </c>
      <c r="P721" s="8">
        <v>2000</v>
      </c>
      <c r="Q721" s="8">
        <f t="shared" si="18"/>
        <v>13242.55</v>
      </c>
    </row>
    <row r="722" spans="1:17" x14ac:dyDescent="0.25">
      <c r="A722" s="5"/>
      <c r="B722" s="5"/>
      <c r="C722" s="5"/>
      <c r="D722" s="5"/>
      <c r="E722" s="5"/>
      <c r="F722" s="5"/>
      <c r="G722" s="5"/>
      <c r="H722" s="5" t="s">
        <v>596</v>
      </c>
      <c r="I722" s="6">
        <v>44693</v>
      </c>
      <c r="J722" s="5" t="s">
        <v>638</v>
      </c>
      <c r="K722" s="5" t="s">
        <v>876</v>
      </c>
      <c r="L722" s="5"/>
      <c r="M722" s="5"/>
      <c r="N722" s="7"/>
      <c r="O722" s="5" t="s">
        <v>554</v>
      </c>
      <c r="P722" s="8">
        <v>106.33</v>
      </c>
      <c r="Q722" s="8">
        <f t="shared" si="18"/>
        <v>13348.88</v>
      </c>
    </row>
    <row r="723" spans="1:17" x14ac:dyDescent="0.25">
      <c r="A723" s="5"/>
      <c r="B723" s="5"/>
      <c r="C723" s="5"/>
      <c r="D723" s="5"/>
      <c r="E723" s="5"/>
      <c r="F723" s="5"/>
      <c r="G723" s="5"/>
      <c r="H723" s="5" t="s">
        <v>596</v>
      </c>
      <c r="I723" s="6">
        <v>44693</v>
      </c>
      <c r="J723" s="5" t="s">
        <v>638</v>
      </c>
      <c r="K723" s="5" t="s">
        <v>876</v>
      </c>
      <c r="L723" s="5"/>
      <c r="M723" s="5"/>
      <c r="N723" s="7"/>
      <c r="O723" s="5" t="s">
        <v>554</v>
      </c>
      <c r="P723" s="8">
        <v>44.24</v>
      </c>
      <c r="Q723" s="8">
        <f t="shared" si="18"/>
        <v>13393.12</v>
      </c>
    </row>
    <row r="724" spans="1:17" x14ac:dyDescent="0.25">
      <c r="A724" s="5"/>
      <c r="B724" s="5"/>
      <c r="C724" s="5"/>
      <c r="D724" s="5"/>
      <c r="E724" s="5"/>
      <c r="F724" s="5"/>
      <c r="G724" s="5"/>
      <c r="H724" s="5" t="s">
        <v>596</v>
      </c>
      <c r="I724" s="6">
        <v>44693</v>
      </c>
      <c r="J724" s="5" t="s">
        <v>638</v>
      </c>
      <c r="K724" s="5" t="s">
        <v>876</v>
      </c>
      <c r="L724" s="5"/>
      <c r="M724" s="5"/>
      <c r="N724" s="7"/>
      <c r="O724" s="5" t="s">
        <v>554</v>
      </c>
      <c r="P724" s="8">
        <v>80</v>
      </c>
      <c r="Q724" s="8">
        <f t="shared" si="18"/>
        <v>13473.12</v>
      </c>
    </row>
    <row r="725" spans="1:17" x14ac:dyDescent="0.25">
      <c r="A725" s="5"/>
      <c r="B725" s="5"/>
      <c r="C725" s="5"/>
      <c r="D725" s="5"/>
      <c r="E725" s="5"/>
      <c r="F725" s="5"/>
      <c r="G725" s="5"/>
      <c r="H725" s="5" t="s">
        <v>596</v>
      </c>
      <c r="I725" s="6">
        <v>44693</v>
      </c>
      <c r="J725" s="5" t="s">
        <v>639</v>
      </c>
      <c r="K725" s="5" t="s">
        <v>878</v>
      </c>
      <c r="L725" s="5"/>
      <c r="M725" s="5"/>
      <c r="N725" s="7"/>
      <c r="O725" s="5" t="s">
        <v>554</v>
      </c>
      <c r="P725" s="8">
        <v>686.25</v>
      </c>
      <c r="Q725" s="8">
        <f t="shared" si="18"/>
        <v>14159.37</v>
      </c>
    </row>
    <row r="726" spans="1:17" x14ac:dyDescent="0.25">
      <c r="A726" s="5"/>
      <c r="B726" s="5"/>
      <c r="C726" s="5"/>
      <c r="D726" s="5"/>
      <c r="E726" s="5"/>
      <c r="F726" s="5"/>
      <c r="G726" s="5"/>
      <c r="H726" s="5" t="s">
        <v>596</v>
      </c>
      <c r="I726" s="6">
        <v>44693</v>
      </c>
      <c r="J726" s="5" t="s">
        <v>639</v>
      </c>
      <c r="K726" s="5" t="s">
        <v>878</v>
      </c>
      <c r="L726" s="5"/>
      <c r="M726" s="5"/>
      <c r="N726" s="7"/>
      <c r="O726" s="5" t="s">
        <v>554</v>
      </c>
      <c r="P726" s="8">
        <v>31.44</v>
      </c>
      <c r="Q726" s="8">
        <f t="shared" si="18"/>
        <v>14190.81</v>
      </c>
    </row>
    <row r="727" spans="1:17" x14ac:dyDescent="0.25">
      <c r="A727" s="5"/>
      <c r="B727" s="5"/>
      <c r="C727" s="5"/>
      <c r="D727" s="5"/>
      <c r="E727" s="5"/>
      <c r="F727" s="5"/>
      <c r="G727" s="5"/>
      <c r="H727" s="5" t="s">
        <v>596</v>
      </c>
      <c r="I727" s="6">
        <v>44693</v>
      </c>
      <c r="J727" s="5" t="s">
        <v>639</v>
      </c>
      <c r="K727" s="5" t="s">
        <v>878</v>
      </c>
      <c r="L727" s="5"/>
      <c r="M727" s="5"/>
      <c r="N727" s="7"/>
      <c r="O727" s="5" t="s">
        <v>554</v>
      </c>
      <c r="P727" s="8">
        <v>15.18</v>
      </c>
      <c r="Q727" s="8">
        <f t="shared" si="18"/>
        <v>14205.99</v>
      </c>
    </row>
    <row r="728" spans="1:17" x14ac:dyDescent="0.25">
      <c r="A728" s="5"/>
      <c r="B728" s="5"/>
      <c r="C728" s="5"/>
      <c r="D728" s="5"/>
      <c r="E728" s="5"/>
      <c r="F728" s="5"/>
      <c r="G728" s="5"/>
      <c r="H728" s="5" t="s">
        <v>596</v>
      </c>
      <c r="I728" s="6">
        <v>44693</v>
      </c>
      <c r="J728" s="5" t="s">
        <v>639</v>
      </c>
      <c r="K728" s="5" t="s">
        <v>878</v>
      </c>
      <c r="L728" s="5"/>
      <c r="M728" s="5"/>
      <c r="N728" s="7"/>
      <c r="O728" s="5" t="s">
        <v>554</v>
      </c>
      <c r="P728" s="8">
        <v>27.45</v>
      </c>
      <c r="Q728" s="8">
        <f t="shared" si="18"/>
        <v>14233.44</v>
      </c>
    </row>
    <row r="729" spans="1:17" x14ac:dyDescent="0.25">
      <c r="A729" s="5"/>
      <c r="B729" s="5"/>
      <c r="C729" s="5"/>
      <c r="D729" s="5"/>
      <c r="E729" s="5"/>
      <c r="F729" s="5"/>
      <c r="G729" s="5"/>
      <c r="H729" s="5" t="s">
        <v>596</v>
      </c>
      <c r="I729" s="6">
        <v>44707</v>
      </c>
      <c r="J729" s="5" t="s">
        <v>640</v>
      </c>
      <c r="K729" s="5" t="s">
        <v>877</v>
      </c>
      <c r="L729" s="5"/>
      <c r="M729" s="5"/>
      <c r="N729" s="7"/>
      <c r="O729" s="5" t="s">
        <v>554</v>
      </c>
      <c r="P729" s="8">
        <v>1600</v>
      </c>
      <c r="Q729" s="8">
        <f t="shared" si="18"/>
        <v>15833.44</v>
      </c>
    </row>
    <row r="730" spans="1:17" x14ac:dyDescent="0.25">
      <c r="A730" s="5"/>
      <c r="B730" s="5"/>
      <c r="C730" s="5"/>
      <c r="D730" s="5"/>
      <c r="E730" s="5"/>
      <c r="F730" s="5"/>
      <c r="G730" s="5"/>
      <c r="H730" s="5" t="s">
        <v>596</v>
      </c>
      <c r="I730" s="6">
        <v>44707</v>
      </c>
      <c r="J730" s="5" t="s">
        <v>640</v>
      </c>
      <c r="K730" s="5" t="s">
        <v>877</v>
      </c>
      <c r="L730" s="5"/>
      <c r="M730" s="5"/>
      <c r="N730" s="7"/>
      <c r="O730" s="5" t="s">
        <v>554</v>
      </c>
      <c r="P730" s="8">
        <v>83.53</v>
      </c>
      <c r="Q730" s="8">
        <f t="shared" si="18"/>
        <v>15916.97</v>
      </c>
    </row>
    <row r="731" spans="1:17" x14ac:dyDescent="0.25">
      <c r="A731" s="5"/>
      <c r="B731" s="5"/>
      <c r="C731" s="5"/>
      <c r="D731" s="5"/>
      <c r="E731" s="5"/>
      <c r="F731" s="5"/>
      <c r="G731" s="5"/>
      <c r="H731" s="5" t="s">
        <v>596</v>
      </c>
      <c r="I731" s="6">
        <v>44707</v>
      </c>
      <c r="J731" s="5" t="s">
        <v>640</v>
      </c>
      <c r="K731" s="5" t="s">
        <v>877</v>
      </c>
      <c r="L731" s="5"/>
      <c r="M731" s="5"/>
      <c r="N731" s="7"/>
      <c r="O731" s="5" t="s">
        <v>554</v>
      </c>
      <c r="P731" s="8">
        <v>35.39</v>
      </c>
      <c r="Q731" s="8">
        <f t="shared" si="18"/>
        <v>15952.36</v>
      </c>
    </row>
    <row r="732" spans="1:17" x14ac:dyDescent="0.25">
      <c r="A732" s="5"/>
      <c r="B732" s="5"/>
      <c r="C732" s="5"/>
      <c r="D732" s="5"/>
      <c r="E732" s="5"/>
      <c r="F732" s="5"/>
      <c r="G732" s="5"/>
      <c r="H732" s="5" t="s">
        <v>596</v>
      </c>
      <c r="I732" s="6">
        <v>44707</v>
      </c>
      <c r="J732" s="5" t="s">
        <v>640</v>
      </c>
      <c r="K732" s="5" t="s">
        <v>877</v>
      </c>
      <c r="L732" s="5"/>
      <c r="M732" s="5"/>
      <c r="N732" s="7"/>
      <c r="O732" s="5" t="s">
        <v>554</v>
      </c>
      <c r="P732" s="8">
        <v>64</v>
      </c>
      <c r="Q732" s="8">
        <f t="shared" si="18"/>
        <v>16016.36</v>
      </c>
    </row>
    <row r="733" spans="1:17" x14ac:dyDescent="0.25">
      <c r="A733" s="5"/>
      <c r="B733" s="5"/>
      <c r="C733" s="5"/>
      <c r="D733" s="5"/>
      <c r="E733" s="5"/>
      <c r="F733" s="5"/>
      <c r="G733" s="5"/>
      <c r="H733" s="5" t="s">
        <v>596</v>
      </c>
      <c r="I733" s="6">
        <v>44707</v>
      </c>
      <c r="J733" s="5" t="s">
        <v>641</v>
      </c>
      <c r="K733" s="5" t="s">
        <v>876</v>
      </c>
      <c r="L733" s="5"/>
      <c r="M733" s="5"/>
      <c r="N733" s="7"/>
      <c r="O733" s="5" t="s">
        <v>554</v>
      </c>
      <c r="P733" s="8">
        <v>2000</v>
      </c>
      <c r="Q733" s="8">
        <f t="shared" si="18"/>
        <v>18016.36</v>
      </c>
    </row>
    <row r="734" spans="1:17" x14ac:dyDescent="0.25">
      <c r="A734" s="5"/>
      <c r="B734" s="5"/>
      <c r="C734" s="5"/>
      <c r="D734" s="5"/>
      <c r="E734" s="5"/>
      <c r="F734" s="5"/>
      <c r="G734" s="5"/>
      <c r="H734" s="5" t="s">
        <v>596</v>
      </c>
      <c r="I734" s="6">
        <v>44707</v>
      </c>
      <c r="J734" s="5" t="s">
        <v>641</v>
      </c>
      <c r="K734" s="5" t="s">
        <v>876</v>
      </c>
      <c r="L734" s="5"/>
      <c r="M734" s="5"/>
      <c r="N734" s="7"/>
      <c r="O734" s="5" t="s">
        <v>554</v>
      </c>
      <c r="P734" s="8">
        <v>106.33</v>
      </c>
      <c r="Q734" s="8">
        <f t="shared" si="18"/>
        <v>18122.689999999999</v>
      </c>
    </row>
    <row r="735" spans="1:17" x14ac:dyDescent="0.25">
      <c r="A735" s="5"/>
      <c r="B735" s="5"/>
      <c r="C735" s="5"/>
      <c r="D735" s="5"/>
      <c r="E735" s="5"/>
      <c r="F735" s="5"/>
      <c r="G735" s="5"/>
      <c r="H735" s="5" t="s">
        <v>596</v>
      </c>
      <c r="I735" s="6">
        <v>44707</v>
      </c>
      <c r="J735" s="5" t="s">
        <v>641</v>
      </c>
      <c r="K735" s="5" t="s">
        <v>876</v>
      </c>
      <c r="L735" s="5"/>
      <c r="M735" s="5"/>
      <c r="N735" s="7"/>
      <c r="O735" s="5" t="s">
        <v>554</v>
      </c>
      <c r="P735" s="8">
        <v>44.24</v>
      </c>
      <c r="Q735" s="8">
        <f t="shared" si="18"/>
        <v>18166.93</v>
      </c>
    </row>
    <row r="736" spans="1:17" x14ac:dyDescent="0.25">
      <c r="A736" s="5"/>
      <c r="B736" s="5"/>
      <c r="C736" s="5"/>
      <c r="D736" s="5"/>
      <c r="E736" s="5"/>
      <c r="F736" s="5"/>
      <c r="G736" s="5"/>
      <c r="H736" s="5" t="s">
        <v>596</v>
      </c>
      <c r="I736" s="6">
        <v>44707</v>
      </c>
      <c r="J736" s="5" t="s">
        <v>641</v>
      </c>
      <c r="K736" s="5" t="s">
        <v>876</v>
      </c>
      <c r="L736" s="5"/>
      <c r="M736" s="5"/>
      <c r="N736" s="7"/>
      <c r="O736" s="5" t="s">
        <v>554</v>
      </c>
      <c r="P736" s="8">
        <v>80</v>
      </c>
      <c r="Q736" s="8">
        <f t="shared" si="18"/>
        <v>18246.93</v>
      </c>
    </row>
    <row r="737" spans="1:17" x14ac:dyDescent="0.25">
      <c r="A737" s="5"/>
      <c r="B737" s="5"/>
      <c r="C737" s="5"/>
      <c r="D737" s="5"/>
      <c r="E737" s="5"/>
      <c r="F737" s="5"/>
      <c r="G737" s="5"/>
      <c r="H737" s="5" t="s">
        <v>596</v>
      </c>
      <c r="I737" s="6">
        <v>44707</v>
      </c>
      <c r="J737" s="5" t="s">
        <v>642</v>
      </c>
      <c r="K737" s="5" t="s">
        <v>878</v>
      </c>
      <c r="L737" s="5"/>
      <c r="M737" s="5"/>
      <c r="N737" s="7"/>
      <c r="O737" s="5" t="s">
        <v>554</v>
      </c>
      <c r="P737" s="8">
        <v>396.5</v>
      </c>
      <c r="Q737" s="8">
        <f t="shared" si="18"/>
        <v>18643.43</v>
      </c>
    </row>
    <row r="738" spans="1:17" x14ac:dyDescent="0.25">
      <c r="A738" s="5"/>
      <c r="B738" s="5"/>
      <c r="C738" s="5"/>
      <c r="D738" s="5"/>
      <c r="E738" s="5"/>
      <c r="F738" s="5"/>
      <c r="G738" s="5"/>
      <c r="H738" s="5" t="s">
        <v>596</v>
      </c>
      <c r="I738" s="6">
        <v>44707</v>
      </c>
      <c r="J738" s="5" t="s">
        <v>642</v>
      </c>
      <c r="K738" s="5" t="s">
        <v>878</v>
      </c>
      <c r="L738" s="5"/>
      <c r="M738" s="5"/>
      <c r="N738" s="7"/>
      <c r="O738" s="5" t="s">
        <v>554</v>
      </c>
      <c r="P738" s="8">
        <v>14.93</v>
      </c>
      <c r="Q738" s="8">
        <f t="shared" si="18"/>
        <v>18658.36</v>
      </c>
    </row>
    <row r="739" spans="1:17" x14ac:dyDescent="0.25">
      <c r="A739" s="5"/>
      <c r="B739" s="5"/>
      <c r="C739" s="5"/>
      <c r="D739" s="5"/>
      <c r="E739" s="5"/>
      <c r="F739" s="5"/>
      <c r="G739" s="5"/>
      <c r="H739" s="5" t="s">
        <v>596</v>
      </c>
      <c r="I739" s="6">
        <v>44707</v>
      </c>
      <c r="J739" s="5" t="s">
        <v>642</v>
      </c>
      <c r="K739" s="5" t="s">
        <v>878</v>
      </c>
      <c r="L739" s="5"/>
      <c r="M739" s="5"/>
      <c r="N739" s="7"/>
      <c r="O739" s="5" t="s">
        <v>554</v>
      </c>
      <c r="P739" s="8">
        <v>8.76</v>
      </c>
      <c r="Q739" s="8">
        <f t="shared" si="18"/>
        <v>18667.12</v>
      </c>
    </row>
    <row r="740" spans="1:17" x14ac:dyDescent="0.25">
      <c r="A740" s="5"/>
      <c r="B740" s="5"/>
      <c r="C740" s="5"/>
      <c r="D740" s="5"/>
      <c r="E740" s="5"/>
      <c r="F740" s="5"/>
      <c r="G740" s="5"/>
      <c r="H740" s="5" t="s">
        <v>596</v>
      </c>
      <c r="I740" s="6">
        <v>44707</v>
      </c>
      <c r="J740" s="5" t="s">
        <v>642</v>
      </c>
      <c r="K740" s="5" t="s">
        <v>878</v>
      </c>
      <c r="L740" s="5"/>
      <c r="M740" s="5"/>
      <c r="N740" s="7"/>
      <c r="O740" s="5" t="s">
        <v>554</v>
      </c>
      <c r="P740" s="8">
        <v>15.86</v>
      </c>
      <c r="Q740" s="8">
        <f t="shared" si="18"/>
        <v>18682.98</v>
      </c>
    </row>
    <row r="741" spans="1:17" x14ac:dyDescent="0.25">
      <c r="A741" s="5"/>
      <c r="B741" s="5"/>
      <c r="C741" s="5"/>
      <c r="D741" s="5"/>
      <c r="E741" s="5"/>
      <c r="F741" s="5"/>
      <c r="G741" s="5"/>
      <c r="H741" s="5" t="s">
        <v>596</v>
      </c>
      <c r="I741" s="6">
        <v>44721</v>
      </c>
      <c r="J741" s="5" t="s">
        <v>643</v>
      </c>
      <c r="K741" s="5" t="s">
        <v>877</v>
      </c>
      <c r="L741" s="5"/>
      <c r="M741" s="5"/>
      <c r="N741" s="7"/>
      <c r="O741" s="5" t="s">
        <v>554</v>
      </c>
      <c r="P741" s="8">
        <v>1600</v>
      </c>
      <c r="Q741" s="8">
        <f t="shared" si="18"/>
        <v>20282.98</v>
      </c>
    </row>
    <row r="742" spans="1:17" x14ac:dyDescent="0.25">
      <c r="A742" s="5"/>
      <c r="B742" s="5"/>
      <c r="C742" s="5"/>
      <c r="D742" s="5"/>
      <c r="E742" s="5"/>
      <c r="F742" s="5"/>
      <c r="G742" s="5"/>
      <c r="H742" s="5" t="s">
        <v>596</v>
      </c>
      <c r="I742" s="6">
        <v>44721</v>
      </c>
      <c r="J742" s="5" t="s">
        <v>643</v>
      </c>
      <c r="K742" s="5" t="s">
        <v>877</v>
      </c>
      <c r="L742" s="5"/>
      <c r="M742" s="5"/>
      <c r="N742" s="7"/>
      <c r="O742" s="5" t="s">
        <v>554</v>
      </c>
      <c r="P742" s="8">
        <v>83.53</v>
      </c>
      <c r="Q742" s="8">
        <f t="shared" si="18"/>
        <v>20366.509999999998</v>
      </c>
    </row>
    <row r="743" spans="1:17" x14ac:dyDescent="0.25">
      <c r="A743" s="5"/>
      <c r="B743" s="5"/>
      <c r="C743" s="5"/>
      <c r="D743" s="5"/>
      <c r="E743" s="5"/>
      <c r="F743" s="5"/>
      <c r="G743" s="5"/>
      <c r="H743" s="5" t="s">
        <v>596</v>
      </c>
      <c r="I743" s="6">
        <v>44721</v>
      </c>
      <c r="J743" s="5" t="s">
        <v>643</v>
      </c>
      <c r="K743" s="5" t="s">
        <v>877</v>
      </c>
      <c r="L743" s="5"/>
      <c r="M743" s="5"/>
      <c r="N743" s="7"/>
      <c r="O743" s="5" t="s">
        <v>554</v>
      </c>
      <c r="P743" s="8">
        <v>35.39</v>
      </c>
      <c r="Q743" s="8">
        <f t="shared" si="18"/>
        <v>20401.900000000001</v>
      </c>
    </row>
    <row r="744" spans="1:17" x14ac:dyDescent="0.25">
      <c r="A744" s="5"/>
      <c r="B744" s="5"/>
      <c r="C744" s="5"/>
      <c r="D744" s="5"/>
      <c r="E744" s="5"/>
      <c r="F744" s="5"/>
      <c r="G744" s="5"/>
      <c r="H744" s="5" t="s">
        <v>596</v>
      </c>
      <c r="I744" s="6">
        <v>44721</v>
      </c>
      <c r="J744" s="5" t="s">
        <v>643</v>
      </c>
      <c r="K744" s="5" t="s">
        <v>877</v>
      </c>
      <c r="L744" s="5"/>
      <c r="M744" s="5"/>
      <c r="N744" s="7"/>
      <c r="O744" s="5" t="s">
        <v>554</v>
      </c>
      <c r="P744" s="8">
        <v>64</v>
      </c>
      <c r="Q744" s="8">
        <f t="shared" si="18"/>
        <v>20465.900000000001</v>
      </c>
    </row>
    <row r="745" spans="1:17" x14ac:dyDescent="0.25">
      <c r="A745" s="5"/>
      <c r="B745" s="5"/>
      <c r="C745" s="5"/>
      <c r="D745" s="5"/>
      <c r="E745" s="5"/>
      <c r="F745" s="5"/>
      <c r="G745" s="5"/>
      <c r="H745" s="5" t="s">
        <v>596</v>
      </c>
      <c r="I745" s="6">
        <v>44721</v>
      </c>
      <c r="J745" s="5" t="s">
        <v>644</v>
      </c>
      <c r="K745" s="5" t="s">
        <v>876</v>
      </c>
      <c r="L745" s="5"/>
      <c r="M745" s="5"/>
      <c r="N745" s="7"/>
      <c r="O745" s="5" t="s">
        <v>554</v>
      </c>
      <c r="P745" s="8">
        <v>2000</v>
      </c>
      <c r="Q745" s="8">
        <f t="shared" si="18"/>
        <v>22465.9</v>
      </c>
    </row>
    <row r="746" spans="1:17" x14ac:dyDescent="0.25">
      <c r="A746" s="5"/>
      <c r="B746" s="5"/>
      <c r="C746" s="5"/>
      <c r="D746" s="5"/>
      <c r="E746" s="5"/>
      <c r="F746" s="5"/>
      <c r="G746" s="5"/>
      <c r="H746" s="5" t="s">
        <v>596</v>
      </c>
      <c r="I746" s="6">
        <v>44721</v>
      </c>
      <c r="J746" s="5" t="s">
        <v>644</v>
      </c>
      <c r="K746" s="5" t="s">
        <v>876</v>
      </c>
      <c r="L746" s="5"/>
      <c r="M746" s="5"/>
      <c r="N746" s="7"/>
      <c r="O746" s="5" t="s">
        <v>554</v>
      </c>
      <c r="P746" s="8">
        <v>106.33</v>
      </c>
      <c r="Q746" s="8">
        <f t="shared" si="18"/>
        <v>22572.23</v>
      </c>
    </row>
    <row r="747" spans="1:17" x14ac:dyDescent="0.25">
      <c r="A747" s="5"/>
      <c r="B747" s="5"/>
      <c r="C747" s="5"/>
      <c r="D747" s="5"/>
      <c r="E747" s="5"/>
      <c r="F747" s="5"/>
      <c r="G747" s="5"/>
      <c r="H747" s="5" t="s">
        <v>596</v>
      </c>
      <c r="I747" s="6">
        <v>44721</v>
      </c>
      <c r="J747" s="5" t="s">
        <v>644</v>
      </c>
      <c r="K747" s="5" t="s">
        <v>876</v>
      </c>
      <c r="L747" s="5"/>
      <c r="M747" s="5"/>
      <c r="N747" s="7"/>
      <c r="O747" s="5" t="s">
        <v>554</v>
      </c>
      <c r="P747" s="8">
        <v>44.24</v>
      </c>
      <c r="Q747" s="8">
        <f t="shared" si="18"/>
        <v>22616.47</v>
      </c>
    </row>
    <row r="748" spans="1:17" x14ac:dyDescent="0.25">
      <c r="A748" s="5"/>
      <c r="B748" s="5"/>
      <c r="C748" s="5"/>
      <c r="D748" s="5"/>
      <c r="E748" s="5"/>
      <c r="F748" s="5"/>
      <c r="G748" s="5"/>
      <c r="H748" s="5" t="s">
        <v>596</v>
      </c>
      <c r="I748" s="6">
        <v>44721</v>
      </c>
      <c r="J748" s="5" t="s">
        <v>644</v>
      </c>
      <c r="K748" s="5" t="s">
        <v>876</v>
      </c>
      <c r="L748" s="5"/>
      <c r="M748" s="5"/>
      <c r="N748" s="7"/>
      <c r="O748" s="5" t="s">
        <v>554</v>
      </c>
      <c r="P748" s="8">
        <v>80</v>
      </c>
      <c r="Q748" s="8">
        <f t="shared" si="18"/>
        <v>22696.47</v>
      </c>
    </row>
    <row r="749" spans="1:17" x14ac:dyDescent="0.25">
      <c r="A749" s="5"/>
      <c r="B749" s="5"/>
      <c r="C749" s="5"/>
      <c r="D749" s="5"/>
      <c r="E749" s="5"/>
      <c r="F749" s="5"/>
      <c r="G749" s="5"/>
      <c r="H749" s="5" t="s">
        <v>596</v>
      </c>
      <c r="I749" s="6">
        <v>44721</v>
      </c>
      <c r="J749" s="5" t="s">
        <v>645</v>
      </c>
      <c r="K749" s="5" t="s">
        <v>878</v>
      </c>
      <c r="L749" s="5"/>
      <c r="M749" s="5"/>
      <c r="N749" s="7"/>
      <c r="O749" s="5" t="s">
        <v>554</v>
      </c>
      <c r="P749" s="8">
        <v>411.75</v>
      </c>
      <c r="Q749" s="8">
        <f t="shared" si="18"/>
        <v>23108.22</v>
      </c>
    </row>
    <row r="750" spans="1:17" x14ac:dyDescent="0.25">
      <c r="A750" s="5"/>
      <c r="B750" s="5"/>
      <c r="C750" s="5"/>
      <c r="D750" s="5"/>
      <c r="E750" s="5"/>
      <c r="F750" s="5"/>
      <c r="G750" s="5"/>
      <c r="H750" s="5" t="s">
        <v>596</v>
      </c>
      <c r="I750" s="6">
        <v>44721</v>
      </c>
      <c r="J750" s="5" t="s">
        <v>645</v>
      </c>
      <c r="K750" s="5" t="s">
        <v>878</v>
      </c>
      <c r="L750" s="5"/>
      <c r="M750" s="5"/>
      <c r="N750" s="7"/>
      <c r="O750" s="5" t="s">
        <v>554</v>
      </c>
      <c r="P750" s="8">
        <v>15.8</v>
      </c>
      <c r="Q750" s="8">
        <f t="shared" si="18"/>
        <v>23124.02</v>
      </c>
    </row>
    <row r="751" spans="1:17" x14ac:dyDescent="0.25">
      <c r="A751" s="5"/>
      <c r="B751" s="5"/>
      <c r="C751" s="5"/>
      <c r="D751" s="5"/>
      <c r="E751" s="5"/>
      <c r="F751" s="5"/>
      <c r="G751" s="5"/>
      <c r="H751" s="5" t="s">
        <v>596</v>
      </c>
      <c r="I751" s="6">
        <v>44721</v>
      </c>
      <c r="J751" s="5" t="s">
        <v>645</v>
      </c>
      <c r="K751" s="5" t="s">
        <v>878</v>
      </c>
      <c r="L751" s="5"/>
      <c r="M751" s="5"/>
      <c r="N751" s="7"/>
      <c r="O751" s="5" t="s">
        <v>554</v>
      </c>
      <c r="P751" s="8">
        <v>9.11</v>
      </c>
      <c r="Q751" s="8">
        <f t="shared" si="18"/>
        <v>23133.13</v>
      </c>
    </row>
    <row r="752" spans="1:17" x14ac:dyDescent="0.25">
      <c r="A752" s="5"/>
      <c r="B752" s="5"/>
      <c r="C752" s="5"/>
      <c r="D752" s="5"/>
      <c r="E752" s="5"/>
      <c r="F752" s="5"/>
      <c r="G752" s="5"/>
      <c r="H752" s="5" t="s">
        <v>596</v>
      </c>
      <c r="I752" s="6">
        <v>44721</v>
      </c>
      <c r="J752" s="5" t="s">
        <v>645</v>
      </c>
      <c r="K752" s="5" t="s">
        <v>878</v>
      </c>
      <c r="L752" s="5"/>
      <c r="M752" s="5"/>
      <c r="N752" s="7"/>
      <c r="O752" s="5" t="s">
        <v>554</v>
      </c>
      <c r="P752" s="8">
        <v>16.47</v>
      </c>
      <c r="Q752" s="8">
        <f t="shared" si="18"/>
        <v>23149.599999999999</v>
      </c>
    </row>
    <row r="753" spans="1:17" x14ac:dyDescent="0.25">
      <c r="A753" s="5"/>
      <c r="B753" s="5"/>
      <c r="C753" s="5"/>
      <c r="D753" s="5"/>
      <c r="E753" s="5"/>
      <c r="F753" s="5"/>
      <c r="G753" s="5"/>
      <c r="H753" s="5" t="s">
        <v>596</v>
      </c>
      <c r="I753" s="6">
        <v>44721</v>
      </c>
      <c r="J753" s="5" t="s">
        <v>646</v>
      </c>
      <c r="K753" s="5" t="s">
        <v>879</v>
      </c>
      <c r="L753" s="5"/>
      <c r="M753" s="5"/>
      <c r="N753" s="7"/>
      <c r="O753" s="5" t="s">
        <v>554</v>
      </c>
      <c r="P753" s="8">
        <v>660</v>
      </c>
      <c r="Q753" s="8">
        <f t="shared" si="18"/>
        <v>23809.599999999999</v>
      </c>
    </row>
    <row r="754" spans="1:17" x14ac:dyDescent="0.25">
      <c r="A754" s="5"/>
      <c r="B754" s="5"/>
      <c r="C754" s="5"/>
      <c r="D754" s="5"/>
      <c r="E754" s="5"/>
      <c r="F754" s="5"/>
      <c r="G754" s="5"/>
      <c r="H754" s="5" t="s">
        <v>596</v>
      </c>
      <c r="I754" s="6">
        <v>44721</v>
      </c>
      <c r="J754" s="5" t="s">
        <v>646</v>
      </c>
      <c r="K754" s="5" t="s">
        <v>879</v>
      </c>
      <c r="L754" s="5"/>
      <c r="M754" s="5"/>
      <c r="N754" s="7"/>
      <c r="O754" s="5" t="s">
        <v>554</v>
      </c>
      <c r="P754" s="8">
        <v>29.95</v>
      </c>
      <c r="Q754" s="8">
        <f t="shared" si="18"/>
        <v>23839.55</v>
      </c>
    </row>
    <row r="755" spans="1:17" x14ac:dyDescent="0.25">
      <c r="A755" s="5"/>
      <c r="B755" s="5"/>
      <c r="C755" s="5"/>
      <c r="D755" s="5"/>
      <c r="E755" s="5"/>
      <c r="F755" s="5"/>
      <c r="G755" s="5"/>
      <c r="H755" s="5" t="s">
        <v>596</v>
      </c>
      <c r="I755" s="6">
        <v>44721</v>
      </c>
      <c r="J755" s="5" t="s">
        <v>646</v>
      </c>
      <c r="K755" s="5" t="s">
        <v>879</v>
      </c>
      <c r="L755" s="5"/>
      <c r="M755" s="5"/>
      <c r="N755" s="7"/>
      <c r="O755" s="5" t="s">
        <v>554</v>
      </c>
      <c r="P755" s="8">
        <v>14.6</v>
      </c>
      <c r="Q755" s="8">
        <f t="shared" si="18"/>
        <v>23854.15</v>
      </c>
    </row>
    <row r="756" spans="1:17" x14ac:dyDescent="0.25">
      <c r="A756" s="5"/>
      <c r="B756" s="5"/>
      <c r="C756" s="5"/>
      <c r="D756" s="5"/>
      <c r="E756" s="5"/>
      <c r="F756" s="5"/>
      <c r="G756" s="5"/>
      <c r="H756" s="5" t="s">
        <v>596</v>
      </c>
      <c r="I756" s="6">
        <v>44721</v>
      </c>
      <c r="J756" s="5" t="s">
        <v>646</v>
      </c>
      <c r="K756" s="5" t="s">
        <v>879</v>
      </c>
      <c r="L756" s="5"/>
      <c r="M756" s="5"/>
      <c r="N756" s="7"/>
      <c r="O756" s="5" t="s">
        <v>554</v>
      </c>
      <c r="P756" s="8">
        <v>26.4</v>
      </c>
      <c r="Q756" s="8">
        <f t="shared" si="18"/>
        <v>23880.55</v>
      </c>
    </row>
    <row r="757" spans="1:17" x14ac:dyDescent="0.25">
      <c r="A757" s="5"/>
      <c r="B757" s="5"/>
      <c r="C757" s="5"/>
      <c r="D757" s="5"/>
      <c r="E757" s="5"/>
      <c r="F757" s="5"/>
      <c r="G757" s="5"/>
      <c r="H757" s="5" t="s">
        <v>596</v>
      </c>
      <c r="I757" s="6">
        <v>44735</v>
      </c>
      <c r="J757" s="5" t="s">
        <v>647</v>
      </c>
      <c r="K757" s="5" t="s">
        <v>877</v>
      </c>
      <c r="L757" s="5"/>
      <c r="M757" s="5"/>
      <c r="N757" s="7"/>
      <c r="O757" s="5" t="s">
        <v>554</v>
      </c>
      <c r="P757" s="8">
        <v>1600</v>
      </c>
      <c r="Q757" s="8">
        <f t="shared" si="18"/>
        <v>25480.55</v>
      </c>
    </row>
    <row r="758" spans="1:17" x14ac:dyDescent="0.25">
      <c r="A758" s="5"/>
      <c r="B758" s="5"/>
      <c r="C758" s="5"/>
      <c r="D758" s="5"/>
      <c r="E758" s="5"/>
      <c r="F758" s="5"/>
      <c r="G758" s="5"/>
      <c r="H758" s="5" t="s">
        <v>596</v>
      </c>
      <c r="I758" s="6">
        <v>44735</v>
      </c>
      <c r="J758" s="5" t="s">
        <v>647</v>
      </c>
      <c r="K758" s="5" t="s">
        <v>877</v>
      </c>
      <c r="L758" s="5"/>
      <c r="M758" s="5"/>
      <c r="N758" s="7"/>
      <c r="O758" s="5" t="s">
        <v>554</v>
      </c>
      <c r="P758" s="8">
        <v>83.53</v>
      </c>
      <c r="Q758" s="8">
        <f t="shared" si="18"/>
        <v>25564.080000000002</v>
      </c>
    </row>
    <row r="759" spans="1:17" x14ac:dyDescent="0.25">
      <c r="A759" s="5"/>
      <c r="B759" s="5"/>
      <c r="C759" s="5"/>
      <c r="D759" s="5"/>
      <c r="E759" s="5"/>
      <c r="F759" s="5"/>
      <c r="G759" s="5"/>
      <c r="H759" s="5" t="s">
        <v>596</v>
      </c>
      <c r="I759" s="6">
        <v>44735</v>
      </c>
      <c r="J759" s="5" t="s">
        <v>647</v>
      </c>
      <c r="K759" s="5" t="s">
        <v>877</v>
      </c>
      <c r="L759" s="5"/>
      <c r="M759" s="5"/>
      <c r="N759" s="7"/>
      <c r="O759" s="5" t="s">
        <v>554</v>
      </c>
      <c r="P759" s="8">
        <v>35.39</v>
      </c>
      <c r="Q759" s="8">
        <f t="shared" si="18"/>
        <v>25599.47</v>
      </c>
    </row>
    <row r="760" spans="1:17" x14ac:dyDescent="0.25">
      <c r="A760" s="5"/>
      <c r="B760" s="5"/>
      <c r="C760" s="5"/>
      <c r="D760" s="5"/>
      <c r="E760" s="5"/>
      <c r="F760" s="5"/>
      <c r="G760" s="5"/>
      <c r="H760" s="5" t="s">
        <v>596</v>
      </c>
      <c r="I760" s="6">
        <v>44735</v>
      </c>
      <c r="J760" s="5" t="s">
        <v>647</v>
      </c>
      <c r="K760" s="5" t="s">
        <v>877</v>
      </c>
      <c r="L760" s="5"/>
      <c r="M760" s="5"/>
      <c r="N760" s="7"/>
      <c r="O760" s="5" t="s">
        <v>554</v>
      </c>
      <c r="P760" s="8">
        <v>64</v>
      </c>
      <c r="Q760" s="8">
        <f t="shared" si="18"/>
        <v>25663.47</v>
      </c>
    </row>
    <row r="761" spans="1:17" x14ac:dyDescent="0.25">
      <c r="A761" s="5"/>
      <c r="B761" s="5"/>
      <c r="C761" s="5"/>
      <c r="D761" s="5"/>
      <c r="E761" s="5"/>
      <c r="F761" s="5"/>
      <c r="G761" s="5"/>
      <c r="H761" s="5" t="s">
        <v>596</v>
      </c>
      <c r="I761" s="6">
        <v>44735</v>
      </c>
      <c r="J761" s="5" t="s">
        <v>648</v>
      </c>
      <c r="K761" s="5" t="s">
        <v>876</v>
      </c>
      <c r="L761" s="5"/>
      <c r="M761" s="5"/>
      <c r="N761" s="7"/>
      <c r="O761" s="5" t="s">
        <v>554</v>
      </c>
      <c r="P761" s="8">
        <v>2000</v>
      </c>
      <c r="Q761" s="8">
        <f t="shared" ref="Q761:Q824" si="19">ROUND(Q760+P761,5)</f>
        <v>27663.47</v>
      </c>
    </row>
    <row r="762" spans="1:17" x14ac:dyDescent="0.25">
      <c r="A762" s="5"/>
      <c r="B762" s="5"/>
      <c r="C762" s="5"/>
      <c r="D762" s="5"/>
      <c r="E762" s="5"/>
      <c r="F762" s="5"/>
      <c r="G762" s="5"/>
      <c r="H762" s="5" t="s">
        <v>596</v>
      </c>
      <c r="I762" s="6">
        <v>44735</v>
      </c>
      <c r="J762" s="5" t="s">
        <v>648</v>
      </c>
      <c r="K762" s="5" t="s">
        <v>876</v>
      </c>
      <c r="L762" s="5"/>
      <c r="M762" s="5"/>
      <c r="N762" s="7"/>
      <c r="O762" s="5" t="s">
        <v>554</v>
      </c>
      <c r="P762" s="8">
        <v>106.33</v>
      </c>
      <c r="Q762" s="8">
        <f t="shared" si="19"/>
        <v>27769.8</v>
      </c>
    </row>
    <row r="763" spans="1:17" x14ac:dyDescent="0.25">
      <c r="A763" s="5"/>
      <c r="B763" s="5"/>
      <c r="C763" s="5"/>
      <c r="D763" s="5"/>
      <c r="E763" s="5"/>
      <c r="F763" s="5"/>
      <c r="G763" s="5"/>
      <c r="H763" s="5" t="s">
        <v>596</v>
      </c>
      <c r="I763" s="6">
        <v>44735</v>
      </c>
      <c r="J763" s="5" t="s">
        <v>648</v>
      </c>
      <c r="K763" s="5" t="s">
        <v>876</v>
      </c>
      <c r="L763" s="5"/>
      <c r="M763" s="5"/>
      <c r="N763" s="7"/>
      <c r="O763" s="5" t="s">
        <v>554</v>
      </c>
      <c r="P763" s="8">
        <v>44.24</v>
      </c>
      <c r="Q763" s="8">
        <f t="shared" si="19"/>
        <v>27814.04</v>
      </c>
    </row>
    <row r="764" spans="1:17" x14ac:dyDescent="0.25">
      <c r="A764" s="5"/>
      <c r="B764" s="5"/>
      <c r="C764" s="5"/>
      <c r="D764" s="5"/>
      <c r="E764" s="5"/>
      <c r="F764" s="5"/>
      <c r="G764" s="5"/>
      <c r="H764" s="5" t="s">
        <v>596</v>
      </c>
      <c r="I764" s="6">
        <v>44735</v>
      </c>
      <c r="J764" s="5" t="s">
        <v>648</v>
      </c>
      <c r="K764" s="5" t="s">
        <v>876</v>
      </c>
      <c r="L764" s="5"/>
      <c r="M764" s="5"/>
      <c r="N764" s="7"/>
      <c r="O764" s="5" t="s">
        <v>554</v>
      </c>
      <c r="P764" s="8">
        <v>80</v>
      </c>
      <c r="Q764" s="8">
        <f t="shared" si="19"/>
        <v>27894.04</v>
      </c>
    </row>
    <row r="765" spans="1:17" x14ac:dyDescent="0.25">
      <c r="A765" s="5"/>
      <c r="B765" s="5"/>
      <c r="C765" s="5"/>
      <c r="D765" s="5"/>
      <c r="E765" s="5"/>
      <c r="F765" s="5"/>
      <c r="G765" s="5"/>
      <c r="H765" s="5" t="s">
        <v>596</v>
      </c>
      <c r="I765" s="6">
        <v>44735</v>
      </c>
      <c r="J765" s="5" t="s">
        <v>649</v>
      </c>
      <c r="K765" s="5" t="s">
        <v>878</v>
      </c>
      <c r="L765" s="5"/>
      <c r="M765" s="5"/>
      <c r="N765" s="7"/>
      <c r="O765" s="5" t="s">
        <v>554</v>
      </c>
      <c r="P765" s="8">
        <v>846</v>
      </c>
      <c r="Q765" s="8">
        <f t="shared" si="19"/>
        <v>28740.04</v>
      </c>
    </row>
    <row r="766" spans="1:17" x14ac:dyDescent="0.25">
      <c r="A766" s="5"/>
      <c r="B766" s="5"/>
      <c r="C766" s="5"/>
      <c r="D766" s="5"/>
      <c r="E766" s="5"/>
      <c r="F766" s="5"/>
      <c r="G766" s="5"/>
      <c r="H766" s="5" t="s">
        <v>596</v>
      </c>
      <c r="I766" s="6">
        <v>44735</v>
      </c>
      <c r="J766" s="5" t="s">
        <v>649</v>
      </c>
      <c r="K766" s="5" t="s">
        <v>878</v>
      </c>
      <c r="L766" s="5"/>
      <c r="M766" s="5"/>
      <c r="N766" s="7"/>
      <c r="O766" s="5" t="s">
        <v>554</v>
      </c>
      <c r="P766" s="8">
        <v>40.549999999999997</v>
      </c>
      <c r="Q766" s="8">
        <f t="shared" si="19"/>
        <v>28780.59</v>
      </c>
    </row>
    <row r="767" spans="1:17" x14ac:dyDescent="0.25">
      <c r="A767" s="5"/>
      <c r="B767" s="5"/>
      <c r="C767" s="5"/>
      <c r="D767" s="5"/>
      <c r="E767" s="5"/>
      <c r="F767" s="5"/>
      <c r="G767" s="5"/>
      <c r="H767" s="5" t="s">
        <v>596</v>
      </c>
      <c r="I767" s="6">
        <v>44735</v>
      </c>
      <c r="J767" s="5" t="s">
        <v>649</v>
      </c>
      <c r="K767" s="5" t="s">
        <v>878</v>
      </c>
      <c r="L767" s="5"/>
      <c r="M767" s="5"/>
      <c r="N767" s="7"/>
      <c r="O767" s="5" t="s">
        <v>554</v>
      </c>
      <c r="P767" s="8">
        <v>18.72</v>
      </c>
      <c r="Q767" s="8">
        <f t="shared" si="19"/>
        <v>28799.31</v>
      </c>
    </row>
    <row r="768" spans="1:17" x14ac:dyDescent="0.25">
      <c r="A768" s="5"/>
      <c r="B768" s="5"/>
      <c r="C768" s="5"/>
      <c r="D768" s="5"/>
      <c r="E768" s="5"/>
      <c r="F768" s="5"/>
      <c r="G768" s="5"/>
      <c r="H768" s="5" t="s">
        <v>596</v>
      </c>
      <c r="I768" s="6">
        <v>44735</v>
      </c>
      <c r="J768" s="5" t="s">
        <v>649</v>
      </c>
      <c r="K768" s="5" t="s">
        <v>878</v>
      </c>
      <c r="L768" s="5"/>
      <c r="M768" s="5"/>
      <c r="N768" s="7"/>
      <c r="O768" s="5" t="s">
        <v>554</v>
      </c>
      <c r="P768" s="8">
        <v>33.840000000000003</v>
      </c>
      <c r="Q768" s="8">
        <f t="shared" si="19"/>
        <v>28833.15</v>
      </c>
    </row>
    <row r="769" spans="1:17" x14ac:dyDescent="0.25">
      <c r="A769" s="5"/>
      <c r="B769" s="5"/>
      <c r="C769" s="5"/>
      <c r="D769" s="5"/>
      <c r="E769" s="5"/>
      <c r="F769" s="5"/>
      <c r="G769" s="5"/>
      <c r="H769" s="5" t="s">
        <v>596</v>
      </c>
      <c r="I769" s="6">
        <v>44735</v>
      </c>
      <c r="J769" s="5" t="s">
        <v>650</v>
      </c>
      <c r="K769" s="5" t="s">
        <v>878</v>
      </c>
      <c r="L769" s="5"/>
      <c r="M769" s="5"/>
      <c r="N769" s="7"/>
      <c r="O769" s="5" t="s">
        <v>554</v>
      </c>
      <c r="P769" s="8">
        <v>274.5</v>
      </c>
      <c r="Q769" s="8">
        <f t="shared" si="19"/>
        <v>29107.65</v>
      </c>
    </row>
    <row r="770" spans="1:17" x14ac:dyDescent="0.25">
      <c r="A770" s="5"/>
      <c r="B770" s="5"/>
      <c r="C770" s="5"/>
      <c r="D770" s="5"/>
      <c r="E770" s="5"/>
      <c r="F770" s="5"/>
      <c r="G770" s="5"/>
      <c r="H770" s="5" t="s">
        <v>596</v>
      </c>
      <c r="I770" s="6">
        <v>44735</v>
      </c>
      <c r="J770" s="5" t="s">
        <v>650</v>
      </c>
      <c r="K770" s="5" t="s">
        <v>878</v>
      </c>
      <c r="L770" s="5"/>
      <c r="M770" s="5"/>
      <c r="N770" s="7"/>
      <c r="O770" s="5" t="s">
        <v>554</v>
      </c>
      <c r="P770" s="8">
        <v>7.97</v>
      </c>
      <c r="Q770" s="8">
        <f t="shared" si="19"/>
        <v>29115.62</v>
      </c>
    </row>
    <row r="771" spans="1:17" x14ac:dyDescent="0.25">
      <c r="A771" s="5"/>
      <c r="B771" s="5"/>
      <c r="C771" s="5"/>
      <c r="D771" s="5"/>
      <c r="E771" s="5"/>
      <c r="F771" s="5"/>
      <c r="G771" s="5"/>
      <c r="H771" s="5" t="s">
        <v>596</v>
      </c>
      <c r="I771" s="6">
        <v>44735</v>
      </c>
      <c r="J771" s="5" t="s">
        <v>650</v>
      </c>
      <c r="K771" s="5" t="s">
        <v>878</v>
      </c>
      <c r="L771" s="5"/>
      <c r="M771" s="5"/>
      <c r="N771" s="7"/>
      <c r="O771" s="5" t="s">
        <v>554</v>
      </c>
      <c r="P771" s="8">
        <v>6.08</v>
      </c>
      <c r="Q771" s="8">
        <f t="shared" si="19"/>
        <v>29121.7</v>
      </c>
    </row>
    <row r="772" spans="1:17" x14ac:dyDescent="0.25">
      <c r="A772" s="5"/>
      <c r="B772" s="5"/>
      <c r="C772" s="5"/>
      <c r="D772" s="5"/>
      <c r="E772" s="5"/>
      <c r="F772" s="5"/>
      <c r="G772" s="5"/>
      <c r="H772" s="5" t="s">
        <v>596</v>
      </c>
      <c r="I772" s="6">
        <v>44735</v>
      </c>
      <c r="J772" s="5" t="s">
        <v>650</v>
      </c>
      <c r="K772" s="5" t="s">
        <v>878</v>
      </c>
      <c r="L772" s="5"/>
      <c r="M772" s="5"/>
      <c r="N772" s="7"/>
      <c r="O772" s="5" t="s">
        <v>554</v>
      </c>
      <c r="P772" s="8">
        <v>10.98</v>
      </c>
      <c r="Q772" s="8">
        <f t="shared" si="19"/>
        <v>29132.68</v>
      </c>
    </row>
    <row r="773" spans="1:17" x14ac:dyDescent="0.25">
      <c r="A773" s="5"/>
      <c r="B773" s="5"/>
      <c r="C773" s="5"/>
      <c r="D773" s="5"/>
      <c r="E773" s="5"/>
      <c r="F773" s="5"/>
      <c r="G773" s="5"/>
      <c r="H773" s="5" t="s">
        <v>596</v>
      </c>
      <c r="I773" s="6">
        <v>44736</v>
      </c>
      <c r="J773" s="5" t="s">
        <v>651</v>
      </c>
      <c r="K773" s="5" t="s">
        <v>880</v>
      </c>
      <c r="L773" s="5"/>
      <c r="M773" s="5"/>
      <c r="N773" s="7"/>
      <c r="O773" s="5" t="s">
        <v>554</v>
      </c>
      <c r="P773" s="8">
        <v>384</v>
      </c>
      <c r="Q773" s="8">
        <f t="shared" si="19"/>
        <v>29516.68</v>
      </c>
    </row>
    <row r="774" spans="1:17" x14ac:dyDescent="0.25">
      <c r="A774" s="5"/>
      <c r="B774" s="5"/>
      <c r="C774" s="5"/>
      <c r="D774" s="5"/>
      <c r="E774" s="5"/>
      <c r="F774" s="5"/>
      <c r="G774" s="5"/>
      <c r="H774" s="5" t="s">
        <v>596</v>
      </c>
      <c r="I774" s="6">
        <v>44736</v>
      </c>
      <c r="J774" s="5" t="s">
        <v>651</v>
      </c>
      <c r="K774" s="5" t="s">
        <v>880</v>
      </c>
      <c r="L774" s="5"/>
      <c r="M774" s="5"/>
      <c r="N774" s="7"/>
      <c r="O774" s="5" t="s">
        <v>554</v>
      </c>
      <c r="P774" s="8">
        <v>0</v>
      </c>
      <c r="Q774" s="8">
        <f t="shared" si="19"/>
        <v>29516.68</v>
      </c>
    </row>
    <row r="775" spans="1:17" x14ac:dyDescent="0.25">
      <c r="A775" s="5"/>
      <c r="B775" s="5"/>
      <c r="C775" s="5"/>
      <c r="D775" s="5"/>
      <c r="E775" s="5"/>
      <c r="F775" s="5"/>
      <c r="G775" s="5"/>
      <c r="H775" s="5" t="s">
        <v>596</v>
      </c>
      <c r="I775" s="6">
        <v>44736</v>
      </c>
      <c r="J775" s="5" t="s">
        <v>651</v>
      </c>
      <c r="K775" s="5" t="s">
        <v>880</v>
      </c>
      <c r="L775" s="5"/>
      <c r="M775" s="5"/>
      <c r="N775" s="7"/>
      <c r="O775" s="5" t="s">
        <v>554</v>
      </c>
      <c r="P775" s="8">
        <v>8.5</v>
      </c>
      <c r="Q775" s="8">
        <f t="shared" si="19"/>
        <v>29525.18</v>
      </c>
    </row>
    <row r="776" spans="1:17" x14ac:dyDescent="0.25">
      <c r="A776" s="5"/>
      <c r="B776" s="5"/>
      <c r="C776" s="5"/>
      <c r="D776" s="5"/>
      <c r="E776" s="5"/>
      <c r="F776" s="5"/>
      <c r="G776" s="5"/>
      <c r="H776" s="5" t="s">
        <v>596</v>
      </c>
      <c r="I776" s="6">
        <v>44736</v>
      </c>
      <c r="J776" s="5" t="s">
        <v>651</v>
      </c>
      <c r="K776" s="5" t="s">
        <v>880</v>
      </c>
      <c r="L776" s="5"/>
      <c r="M776" s="5"/>
      <c r="N776" s="7"/>
      <c r="O776" s="5" t="s">
        <v>554</v>
      </c>
      <c r="P776" s="8">
        <v>0</v>
      </c>
      <c r="Q776" s="8">
        <f t="shared" si="19"/>
        <v>29525.18</v>
      </c>
    </row>
    <row r="777" spans="1:17" x14ac:dyDescent="0.25">
      <c r="A777" s="5"/>
      <c r="B777" s="5"/>
      <c r="C777" s="5"/>
      <c r="D777" s="5"/>
      <c r="E777" s="5"/>
      <c r="F777" s="5"/>
      <c r="G777" s="5"/>
      <c r="H777" s="5" t="s">
        <v>596</v>
      </c>
      <c r="I777" s="6">
        <v>44749</v>
      </c>
      <c r="J777" s="5" t="s">
        <v>652</v>
      </c>
      <c r="K777" s="5" t="s">
        <v>877</v>
      </c>
      <c r="L777" s="5"/>
      <c r="M777" s="5"/>
      <c r="N777" s="7"/>
      <c r="O777" s="5" t="s">
        <v>554</v>
      </c>
      <c r="P777" s="8">
        <v>1600</v>
      </c>
      <c r="Q777" s="8">
        <f t="shared" si="19"/>
        <v>31125.18</v>
      </c>
    </row>
    <row r="778" spans="1:17" x14ac:dyDescent="0.25">
      <c r="A778" s="5"/>
      <c r="B778" s="5"/>
      <c r="C778" s="5"/>
      <c r="D778" s="5"/>
      <c r="E778" s="5"/>
      <c r="F778" s="5"/>
      <c r="G778" s="5"/>
      <c r="H778" s="5" t="s">
        <v>596</v>
      </c>
      <c r="I778" s="6">
        <v>44749</v>
      </c>
      <c r="J778" s="5" t="s">
        <v>652</v>
      </c>
      <c r="K778" s="5" t="s">
        <v>877</v>
      </c>
      <c r="L778" s="5"/>
      <c r="M778" s="5"/>
      <c r="N778" s="7"/>
      <c r="O778" s="5" t="s">
        <v>554</v>
      </c>
      <c r="P778" s="8">
        <v>83.53</v>
      </c>
      <c r="Q778" s="8">
        <f t="shared" si="19"/>
        <v>31208.71</v>
      </c>
    </row>
    <row r="779" spans="1:17" x14ac:dyDescent="0.25">
      <c r="A779" s="5"/>
      <c r="B779" s="5"/>
      <c r="C779" s="5"/>
      <c r="D779" s="5"/>
      <c r="E779" s="5"/>
      <c r="F779" s="5"/>
      <c r="G779" s="5"/>
      <c r="H779" s="5" t="s">
        <v>596</v>
      </c>
      <c r="I779" s="6">
        <v>44749</v>
      </c>
      <c r="J779" s="5" t="s">
        <v>652</v>
      </c>
      <c r="K779" s="5" t="s">
        <v>877</v>
      </c>
      <c r="L779" s="5"/>
      <c r="M779" s="5"/>
      <c r="N779" s="7"/>
      <c r="O779" s="5" t="s">
        <v>554</v>
      </c>
      <c r="P779" s="8">
        <v>35.39</v>
      </c>
      <c r="Q779" s="8">
        <f t="shared" si="19"/>
        <v>31244.1</v>
      </c>
    </row>
    <row r="780" spans="1:17" x14ac:dyDescent="0.25">
      <c r="A780" s="5"/>
      <c r="B780" s="5"/>
      <c r="C780" s="5"/>
      <c r="D780" s="5"/>
      <c r="E780" s="5"/>
      <c r="F780" s="5"/>
      <c r="G780" s="5"/>
      <c r="H780" s="5" t="s">
        <v>596</v>
      </c>
      <c r="I780" s="6">
        <v>44749</v>
      </c>
      <c r="J780" s="5" t="s">
        <v>652</v>
      </c>
      <c r="K780" s="5" t="s">
        <v>877</v>
      </c>
      <c r="L780" s="5"/>
      <c r="M780" s="5"/>
      <c r="N780" s="7"/>
      <c r="O780" s="5" t="s">
        <v>554</v>
      </c>
      <c r="P780" s="8">
        <v>64</v>
      </c>
      <c r="Q780" s="8">
        <f t="shared" si="19"/>
        <v>31308.1</v>
      </c>
    </row>
    <row r="781" spans="1:17" x14ac:dyDescent="0.25">
      <c r="A781" s="5"/>
      <c r="B781" s="5"/>
      <c r="C781" s="5"/>
      <c r="D781" s="5"/>
      <c r="E781" s="5"/>
      <c r="F781" s="5"/>
      <c r="G781" s="5"/>
      <c r="H781" s="5" t="s">
        <v>596</v>
      </c>
      <c r="I781" s="6">
        <v>44749</v>
      </c>
      <c r="J781" s="5" t="s">
        <v>653</v>
      </c>
      <c r="K781" s="5" t="s">
        <v>876</v>
      </c>
      <c r="L781" s="5"/>
      <c r="M781" s="5"/>
      <c r="N781" s="7"/>
      <c r="O781" s="5" t="s">
        <v>554</v>
      </c>
      <c r="P781" s="8">
        <v>2000</v>
      </c>
      <c r="Q781" s="8">
        <f t="shared" si="19"/>
        <v>33308.1</v>
      </c>
    </row>
    <row r="782" spans="1:17" x14ac:dyDescent="0.25">
      <c r="A782" s="5"/>
      <c r="B782" s="5"/>
      <c r="C782" s="5"/>
      <c r="D782" s="5"/>
      <c r="E782" s="5"/>
      <c r="F782" s="5"/>
      <c r="G782" s="5"/>
      <c r="H782" s="5" t="s">
        <v>596</v>
      </c>
      <c r="I782" s="6">
        <v>44749</v>
      </c>
      <c r="J782" s="5" t="s">
        <v>653</v>
      </c>
      <c r="K782" s="5" t="s">
        <v>876</v>
      </c>
      <c r="L782" s="5"/>
      <c r="M782" s="5"/>
      <c r="N782" s="7"/>
      <c r="O782" s="5" t="s">
        <v>554</v>
      </c>
      <c r="P782" s="8">
        <v>106.33</v>
      </c>
      <c r="Q782" s="8">
        <f t="shared" si="19"/>
        <v>33414.43</v>
      </c>
    </row>
    <row r="783" spans="1:17" x14ac:dyDescent="0.25">
      <c r="A783" s="5"/>
      <c r="B783" s="5"/>
      <c r="C783" s="5"/>
      <c r="D783" s="5"/>
      <c r="E783" s="5"/>
      <c r="F783" s="5"/>
      <c r="G783" s="5"/>
      <c r="H783" s="5" t="s">
        <v>596</v>
      </c>
      <c r="I783" s="6">
        <v>44749</v>
      </c>
      <c r="J783" s="5" t="s">
        <v>653</v>
      </c>
      <c r="K783" s="5" t="s">
        <v>876</v>
      </c>
      <c r="L783" s="5"/>
      <c r="M783" s="5"/>
      <c r="N783" s="7"/>
      <c r="O783" s="5" t="s">
        <v>554</v>
      </c>
      <c r="P783" s="8">
        <v>44.24</v>
      </c>
      <c r="Q783" s="8">
        <f t="shared" si="19"/>
        <v>33458.67</v>
      </c>
    </row>
    <row r="784" spans="1:17" x14ac:dyDescent="0.25">
      <c r="A784" s="5"/>
      <c r="B784" s="5"/>
      <c r="C784" s="5"/>
      <c r="D784" s="5"/>
      <c r="E784" s="5"/>
      <c r="F784" s="5"/>
      <c r="G784" s="5"/>
      <c r="H784" s="5" t="s">
        <v>596</v>
      </c>
      <c r="I784" s="6">
        <v>44749</v>
      </c>
      <c r="J784" s="5" t="s">
        <v>653</v>
      </c>
      <c r="K784" s="5" t="s">
        <v>876</v>
      </c>
      <c r="L784" s="5"/>
      <c r="M784" s="5"/>
      <c r="N784" s="7"/>
      <c r="O784" s="5" t="s">
        <v>554</v>
      </c>
      <c r="P784" s="8">
        <v>80</v>
      </c>
      <c r="Q784" s="8">
        <f t="shared" si="19"/>
        <v>33538.67</v>
      </c>
    </row>
    <row r="785" spans="1:17" x14ac:dyDescent="0.25">
      <c r="A785" s="5"/>
      <c r="B785" s="5"/>
      <c r="C785" s="5"/>
      <c r="D785" s="5"/>
      <c r="E785" s="5"/>
      <c r="F785" s="5"/>
      <c r="G785" s="5"/>
      <c r="H785" s="5" t="s">
        <v>596</v>
      </c>
      <c r="I785" s="6">
        <v>44749</v>
      </c>
      <c r="J785" s="5" t="s">
        <v>654</v>
      </c>
      <c r="K785" s="5" t="s">
        <v>881</v>
      </c>
      <c r="L785" s="5"/>
      <c r="M785" s="5"/>
      <c r="N785" s="7"/>
      <c r="O785" s="5" t="s">
        <v>554</v>
      </c>
      <c r="P785" s="8">
        <v>1400</v>
      </c>
      <c r="Q785" s="8">
        <f t="shared" si="19"/>
        <v>34938.67</v>
      </c>
    </row>
    <row r="786" spans="1:17" x14ac:dyDescent="0.25">
      <c r="A786" s="5"/>
      <c r="B786" s="5"/>
      <c r="C786" s="5"/>
      <c r="D786" s="5"/>
      <c r="E786" s="5"/>
      <c r="F786" s="5"/>
      <c r="G786" s="5"/>
      <c r="H786" s="5" t="s">
        <v>596</v>
      </c>
      <c r="I786" s="6">
        <v>44749</v>
      </c>
      <c r="J786" s="5" t="s">
        <v>654</v>
      </c>
      <c r="K786" s="5" t="s">
        <v>881</v>
      </c>
      <c r="L786" s="5"/>
      <c r="M786" s="5"/>
      <c r="N786" s="7"/>
      <c r="O786" s="5" t="s">
        <v>554</v>
      </c>
      <c r="P786" s="8">
        <v>72.13</v>
      </c>
      <c r="Q786" s="8">
        <f t="shared" si="19"/>
        <v>35010.800000000003</v>
      </c>
    </row>
    <row r="787" spans="1:17" x14ac:dyDescent="0.25">
      <c r="A787" s="5"/>
      <c r="B787" s="5"/>
      <c r="C787" s="5"/>
      <c r="D787" s="5"/>
      <c r="E787" s="5"/>
      <c r="F787" s="5"/>
      <c r="G787" s="5"/>
      <c r="H787" s="5" t="s">
        <v>596</v>
      </c>
      <c r="I787" s="6">
        <v>44749</v>
      </c>
      <c r="J787" s="5" t="s">
        <v>654</v>
      </c>
      <c r="K787" s="5" t="s">
        <v>881</v>
      </c>
      <c r="L787" s="5"/>
      <c r="M787" s="5"/>
      <c r="N787" s="7"/>
      <c r="O787" s="5" t="s">
        <v>554</v>
      </c>
      <c r="P787" s="8">
        <v>30.97</v>
      </c>
      <c r="Q787" s="8">
        <f t="shared" si="19"/>
        <v>35041.769999999997</v>
      </c>
    </row>
    <row r="788" spans="1:17" x14ac:dyDescent="0.25">
      <c r="A788" s="5"/>
      <c r="B788" s="5"/>
      <c r="C788" s="5"/>
      <c r="D788" s="5"/>
      <c r="E788" s="5"/>
      <c r="F788" s="5"/>
      <c r="G788" s="5"/>
      <c r="H788" s="5" t="s">
        <v>596</v>
      </c>
      <c r="I788" s="6">
        <v>44749</v>
      </c>
      <c r="J788" s="5" t="s">
        <v>654</v>
      </c>
      <c r="K788" s="5" t="s">
        <v>881</v>
      </c>
      <c r="L788" s="5"/>
      <c r="M788" s="5"/>
      <c r="N788" s="7"/>
      <c r="O788" s="5" t="s">
        <v>554</v>
      </c>
      <c r="P788" s="8">
        <v>0</v>
      </c>
      <c r="Q788" s="8">
        <f t="shared" si="19"/>
        <v>35041.769999999997</v>
      </c>
    </row>
    <row r="789" spans="1:17" x14ac:dyDescent="0.25">
      <c r="A789" s="5"/>
      <c r="B789" s="5"/>
      <c r="C789" s="5"/>
      <c r="D789" s="5"/>
      <c r="E789" s="5"/>
      <c r="F789" s="5"/>
      <c r="G789" s="5"/>
      <c r="H789" s="5" t="s">
        <v>596</v>
      </c>
      <c r="I789" s="6">
        <v>44749</v>
      </c>
      <c r="J789" s="5" t="s">
        <v>655</v>
      </c>
      <c r="K789" s="5" t="s">
        <v>880</v>
      </c>
      <c r="L789" s="5"/>
      <c r="M789" s="5"/>
      <c r="N789" s="7"/>
      <c r="O789" s="5" t="s">
        <v>554</v>
      </c>
      <c r="P789" s="8">
        <v>384</v>
      </c>
      <c r="Q789" s="8">
        <f t="shared" si="19"/>
        <v>35425.769999999997</v>
      </c>
    </row>
    <row r="790" spans="1:17" x14ac:dyDescent="0.25">
      <c r="A790" s="5"/>
      <c r="B790" s="5"/>
      <c r="C790" s="5"/>
      <c r="D790" s="5"/>
      <c r="E790" s="5"/>
      <c r="F790" s="5"/>
      <c r="G790" s="5"/>
      <c r="H790" s="5" t="s">
        <v>596</v>
      </c>
      <c r="I790" s="6">
        <v>44749</v>
      </c>
      <c r="J790" s="5" t="s">
        <v>655</v>
      </c>
      <c r="K790" s="5" t="s">
        <v>880</v>
      </c>
      <c r="L790" s="5"/>
      <c r="M790" s="5"/>
      <c r="N790" s="7"/>
      <c r="O790" s="5" t="s">
        <v>554</v>
      </c>
      <c r="P790" s="8">
        <v>0</v>
      </c>
      <c r="Q790" s="8">
        <f t="shared" si="19"/>
        <v>35425.769999999997</v>
      </c>
    </row>
    <row r="791" spans="1:17" x14ac:dyDescent="0.25">
      <c r="A791" s="5"/>
      <c r="B791" s="5"/>
      <c r="C791" s="5"/>
      <c r="D791" s="5"/>
      <c r="E791" s="5"/>
      <c r="F791" s="5"/>
      <c r="G791" s="5"/>
      <c r="H791" s="5" t="s">
        <v>596</v>
      </c>
      <c r="I791" s="6">
        <v>44749</v>
      </c>
      <c r="J791" s="5" t="s">
        <v>655</v>
      </c>
      <c r="K791" s="5" t="s">
        <v>880</v>
      </c>
      <c r="L791" s="5"/>
      <c r="M791" s="5"/>
      <c r="N791" s="7"/>
      <c r="O791" s="5" t="s">
        <v>554</v>
      </c>
      <c r="P791" s="8">
        <v>8.5</v>
      </c>
      <c r="Q791" s="8">
        <f t="shared" si="19"/>
        <v>35434.269999999997</v>
      </c>
    </row>
    <row r="792" spans="1:17" x14ac:dyDescent="0.25">
      <c r="A792" s="5"/>
      <c r="B792" s="5"/>
      <c r="C792" s="5"/>
      <c r="D792" s="5"/>
      <c r="E792" s="5"/>
      <c r="F792" s="5"/>
      <c r="G792" s="5"/>
      <c r="H792" s="5" t="s">
        <v>596</v>
      </c>
      <c r="I792" s="6">
        <v>44749</v>
      </c>
      <c r="J792" s="5" t="s">
        <v>655</v>
      </c>
      <c r="K792" s="5" t="s">
        <v>880</v>
      </c>
      <c r="L792" s="5"/>
      <c r="M792" s="5"/>
      <c r="N792" s="7"/>
      <c r="O792" s="5" t="s">
        <v>554</v>
      </c>
      <c r="P792" s="8">
        <v>0</v>
      </c>
      <c r="Q792" s="8">
        <f t="shared" si="19"/>
        <v>35434.269999999997</v>
      </c>
    </row>
    <row r="793" spans="1:17" x14ac:dyDescent="0.25">
      <c r="A793" s="5"/>
      <c r="B793" s="5"/>
      <c r="C793" s="5"/>
      <c r="D793" s="5"/>
      <c r="E793" s="5"/>
      <c r="F793" s="5"/>
      <c r="G793" s="5"/>
      <c r="H793" s="5" t="s">
        <v>596</v>
      </c>
      <c r="I793" s="6">
        <v>44763</v>
      </c>
      <c r="J793" s="5" t="s">
        <v>656</v>
      </c>
      <c r="K793" s="5" t="s">
        <v>877</v>
      </c>
      <c r="L793" s="5"/>
      <c r="M793" s="5"/>
      <c r="N793" s="7"/>
      <c r="O793" s="5" t="s">
        <v>554</v>
      </c>
      <c r="P793" s="8">
        <v>1600</v>
      </c>
      <c r="Q793" s="8">
        <f t="shared" si="19"/>
        <v>37034.269999999997</v>
      </c>
    </row>
    <row r="794" spans="1:17" x14ac:dyDescent="0.25">
      <c r="A794" s="5"/>
      <c r="B794" s="5"/>
      <c r="C794" s="5"/>
      <c r="D794" s="5"/>
      <c r="E794" s="5"/>
      <c r="F794" s="5"/>
      <c r="G794" s="5"/>
      <c r="H794" s="5" t="s">
        <v>596</v>
      </c>
      <c r="I794" s="6">
        <v>44763</v>
      </c>
      <c r="J794" s="5" t="s">
        <v>656</v>
      </c>
      <c r="K794" s="5" t="s">
        <v>877</v>
      </c>
      <c r="L794" s="5"/>
      <c r="M794" s="5"/>
      <c r="N794" s="7"/>
      <c r="O794" s="5" t="s">
        <v>554</v>
      </c>
      <c r="P794" s="8">
        <v>83.53</v>
      </c>
      <c r="Q794" s="8">
        <f t="shared" si="19"/>
        <v>37117.800000000003</v>
      </c>
    </row>
    <row r="795" spans="1:17" x14ac:dyDescent="0.25">
      <c r="A795" s="5"/>
      <c r="B795" s="5"/>
      <c r="C795" s="5"/>
      <c r="D795" s="5"/>
      <c r="E795" s="5"/>
      <c r="F795" s="5"/>
      <c r="G795" s="5"/>
      <c r="H795" s="5" t="s">
        <v>596</v>
      </c>
      <c r="I795" s="6">
        <v>44763</v>
      </c>
      <c r="J795" s="5" t="s">
        <v>656</v>
      </c>
      <c r="K795" s="5" t="s">
        <v>877</v>
      </c>
      <c r="L795" s="5"/>
      <c r="M795" s="5"/>
      <c r="N795" s="7"/>
      <c r="O795" s="5" t="s">
        <v>554</v>
      </c>
      <c r="P795" s="8">
        <v>35.39</v>
      </c>
      <c r="Q795" s="8">
        <f t="shared" si="19"/>
        <v>37153.19</v>
      </c>
    </row>
    <row r="796" spans="1:17" x14ac:dyDescent="0.25">
      <c r="A796" s="5"/>
      <c r="B796" s="5"/>
      <c r="C796" s="5"/>
      <c r="D796" s="5"/>
      <c r="E796" s="5"/>
      <c r="F796" s="5"/>
      <c r="G796" s="5"/>
      <c r="H796" s="5" t="s">
        <v>596</v>
      </c>
      <c r="I796" s="6">
        <v>44763</v>
      </c>
      <c r="J796" s="5" t="s">
        <v>656</v>
      </c>
      <c r="K796" s="5" t="s">
        <v>877</v>
      </c>
      <c r="L796" s="5"/>
      <c r="M796" s="5"/>
      <c r="N796" s="7"/>
      <c r="O796" s="5" t="s">
        <v>554</v>
      </c>
      <c r="P796" s="8">
        <v>64</v>
      </c>
      <c r="Q796" s="8">
        <f t="shared" si="19"/>
        <v>37217.19</v>
      </c>
    </row>
    <row r="797" spans="1:17" x14ac:dyDescent="0.25">
      <c r="A797" s="5"/>
      <c r="B797" s="5"/>
      <c r="C797" s="5"/>
      <c r="D797" s="5"/>
      <c r="E797" s="5"/>
      <c r="F797" s="5"/>
      <c r="G797" s="5"/>
      <c r="H797" s="5" t="s">
        <v>596</v>
      </c>
      <c r="I797" s="6">
        <v>44763</v>
      </c>
      <c r="J797" s="5" t="s">
        <v>657</v>
      </c>
      <c r="K797" s="5" t="s">
        <v>876</v>
      </c>
      <c r="L797" s="5"/>
      <c r="M797" s="5"/>
      <c r="N797" s="7"/>
      <c r="O797" s="5" t="s">
        <v>554</v>
      </c>
      <c r="P797" s="8">
        <v>2000</v>
      </c>
      <c r="Q797" s="8">
        <f t="shared" si="19"/>
        <v>39217.19</v>
      </c>
    </row>
    <row r="798" spans="1:17" x14ac:dyDescent="0.25">
      <c r="A798" s="5"/>
      <c r="B798" s="5"/>
      <c r="C798" s="5"/>
      <c r="D798" s="5"/>
      <c r="E798" s="5"/>
      <c r="F798" s="5"/>
      <c r="G798" s="5"/>
      <c r="H798" s="5" t="s">
        <v>596</v>
      </c>
      <c r="I798" s="6">
        <v>44763</v>
      </c>
      <c r="J798" s="5" t="s">
        <v>657</v>
      </c>
      <c r="K798" s="5" t="s">
        <v>876</v>
      </c>
      <c r="L798" s="5"/>
      <c r="M798" s="5"/>
      <c r="N798" s="7"/>
      <c r="O798" s="5" t="s">
        <v>554</v>
      </c>
      <c r="P798" s="8">
        <v>106.33</v>
      </c>
      <c r="Q798" s="8">
        <f t="shared" si="19"/>
        <v>39323.519999999997</v>
      </c>
    </row>
    <row r="799" spans="1:17" x14ac:dyDescent="0.25">
      <c r="A799" s="5"/>
      <c r="B799" s="5"/>
      <c r="C799" s="5"/>
      <c r="D799" s="5"/>
      <c r="E799" s="5"/>
      <c r="F799" s="5"/>
      <c r="G799" s="5"/>
      <c r="H799" s="5" t="s">
        <v>596</v>
      </c>
      <c r="I799" s="6">
        <v>44763</v>
      </c>
      <c r="J799" s="5" t="s">
        <v>657</v>
      </c>
      <c r="K799" s="5" t="s">
        <v>876</v>
      </c>
      <c r="L799" s="5"/>
      <c r="M799" s="5"/>
      <c r="N799" s="7"/>
      <c r="O799" s="5" t="s">
        <v>554</v>
      </c>
      <c r="P799" s="8">
        <v>44.24</v>
      </c>
      <c r="Q799" s="8">
        <f t="shared" si="19"/>
        <v>39367.760000000002</v>
      </c>
    </row>
    <row r="800" spans="1:17" x14ac:dyDescent="0.25">
      <c r="A800" s="5"/>
      <c r="B800" s="5"/>
      <c r="C800" s="5"/>
      <c r="D800" s="5"/>
      <c r="E800" s="5"/>
      <c r="F800" s="5"/>
      <c r="G800" s="5"/>
      <c r="H800" s="5" t="s">
        <v>596</v>
      </c>
      <c r="I800" s="6">
        <v>44763</v>
      </c>
      <c r="J800" s="5" t="s">
        <v>657</v>
      </c>
      <c r="K800" s="5" t="s">
        <v>876</v>
      </c>
      <c r="L800" s="5"/>
      <c r="M800" s="5"/>
      <c r="N800" s="7"/>
      <c r="O800" s="5" t="s">
        <v>554</v>
      </c>
      <c r="P800" s="8">
        <v>80</v>
      </c>
      <c r="Q800" s="8">
        <f t="shared" si="19"/>
        <v>39447.760000000002</v>
      </c>
    </row>
    <row r="801" spans="1:17" x14ac:dyDescent="0.25">
      <c r="A801" s="5"/>
      <c r="B801" s="5"/>
      <c r="C801" s="5"/>
      <c r="D801" s="5"/>
      <c r="E801" s="5"/>
      <c r="F801" s="5"/>
      <c r="G801" s="5"/>
      <c r="H801" s="5" t="s">
        <v>596</v>
      </c>
      <c r="I801" s="6">
        <v>44763</v>
      </c>
      <c r="J801" s="5" t="s">
        <v>658</v>
      </c>
      <c r="K801" s="5" t="s">
        <v>881</v>
      </c>
      <c r="L801" s="5"/>
      <c r="M801" s="5"/>
      <c r="N801" s="7"/>
      <c r="O801" s="5" t="s">
        <v>554</v>
      </c>
      <c r="P801" s="8">
        <v>1400</v>
      </c>
      <c r="Q801" s="8">
        <f t="shared" si="19"/>
        <v>40847.760000000002</v>
      </c>
    </row>
    <row r="802" spans="1:17" x14ac:dyDescent="0.25">
      <c r="A802" s="5"/>
      <c r="B802" s="5"/>
      <c r="C802" s="5"/>
      <c r="D802" s="5"/>
      <c r="E802" s="5"/>
      <c r="F802" s="5"/>
      <c r="G802" s="5"/>
      <c r="H802" s="5" t="s">
        <v>596</v>
      </c>
      <c r="I802" s="6">
        <v>44763</v>
      </c>
      <c r="J802" s="5" t="s">
        <v>658</v>
      </c>
      <c r="K802" s="5" t="s">
        <v>881</v>
      </c>
      <c r="L802" s="5"/>
      <c r="M802" s="5"/>
      <c r="N802" s="7"/>
      <c r="O802" s="5" t="s">
        <v>554</v>
      </c>
      <c r="P802" s="8">
        <v>72.13</v>
      </c>
      <c r="Q802" s="8">
        <f t="shared" si="19"/>
        <v>40919.89</v>
      </c>
    </row>
    <row r="803" spans="1:17" x14ac:dyDescent="0.25">
      <c r="A803" s="5"/>
      <c r="B803" s="5"/>
      <c r="C803" s="5"/>
      <c r="D803" s="5"/>
      <c r="E803" s="5"/>
      <c r="F803" s="5"/>
      <c r="G803" s="5"/>
      <c r="H803" s="5" t="s">
        <v>596</v>
      </c>
      <c r="I803" s="6">
        <v>44763</v>
      </c>
      <c r="J803" s="5" t="s">
        <v>658</v>
      </c>
      <c r="K803" s="5" t="s">
        <v>881</v>
      </c>
      <c r="L803" s="5"/>
      <c r="M803" s="5"/>
      <c r="N803" s="7"/>
      <c r="O803" s="5" t="s">
        <v>554</v>
      </c>
      <c r="P803" s="8">
        <v>30.97</v>
      </c>
      <c r="Q803" s="8">
        <f t="shared" si="19"/>
        <v>40950.86</v>
      </c>
    </row>
    <row r="804" spans="1:17" x14ac:dyDescent="0.25">
      <c r="A804" s="5"/>
      <c r="B804" s="5"/>
      <c r="C804" s="5"/>
      <c r="D804" s="5"/>
      <c r="E804" s="5"/>
      <c r="F804" s="5"/>
      <c r="G804" s="5"/>
      <c r="H804" s="5" t="s">
        <v>596</v>
      </c>
      <c r="I804" s="6">
        <v>44763</v>
      </c>
      <c r="J804" s="5" t="s">
        <v>658</v>
      </c>
      <c r="K804" s="5" t="s">
        <v>881</v>
      </c>
      <c r="L804" s="5"/>
      <c r="M804" s="5"/>
      <c r="N804" s="7"/>
      <c r="O804" s="5" t="s">
        <v>554</v>
      </c>
      <c r="P804" s="8">
        <v>0</v>
      </c>
      <c r="Q804" s="8">
        <f t="shared" si="19"/>
        <v>40950.86</v>
      </c>
    </row>
    <row r="805" spans="1:17" x14ac:dyDescent="0.25">
      <c r="A805" s="5"/>
      <c r="B805" s="5"/>
      <c r="C805" s="5"/>
      <c r="D805" s="5"/>
      <c r="E805" s="5"/>
      <c r="F805" s="5"/>
      <c r="G805" s="5"/>
      <c r="H805" s="5" t="s">
        <v>596</v>
      </c>
      <c r="I805" s="6">
        <v>44763</v>
      </c>
      <c r="J805" s="5" t="s">
        <v>659</v>
      </c>
      <c r="K805" s="5" t="s">
        <v>880</v>
      </c>
      <c r="L805" s="5"/>
      <c r="M805" s="5"/>
      <c r="N805" s="7"/>
      <c r="O805" s="5" t="s">
        <v>554</v>
      </c>
      <c r="P805" s="8">
        <v>988</v>
      </c>
      <c r="Q805" s="8">
        <f t="shared" si="19"/>
        <v>41938.86</v>
      </c>
    </row>
    <row r="806" spans="1:17" x14ac:dyDescent="0.25">
      <c r="A806" s="5"/>
      <c r="B806" s="5"/>
      <c r="C806" s="5"/>
      <c r="D806" s="5"/>
      <c r="E806" s="5"/>
      <c r="F806" s="5"/>
      <c r="G806" s="5"/>
      <c r="H806" s="5" t="s">
        <v>596</v>
      </c>
      <c r="I806" s="6">
        <v>44763</v>
      </c>
      <c r="J806" s="5" t="s">
        <v>659</v>
      </c>
      <c r="K806" s="5" t="s">
        <v>880</v>
      </c>
      <c r="L806" s="5"/>
      <c r="M806" s="5"/>
      <c r="N806" s="7"/>
      <c r="O806" s="5" t="s">
        <v>554</v>
      </c>
      <c r="P806" s="8">
        <v>0</v>
      </c>
      <c r="Q806" s="8">
        <f t="shared" si="19"/>
        <v>41938.86</v>
      </c>
    </row>
    <row r="807" spans="1:17" x14ac:dyDescent="0.25">
      <c r="A807" s="5"/>
      <c r="B807" s="5"/>
      <c r="C807" s="5"/>
      <c r="D807" s="5"/>
      <c r="E807" s="5"/>
      <c r="F807" s="5"/>
      <c r="G807" s="5"/>
      <c r="H807" s="5" t="s">
        <v>596</v>
      </c>
      <c r="I807" s="6">
        <v>44763</v>
      </c>
      <c r="J807" s="5" t="s">
        <v>659</v>
      </c>
      <c r="K807" s="5" t="s">
        <v>880</v>
      </c>
      <c r="L807" s="5"/>
      <c r="M807" s="5"/>
      <c r="N807" s="7"/>
      <c r="O807" s="5" t="s">
        <v>554</v>
      </c>
      <c r="P807" s="8">
        <v>21.85</v>
      </c>
      <c r="Q807" s="8">
        <f t="shared" si="19"/>
        <v>41960.71</v>
      </c>
    </row>
    <row r="808" spans="1:17" x14ac:dyDescent="0.25">
      <c r="A808" s="5"/>
      <c r="B808" s="5"/>
      <c r="C808" s="5"/>
      <c r="D808" s="5"/>
      <c r="E808" s="5"/>
      <c r="F808" s="5"/>
      <c r="G808" s="5"/>
      <c r="H808" s="5" t="s">
        <v>596</v>
      </c>
      <c r="I808" s="6">
        <v>44763</v>
      </c>
      <c r="J808" s="5" t="s">
        <v>659</v>
      </c>
      <c r="K808" s="5" t="s">
        <v>880</v>
      </c>
      <c r="L808" s="5"/>
      <c r="M808" s="5"/>
      <c r="N808" s="7"/>
      <c r="O808" s="5" t="s">
        <v>554</v>
      </c>
      <c r="P808" s="8">
        <v>0</v>
      </c>
      <c r="Q808" s="8">
        <f t="shared" si="19"/>
        <v>41960.71</v>
      </c>
    </row>
    <row r="809" spans="1:17" x14ac:dyDescent="0.25">
      <c r="A809" s="5"/>
      <c r="B809" s="5"/>
      <c r="C809" s="5"/>
      <c r="D809" s="5"/>
      <c r="E809" s="5"/>
      <c r="F809" s="5"/>
      <c r="G809" s="5"/>
      <c r="H809" s="5" t="s">
        <v>596</v>
      </c>
      <c r="I809" s="6">
        <v>44768</v>
      </c>
      <c r="J809" s="5" t="s">
        <v>660</v>
      </c>
      <c r="K809" s="5" t="s">
        <v>882</v>
      </c>
      <c r="L809" s="5"/>
      <c r="M809" s="5"/>
      <c r="N809" s="7"/>
      <c r="O809" s="5" t="s">
        <v>554</v>
      </c>
      <c r="P809" s="8">
        <v>1052.25</v>
      </c>
      <c r="Q809" s="8">
        <f t="shared" si="19"/>
        <v>43012.959999999999</v>
      </c>
    </row>
    <row r="810" spans="1:17" x14ac:dyDescent="0.25">
      <c r="A810" s="5"/>
      <c r="B810" s="5"/>
      <c r="C810" s="5"/>
      <c r="D810" s="5"/>
      <c r="E810" s="5"/>
      <c r="F810" s="5"/>
      <c r="G810" s="5"/>
      <c r="H810" s="5" t="s">
        <v>596</v>
      </c>
      <c r="I810" s="6">
        <v>44768</v>
      </c>
      <c r="J810" s="5" t="s">
        <v>660</v>
      </c>
      <c r="K810" s="5" t="s">
        <v>882</v>
      </c>
      <c r="L810" s="5"/>
      <c r="M810" s="5"/>
      <c r="N810" s="7"/>
      <c r="O810" s="5" t="s">
        <v>554</v>
      </c>
      <c r="P810" s="8">
        <v>0</v>
      </c>
      <c r="Q810" s="8">
        <f t="shared" si="19"/>
        <v>43012.959999999999</v>
      </c>
    </row>
    <row r="811" spans="1:17" x14ac:dyDescent="0.25">
      <c r="A811" s="5"/>
      <c r="B811" s="5"/>
      <c r="C811" s="5"/>
      <c r="D811" s="5"/>
      <c r="E811" s="5"/>
      <c r="F811" s="5"/>
      <c r="G811" s="5"/>
      <c r="H811" s="5" t="s">
        <v>596</v>
      </c>
      <c r="I811" s="6">
        <v>44768</v>
      </c>
      <c r="J811" s="5" t="s">
        <v>660</v>
      </c>
      <c r="K811" s="5" t="s">
        <v>882</v>
      </c>
      <c r="L811" s="5"/>
      <c r="M811" s="5"/>
      <c r="N811" s="7"/>
      <c r="O811" s="5" t="s">
        <v>554</v>
      </c>
      <c r="P811" s="8">
        <v>23.28</v>
      </c>
      <c r="Q811" s="8">
        <f t="shared" si="19"/>
        <v>43036.24</v>
      </c>
    </row>
    <row r="812" spans="1:17" x14ac:dyDescent="0.25">
      <c r="A812" s="5"/>
      <c r="B812" s="5"/>
      <c r="C812" s="5"/>
      <c r="D812" s="5"/>
      <c r="E812" s="5"/>
      <c r="F812" s="5"/>
      <c r="G812" s="5"/>
      <c r="H812" s="5" t="s">
        <v>596</v>
      </c>
      <c r="I812" s="6">
        <v>44768</v>
      </c>
      <c r="J812" s="5" t="s">
        <v>660</v>
      </c>
      <c r="K812" s="5" t="s">
        <v>882</v>
      </c>
      <c r="L812" s="5"/>
      <c r="M812" s="5"/>
      <c r="N812" s="7"/>
      <c r="O812" s="5" t="s">
        <v>554</v>
      </c>
      <c r="P812" s="8">
        <v>0</v>
      </c>
      <c r="Q812" s="8">
        <f t="shared" si="19"/>
        <v>43036.24</v>
      </c>
    </row>
    <row r="813" spans="1:17" x14ac:dyDescent="0.25">
      <c r="A813" s="5"/>
      <c r="B813" s="5"/>
      <c r="C813" s="5"/>
      <c r="D813" s="5"/>
      <c r="E813" s="5"/>
      <c r="F813" s="5"/>
      <c r="G813" s="5"/>
      <c r="H813" s="5" t="s">
        <v>596</v>
      </c>
      <c r="I813" s="6">
        <v>44777</v>
      </c>
      <c r="J813" s="5" t="s">
        <v>661</v>
      </c>
      <c r="K813" s="5" t="s">
        <v>877</v>
      </c>
      <c r="L813" s="5"/>
      <c r="M813" s="5"/>
      <c r="N813" s="7"/>
      <c r="O813" s="5" t="s">
        <v>554</v>
      </c>
      <c r="P813" s="8">
        <v>1600</v>
      </c>
      <c r="Q813" s="8">
        <f t="shared" si="19"/>
        <v>44636.24</v>
      </c>
    </row>
    <row r="814" spans="1:17" x14ac:dyDescent="0.25">
      <c r="A814" s="5"/>
      <c r="B814" s="5"/>
      <c r="C814" s="5"/>
      <c r="D814" s="5"/>
      <c r="E814" s="5"/>
      <c r="F814" s="5"/>
      <c r="G814" s="5"/>
      <c r="H814" s="5" t="s">
        <v>596</v>
      </c>
      <c r="I814" s="6">
        <v>44777</v>
      </c>
      <c r="J814" s="5" t="s">
        <v>661</v>
      </c>
      <c r="K814" s="5" t="s">
        <v>877</v>
      </c>
      <c r="L814" s="5"/>
      <c r="M814" s="5"/>
      <c r="N814" s="7"/>
      <c r="O814" s="5" t="s">
        <v>554</v>
      </c>
      <c r="P814" s="8">
        <v>83.53</v>
      </c>
      <c r="Q814" s="8">
        <f t="shared" si="19"/>
        <v>44719.77</v>
      </c>
    </row>
    <row r="815" spans="1:17" x14ac:dyDescent="0.25">
      <c r="A815" s="5"/>
      <c r="B815" s="5"/>
      <c r="C815" s="5"/>
      <c r="D815" s="5"/>
      <c r="E815" s="5"/>
      <c r="F815" s="5"/>
      <c r="G815" s="5"/>
      <c r="H815" s="5" t="s">
        <v>596</v>
      </c>
      <c r="I815" s="6">
        <v>44777</v>
      </c>
      <c r="J815" s="5" t="s">
        <v>661</v>
      </c>
      <c r="K815" s="5" t="s">
        <v>877</v>
      </c>
      <c r="L815" s="5"/>
      <c r="M815" s="5"/>
      <c r="N815" s="7"/>
      <c r="O815" s="5" t="s">
        <v>554</v>
      </c>
      <c r="P815" s="8">
        <v>35.39</v>
      </c>
      <c r="Q815" s="8">
        <f t="shared" si="19"/>
        <v>44755.16</v>
      </c>
    </row>
    <row r="816" spans="1:17" x14ac:dyDescent="0.25">
      <c r="A816" s="5"/>
      <c r="B816" s="5"/>
      <c r="C816" s="5"/>
      <c r="D816" s="5"/>
      <c r="E816" s="5"/>
      <c r="F816" s="5"/>
      <c r="G816" s="5"/>
      <c r="H816" s="5" t="s">
        <v>596</v>
      </c>
      <c r="I816" s="6">
        <v>44777</v>
      </c>
      <c r="J816" s="5" t="s">
        <v>661</v>
      </c>
      <c r="K816" s="5" t="s">
        <v>877</v>
      </c>
      <c r="L816" s="5"/>
      <c r="M816" s="5"/>
      <c r="N816" s="7"/>
      <c r="O816" s="5" t="s">
        <v>554</v>
      </c>
      <c r="P816" s="8">
        <v>64</v>
      </c>
      <c r="Q816" s="8">
        <f t="shared" si="19"/>
        <v>44819.16</v>
      </c>
    </row>
    <row r="817" spans="1:17" x14ac:dyDescent="0.25">
      <c r="A817" s="5"/>
      <c r="B817" s="5"/>
      <c r="C817" s="5"/>
      <c r="D817" s="5"/>
      <c r="E817" s="5"/>
      <c r="F817" s="5"/>
      <c r="G817" s="5"/>
      <c r="H817" s="5" t="s">
        <v>596</v>
      </c>
      <c r="I817" s="6">
        <v>44777</v>
      </c>
      <c r="J817" s="5" t="s">
        <v>662</v>
      </c>
      <c r="K817" s="5" t="s">
        <v>876</v>
      </c>
      <c r="L817" s="5"/>
      <c r="M817" s="5"/>
      <c r="N817" s="7"/>
      <c r="O817" s="5" t="s">
        <v>554</v>
      </c>
      <c r="P817" s="8">
        <v>2000</v>
      </c>
      <c r="Q817" s="8">
        <f t="shared" si="19"/>
        <v>46819.16</v>
      </c>
    </row>
    <row r="818" spans="1:17" x14ac:dyDescent="0.25">
      <c r="A818" s="5"/>
      <c r="B818" s="5"/>
      <c r="C818" s="5"/>
      <c r="D818" s="5"/>
      <c r="E818" s="5"/>
      <c r="F818" s="5"/>
      <c r="G818" s="5"/>
      <c r="H818" s="5" t="s">
        <v>596</v>
      </c>
      <c r="I818" s="6">
        <v>44777</v>
      </c>
      <c r="J818" s="5" t="s">
        <v>662</v>
      </c>
      <c r="K818" s="5" t="s">
        <v>876</v>
      </c>
      <c r="L818" s="5"/>
      <c r="M818" s="5"/>
      <c r="N818" s="7"/>
      <c r="O818" s="5" t="s">
        <v>554</v>
      </c>
      <c r="P818" s="8">
        <v>106.33</v>
      </c>
      <c r="Q818" s="8">
        <f t="shared" si="19"/>
        <v>46925.49</v>
      </c>
    </row>
    <row r="819" spans="1:17" x14ac:dyDescent="0.25">
      <c r="A819" s="5"/>
      <c r="B819" s="5"/>
      <c r="C819" s="5"/>
      <c r="D819" s="5"/>
      <c r="E819" s="5"/>
      <c r="F819" s="5"/>
      <c r="G819" s="5"/>
      <c r="H819" s="5" t="s">
        <v>596</v>
      </c>
      <c r="I819" s="6">
        <v>44777</v>
      </c>
      <c r="J819" s="5" t="s">
        <v>662</v>
      </c>
      <c r="K819" s="5" t="s">
        <v>876</v>
      </c>
      <c r="L819" s="5"/>
      <c r="M819" s="5"/>
      <c r="N819" s="7"/>
      <c r="O819" s="5" t="s">
        <v>554</v>
      </c>
      <c r="P819" s="8">
        <v>44.24</v>
      </c>
      <c r="Q819" s="8">
        <f t="shared" si="19"/>
        <v>46969.73</v>
      </c>
    </row>
    <row r="820" spans="1:17" x14ac:dyDescent="0.25">
      <c r="A820" s="5"/>
      <c r="B820" s="5"/>
      <c r="C820" s="5"/>
      <c r="D820" s="5"/>
      <c r="E820" s="5"/>
      <c r="F820" s="5"/>
      <c r="G820" s="5"/>
      <c r="H820" s="5" t="s">
        <v>596</v>
      </c>
      <c r="I820" s="6">
        <v>44777</v>
      </c>
      <c r="J820" s="5" t="s">
        <v>662</v>
      </c>
      <c r="K820" s="5" t="s">
        <v>876</v>
      </c>
      <c r="L820" s="5"/>
      <c r="M820" s="5"/>
      <c r="N820" s="7"/>
      <c r="O820" s="5" t="s">
        <v>554</v>
      </c>
      <c r="P820" s="8">
        <v>80</v>
      </c>
      <c r="Q820" s="8">
        <f t="shared" si="19"/>
        <v>47049.73</v>
      </c>
    </row>
    <row r="821" spans="1:17" x14ac:dyDescent="0.25">
      <c r="A821" s="5"/>
      <c r="B821" s="5"/>
      <c r="C821" s="5"/>
      <c r="D821" s="5"/>
      <c r="E821" s="5"/>
      <c r="F821" s="5"/>
      <c r="G821" s="5"/>
      <c r="H821" s="5" t="s">
        <v>596</v>
      </c>
      <c r="I821" s="6">
        <v>44777</v>
      </c>
      <c r="J821" s="5" t="s">
        <v>663</v>
      </c>
      <c r="K821" s="5" t="s">
        <v>882</v>
      </c>
      <c r="L821" s="5"/>
      <c r="M821" s="5"/>
      <c r="N821" s="7"/>
      <c r="O821" s="5" t="s">
        <v>554</v>
      </c>
      <c r="P821" s="8">
        <v>686.25</v>
      </c>
      <c r="Q821" s="8">
        <f t="shared" si="19"/>
        <v>47735.98</v>
      </c>
    </row>
    <row r="822" spans="1:17" x14ac:dyDescent="0.25">
      <c r="A822" s="5"/>
      <c r="B822" s="5"/>
      <c r="C822" s="5"/>
      <c r="D822" s="5"/>
      <c r="E822" s="5"/>
      <c r="F822" s="5"/>
      <c r="G822" s="5"/>
      <c r="H822" s="5" t="s">
        <v>596</v>
      </c>
      <c r="I822" s="6">
        <v>44777</v>
      </c>
      <c r="J822" s="5" t="s">
        <v>663</v>
      </c>
      <c r="K822" s="5" t="s">
        <v>882</v>
      </c>
      <c r="L822" s="5"/>
      <c r="M822" s="5"/>
      <c r="N822" s="7"/>
      <c r="O822" s="5" t="s">
        <v>554</v>
      </c>
      <c r="P822" s="8">
        <v>0</v>
      </c>
      <c r="Q822" s="8">
        <f t="shared" si="19"/>
        <v>47735.98</v>
      </c>
    </row>
    <row r="823" spans="1:17" x14ac:dyDescent="0.25">
      <c r="A823" s="5"/>
      <c r="B823" s="5"/>
      <c r="C823" s="5"/>
      <c r="D823" s="5"/>
      <c r="E823" s="5"/>
      <c r="F823" s="5"/>
      <c r="G823" s="5"/>
      <c r="H823" s="5" t="s">
        <v>596</v>
      </c>
      <c r="I823" s="6">
        <v>44777</v>
      </c>
      <c r="J823" s="5" t="s">
        <v>663</v>
      </c>
      <c r="K823" s="5" t="s">
        <v>882</v>
      </c>
      <c r="L823" s="5"/>
      <c r="M823" s="5"/>
      <c r="N823" s="7"/>
      <c r="O823" s="5" t="s">
        <v>554</v>
      </c>
      <c r="P823" s="8">
        <v>15.18</v>
      </c>
      <c r="Q823" s="8">
        <f t="shared" si="19"/>
        <v>47751.16</v>
      </c>
    </row>
    <row r="824" spans="1:17" x14ac:dyDescent="0.25">
      <c r="A824" s="5"/>
      <c r="B824" s="5"/>
      <c r="C824" s="5"/>
      <c r="D824" s="5"/>
      <c r="E824" s="5"/>
      <c r="F824" s="5"/>
      <c r="G824" s="5"/>
      <c r="H824" s="5" t="s">
        <v>596</v>
      </c>
      <c r="I824" s="6">
        <v>44777</v>
      </c>
      <c r="J824" s="5" t="s">
        <v>663</v>
      </c>
      <c r="K824" s="5" t="s">
        <v>882</v>
      </c>
      <c r="L824" s="5"/>
      <c r="M824" s="5"/>
      <c r="N824" s="7"/>
      <c r="O824" s="5" t="s">
        <v>554</v>
      </c>
      <c r="P824" s="8">
        <v>0</v>
      </c>
      <c r="Q824" s="8">
        <f t="shared" si="19"/>
        <v>47751.16</v>
      </c>
    </row>
    <row r="825" spans="1:17" x14ac:dyDescent="0.25">
      <c r="A825" s="5"/>
      <c r="B825" s="5"/>
      <c r="C825" s="5"/>
      <c r="D825" s="5"/>
      <c r="E825" s="5"/>
      <c r="F825" s="5"/>
      <c r="G825" s="5"/>
      <c r="H825" s="5" t="s">
        <v>596</v>
      </c>
      <c r="I825" s="6">
        <v>44777</v>
      </c>
      <c r="J825" s="5" t="s">
        <v>664</v>
      </c>
      <c r="K825" s="5" t="s">
        <v>881</v>
      </c>
      <c r="L825" s="5"/>
      <c r="M825" s="5"/>
      <c r="N825" s="7"/>
      <c r="O825" s="5" t="s">
        <v>554</v>
      </c>
      <c r="P825" s="8">
        <v>1400</v>
      </c>
      <c r="Q825" s="8">
        <f t="shared" ref="Q825:Q888" si="20">ROUND(Q824+P825,5)</f>
        <v>49151.16</v>
      </c>
    </row>
    <row r="826" spans="1:17" x14ac:dyDescent="0.25">
      <c r="A826" s="5"/>
      <c r="B826" s="5"/>
      <c r="C826" s="5"/>
      <c r="D826" s="5"/>
      <c r="E826" s="5"/>
      <c r="F826" s="5"/>
      <c r="G826" s="5"/>
      <c r="H826" s="5" t="s">
        <v>596</v>
      </c>
      <c r="I826" s="6">
        <v>44777</v>
      </c>
      <c r="J826" s="5" t="s">
        <v>664</v>
      </c>
      <c r="K826" s="5" t="s">
        <v>881</v>
      </c>
      <c r="L826" s="5"/>
      <c r="M826" s="5"/>
      <c r="N826" s="7"/>
      <c r="O826" s="5" t="s">
        <v>554</v>
      </c>
      <c r="P826" s="8">
        <v>72.13</v>
      </c>
      <c r="Q826" s="8">
        <f t="shared" si="20"/>
        <v>49223.29</v>
      </c>
    </row>
    <row r="827" spans="1:17" x14ac:dyDescent="0.25">
      <c r="A827" s="5"/>
      <c r="B827" s="5"/>
      <c r="C827" s="5"/>
      <c r="D827" s="5"/>
      <c r="E827" s="5"/>
      <c r="F827" s="5"/>
      <c r="G827" s="5"/>
      <c r="H827" s="5" t="s">
        <v>596</v>
      </c>
      <c r="I827" s="6">
        <v>44777</v>
      </c>
      <c r="J827" s="5" t="s">
        <v>664</v>
      </c>
      <c r="K827" s="5" t="s">
        <v>881</v>
      </c>
      <c r="L827" s="5"/>
      <c r="M827" s="5"/>
      <c r="N827" s="7"/>
      <c r="O827" s="5" t="s">
        <v>554</v>
      </c>
      <c r="P827" s="8">
        <v>30.97</v>
      </c>
      <c r="Q827" s="8">
        <f t="shared" si="20"/>
        <v>49254.26</v>
      </c>
    </row>
    <row r="828" spans="1:17" x14ac:dyDescent="0.25">
      <c r="A828" s="5"/>
      <c r="B828" s="5"/>
      <c r="C828" s="5"/>
      <c r="D828" s="5"/>
      <c r="E828" s="5"/>
      <c r="F828" s="5"/>
      <c r="G828" s="5"/>
      <c r="H828" s="5" t="s">
        <v>596</v>
      </c>
      <c r="I828" s="6">
        <v>44777</v>
      </c>
      <c r="J828" s="5" t="s">
        <v>664</v>
      </c>
      <c r="K828" s="5" t="s">
        <v>881</v>
      </c>
      <c r="L828" s="5"/>
      <c r="M828" s="5"/>
      <c r="N828" s="7"/>
      <c r="O828" s="5" t="s">
        <v>554</v>
      </c>
      <c r="P828" s="8">
        <v>0</v>
      </c>
      <c r="Q828" s="8">
        <f t="shared" si="20"/>
        <v>49254.26</v>
      </c>
    </row>
    <row r="829" spans="1:17" x14ac:dyDescent="0.25">
      <c r="A829" s="5"/>
      <c r="B829" s="5"/>
      <c r="C829" s="5"/>
      <c r="D829" s="5"/>
      <c r="E829" s="5"/>
      <c r="F829" s="5"/>
      <c r="G829" s="5"/>
      <c r="H829" s="5" t="s">
        <v>596</v>
      </c>
      <c r="I829" s="6">
        <v>44777</v>
      </c>
      <c r="J829" s="5" t="s">
        <v>665</v>
      </c>
      <c r="K829" s="5" t="s">
        <v>880</v>
      </c>
      <c r="L829" s="5"/>
      <c r="M829" s="5"/>
      <c r="N829" s="7"/>
      <c r="O829" s="5" t="s">
        <v>554</v>
      </c>
      <c r="P829" s="8">
        <v>960</v>
      </c>
      <c r="Q829" s="8">
        <f t="shared" si="20"/>
        <v>50214.26</v>
      </c>
    </row>
    <row r="830" spans="1:17" x14ac:dyDescent="0.25">
      <c r="A830" s="5"/>
      <c r="B830" s="5"/>
      <c r="C830" s="5"/>
      <c r="D830" s="5"/>
      <c r="E830" s="5"/>
      <c r="F830" s="5"/>
      <c r="G830" s="5"/>
      <c r="H830" s="5" t="s">
        <v>596</v>
      </c>
      <c r="I830" s="6">
        <v>44777</v>
      </c>
      <c r="J830" s="5" t="s">
        <v>665</v>
      </c>
      <c r="K830" s="5" t="s">
        <v>880</v>
      </c>
      <c r="L830" s="5"/>
      <c r="M830" s="5"/>
      <c r="N830" s="7"/>
      <c r="O830" s="5" t="s">
        <v>554</v>
      </c>
      <c r="P830" s="8">
        <v>0</v>
      </c>
      <c r="Q830" s="8">
        <f t="shared" si="20"/>
        <v>50214.26</v>
      </c>
    </row>
    <row r="831" spans="1:17" x14ac:dyDescent="0.25">
      <c r="A831" s="5"/>
      <c r="B831" s="5"/>
      <c r="C831" s="5"/>
      <c r="D831" s="5"/>
      <c r="E831" s="5"/>
      <c r="F831" s="5"/>
      <c r="G831" s="5"/>
      <c r="H831" s="5" t="s">
        <v>596</v>
      </c>
      <c r="I831" s="6">
        <v>44777</v>
      </c>
      <c r="J831" s="5" t="s">
        <v>665</v>
      </c>
      <c r="K831" s="5" t="s">
        <v>880</v>
      </c>
      <c r="L831" s="5"/>
      <c r="M831" s="5"/>
      <c r="N831" s="7"/>
      <c r="O831" s="5" t="s">
        <v>554</v>
      </c>
      <c r="P831" s="8">
        <v>21.24</v>
      </c>
      <c r="Q831" s="8">
        <f t="shared" si="20"/>
        <v>50235.5</v>
      </c>
    </row>
    <row r="832" spans="1:17" x14ac:dyDescent="0.25">
      <c r="A832" s="5"/>
      <c r="B832" s="5"/>
      <c r="C832" s="5"/>
      <c r="D832" s="5"/>
      <c r="E832" s="5"/>
      <c r="F832" s="5"/>
      <c r="G832" s="5"/>
      <c r="H832" s="5" t="s">
        <v>596</v>
      </c>
      <c r="I832" s="6">
        <v>44777</v>
      </c>
      <c r="J832" s="5" t="s">
        <v>665</v>
      </c>
      <c r="K832" s="5" t="s">
        <v>880</v>
      </c>
      <c r="L832" s="5"/>
      <c r="M832" s="5"/>
      <c r="N832" s="7"/>
      <c r="O832" s="5" t="s">
        <v>554</v>
      </c>
      <c r="P832" s="8">
        <v>0</v>
      </c>
      <c r="Q832" s="8">
        <f t="shared" si="20"/>
        <v>50235.5</v>
      </c>
    </row>
    <row r="833" spans="1:17" x14ac:dyDescent="0.25">
      <c r="A833" s="5"/>
      <c r="B833" s="5"/>
      <c r="C833" s="5"/>
      <c r="D833" s="5"/>
      <c r="E833" s="5"/>
      <c r="F833" s="5"/>
      <c r="G833" s="5"/>
      <c r="H833" s="5" t="s">
        <v>596</v>
      </c>
      <c r="I833" s="6">
        <v>44777</v>
      </c>
      <c r="J833" s="5" t="s">
        <v>666</v>
      </c>
      <c r="K833" s="5" t="s">
        <v>883</v>
      </c>
      <c r="L833" s="5"/>
      <c r="M833" s="5"/>
      <c r="N833" s="7"/>
      <c r="O833" s="5" t="s">
        <v>554</v>
      </c>
      <c r="P833" s="8">
        <v>512</v>
      </c>
      <c r="Q833" s="8">
        <f t="shared" si="20"/>
        <v>50747.5</v>
      </c>
    </row>
    <row r="834" spans="1:17" x14ac:dyDescent="0.25">
      <c r="A834" s="5"/>
      <c r="B834" s="5"/>
      <c r="C834" s="5"/>
      <c r="D834" s="5"/>
      <c r="E834" s="5"/>
      <c r="F834" s="5"/>
      <c r="G834" s="5"/>
      <c r="H834" s="5" t="s">
        <v>596</v>
      </c>
      <c r="I834" s="6">
        <v>44777</v>
      </c>
      <c r="J834" s="5" t="s">
        <v>666</v>
      </c>
      <c r="K834" s="5" t="s">
        <v>883</v>
      </c>
      <c r="L834" s="5"/>
      <c r="M834" s="5"/>
      <c r="N834" s="7"/>
      <c r="O834" s="5" t="s">
        <v>554</v>
      </c>
      <c r="P834" s="8">
        <v>21.51</v>
      </c>
      <c r="Q834" s="8">
        <f t="shared" si="20"/>
        <v>50769.01</v>
      </c>
    </row>
    <row r="835" spans="1:17" x14ac:dyDescent="0.25">
      <c r="A835" s="5"/>
      <c r="B835" s="5"/>
      <c r="C835" s="5"/>
      <c r="D835" s="5"/>
      <c r="E835" s="5"/>
      <c r="F835" s="5"/>
      <c r="G835" s="5"/>
      <c r="H835" s="5" t="s">
        <v>596</v>
      </c>
      <c r="I835" s="6">
        <v>44777</v>
      </c>
      <c r="J835" s="5" t="s">
        <v>666</v>
      </c>
      <c r="K835" s="5" t="s">
        <v>883</v>
      </c>
      <c r="L835" s="5"/>
      <c r="M835" s="5"/>
      <c r="N835" s="7"/>
      <c r="O835" s="5" t="s">
        <v>554</v>
      </c>
      <c r="P835" s="8">
        <v>11.33</v>
      </c>
      <c r="Q835" s="8">
        <f t="shared" si="20"/>
        <v>50780.34</v>
      </c>
    </row>
    <row r="836" spans="1:17" x14ac:dyDescent="0.25">
      <c r="A836" s="5"/>
      <c r="B836" s="5"/>
      <c r="C836" s="5"/>
      <c r="D836" s="5"/>
      <c r="E836" s="5"/>
      <c r="F836" s="5"/>
      <c r="G836" s="5"/>
      <c r="H836" s="5" t="s">
        <v>596</v>
      </c>
      <c r="I836" s="6">
        <v>44777</v>
      </c>
      <c r="J836" s="5" t="s">
        <v>666</v>
      </c>
      <c r="K836" s="5" t="s">
        <v>883</v>
      </c>
      <c r="L836" s="5"/>
      <c r="M836" s="5"/>
      <c r="N836" s="7"/>
      <c r="O836" s="5" t="s">
        <v>554</v>
      </c>
      <c r="P836" s="8">
        <v>0</v>
      </c>
      <c r="Q836" s="8">
        <f t="shared" si="20"/>
        <v>50780.34</v>
      </c>
    </row>
    <row r="837" spans="1:17" x14ac:dyDescent="0.25">
      <c r="A837" s="5"/>
      <c r="B837" s="5"/>
      <c r="C837" s="5"/>
      <c r="D837" s="5"/>
      <c r="E837" s="5"/>
      <c r="F837" s="5"/>
      <c r="G837" s="5"/>
      <c r="H837" s="5" t="s">
        <v>596</v>
      </c>
      <c r="I837" s="6">
        <v>44789</v>
      </c>
      <c r="J837" s="5" t="s">
        <v>667</v>
      </c>
      <c r="K837" s="5" t="s">
        <v>884</v>
      </c>
      <c r="L837" s="5"/>
      <c r="M837" s="5"/>
      <c r="N837" s="7"/>
      <c r="O837" s="5" t="s">
        <v>554</v>
      </c>
      <c r="P837" s="8">
        <v>288</v>
      </c>
      <c r="Q837" s="8">
        <f t="shared" si="20"/>
        <v>51068.34</v>
      </c>
    </row>
    <row r="838" spans="1:17" x14ac:dyDescent="0.25">
      <c r="A838" s="5"/>
      <c r="B838" s="5"/>
      <c r="C838" s="5"/>
      <c r="D838" s="5"/>
      <c r="E838" s="5"/>
      <c r="F838" s="5"/>
      <c r="G838" s="5"/>
      <c r="H838" s="5" t="s">
        <v>596</v>
      </c>
      <c r="I838" s="6">
        <v>44789</v>
      </c>
      <c r="J838" s="5" t="s">
        <v>667</v>
      </c>
      <c r="K838" s="5" t="s">
        <v>884</v>
      </c>
      <c r="L838" s="5"/>
      <c r="M838" s="5"/>
      <c r="N838" s="7"/>
      <c r="O838" s="5" t="s">
        <v>554</v>
      </c>
      <c r="P838" s="8">
        <v>8.74</v>
      </c>
      <c r="Q838" s="8">
        <f t="shared" si="20"/>
        <v>51077.08</v>
      </c>
    </row>
    <row r="839" spans="1:17" x14ac:dyDescent="0.25">
      <c r="A839" s="5"/>
      <c r="B839" s="5"/>
      <c r="C839" s="5"/>
      <c r="D839" s="5"/>
      <c r="E839" s="5"/>
      <c r="F839" s="5"/>
      <c r="G839" s="5"/>
      <c r="H839" s="5" t="s">
        <v>596</v>
      </c>
      <c r="I839" s="6">
        <v>44789</v>
      </c>
      <c r="J839" s="5" t="s">
        <v>667</v>
      </c>
      <c r="K839" s="5" t="s">
        <v>884</v>
      </c>
      <c r="L839" s="5"/>
      <c r="M839" s="5"/>
      <c r="N839" s="7"/>
      <c r="O839" s="5" t="s">
        <v>554</v>
      </c>
      <c r="P839" s="8">
        <v>6.37</v>
      </c>
      <c r="Q839" s="8">
        <f t="shared" si="20"/>
        <v>51083.45</v>
      </c>
    </row>
    <row r="840" spans="1:17" x14ac:dyDescent="0.25">
      <c r="A840" s="5"/>
      <c r="B840" s="5"/>
      <c r="C840" s="5"/>
      <c r="D840" s="5"/>
      <c r="E840" s="5"/>
      <c r="F840" s="5"/>
      <c r="G840" s="5"/>
      <c r="H840" s="5" t="s">
        <v>596</v>
      </c>
      <c r="I840" s="6">
        <v>44789</v>
      </c>
      <c r="J840" s="5" t="s">
        <v>667</v>
      </c>
      <c r="K840" s="5" t="s">
        <v>884</v>
      </c>
      <c r="L840" s="5"/>
      <c r="M840" s="5"/>
      <c r="N840" s="7"/>
      <c r="O840" s="5" t="s">
        <v>554</v>
      </c>
      <c r="P840" s="8">
        <v>0</v>
      </c>
      <c r="Q840" s="8">
        <f t="shared" si="20"/>
        <v>51083.45</v>
      </c>
    </row>
    <row r="841" spans="1:17" x14ac:dyDescent="0.25">
      <c r="A841" s="5"/>
      <c r="B841" s="5"/>
      <c r="C841" s="5"/>
      <c r="D841" s="5"/>
      <c r="E841" s="5"/>
      <c r="F841" s="5"/>
      <c r="G841" s="5"/>
      <c r="H841" s="5" t="s">
        <v>596</v>
      </c>
      <c r="I841" s="6">
        <v>44791</v>
      </c>
      <c r="J841" s="5" t="s">
        <v>668</v>
      </c>
      <c r="K841" s="5" t="s">
        <v>877</v>
      </c>
      <c r="L841" s="5"/>
      <c r="M841" s="5"/>
      <c r="N841" s="7"/>
      <c r="O841" s="5" t="s">
        <v>554</v>
      </c>
      <c r="P841" s="8">
        <v>1600</v>
      </c>
      <c r="Q841" s="8">
        <f t="shared" si="20"/>
        <v>52683.45</v>
      </c>
    </row>
    <row r="842" spans="1:17" x14ac:dyDescent="0.25">
      <c r="A842" s="5"/>
      <c r="B842" s="5"/>
      <c r="C842" s="5"/>
      <c r="D842" s="5"/>
      <c r="E842" s="5"/>
      <c r="F842" s="5"/>
      <c r="G842" s="5"/>
      <c r="H842" s="5" t="s">
        <v>596</v>
      </c>
      <c r="I842" s="6">
        <v>44791</v>
      </c>
      <c r="J842" s="5" t="s">
        <v>668</v>
      </c>
      <c r="K842" s="5" t="s">
        <v>877</v>
      </c>
      <c r="L842" s="5"/>
      <c r="M842" s="5"/>
      <c r="N842" s="7"/>
      <c r="O842" s="5" t="s">
        <v>554</v>
      </c>
      <c r="P842" s="8">
        <v>83.53</v>
      </c>
      <c r="Q842" s="8">
        <f t="shared" si="20"/>
        <v>52766.98</v>
      </c>
    </row>
    <row r="843" spans="1:17" x14ac:dyDescent="0.25">
      <c r="A843" s="5"/>
      <c r="B843" s="5"/>
      <c r="C843" s="5"/>
      <c r="D843" s="5"/>
      <c r="E843" s="5"/>
      <c r="F843" s="5"/>
      <c r="G843" s="5"/>
      <c r="H843" s="5" t="s">
        <v>596</v>
      </c>
      <c r="I843" s="6">
        <v>44791</v>
      </c>
      <c r="J843" s="5" t="s">
        <v>668</v>
      </c>
      <c r="K843" s="5" t="s">
        <v>877</v>
      </c>
      <c r="L843" s="5"/>
      <c r="M843" s="5"/>
      <c r="N843" s="7"/>
      <c r="O843" s="5" t="s">
        <v>554</v>
      </c>
      <c r="P843" s="8">
        <v>35.39</v>
      </c>
      <c r="Q843" s="8">
        <f t="shared" si="20"/>
        <v>52802.37</v>
      </c>
    </row>
    <row r="844" spans="1:17" x14ac:dyDescent="0.25">
      <c r="A844" s="5"/>
      <c r="B844" s="5"/>
      <c r="C844" s="5"/>
      <c r="D844" s="5"/>
      <c r="E844" s="5"/>
      <c r="F844" s="5"/>
      <c r="G844" s="5"/>
      <c r="H844" s="5" t="s">
        <v>596</v>
      </c>
      <c r="I844" s="6">
        <v>44791</v>
      </c>
      <c r="J844" s="5" t="s">
        <v>668</v>
      </c>
      <c r="K844" s="5" t="s">
        <v>877</v>
      </c>
      <c r="L844" s="5"/>
      <c r="M844" s="5"/>
      <c r="N844" s="7"/>
      <c r="O844" s="5" t="s">
        <v>554</v>
      </c>
      <c r="P844" s="8">
        <v>64</v>
      </c>
      <c r="Q844" s="8">
        <f t="shared" si="20"/>
        <v>52866.37</v>
      </c>
    </row>
    <row r="845" spans="1:17" x14ac:dyDescent="0.25">
      <c r="A845" s="5"/>
      <c r="B845" s="5"/>
      <c r="C845" s="5"/>
      <c r="D845" s="5"/>
      <c r="E845" s="5"/>
      <c r="F845" s="5"/>
      <c r="G845" s="5"/>
      <c r="H845" s="5" t="s">
        <v>596</v>
      </c>
      <c r="I845" s="6">
        <v>44791</v>
      </c>
      <c r="J845" s="5" t="s">
        <v>669</v>
      </c>
      <c r="K845" s="5" t="s">
        <v>876</v>
      </c>
      <c r="L845" s="5"/>
      <c r="M845" s="5"/>
      <c r="N845" s="7"/>
      <c r="O845" s="5" t="s">
        <v>554</v>
      </c>
      <c r="P845" s="8">
        <v>2000</v>
      </c>
      <c r="Q845" s="8">
        <f t="shared" si="20"/>
        <v>54866.37</v>
      </c>
    </row>
    <row r="846" spans="1:17" x14ac:dyDescent="0.25">
      <c r="A846" s="5"/>
      <c r="B846" s="5"/>
      <c r="C846" s="5"/>
      <c r="D846" s="5"/>
      <c r="E846" s="5"/>
      <c r="F846" s="5"/>
      <c r="G846" s="5"/>
      <c r="H846" s="5" t="s">
        <v>596</v>
      </c>
      <c r="I846" s="6">
        <v>44791</v>
      </c>
      <c r="J846" s="5" t="s">
        <v>669</v>
      </c>
      <c r="K846" s="5" t="s">
        <v>876</v>
      </c>
      <c r="L846" s="5"/>
      <c r="M846" s="5"/>
      <c r="N846" s="7"/>
      <c r="O846" s="5" t="s">
        <v>554</v>
      </c>
      <c r="P846" s="8">
        <v>106.33</v>
      </c>
      <c r="Q846" s="8">
        <f t="shared" si="20"/>
        <v>54972.7</v>
      </c>
    </row>
    <row r="847" spans="1:17" x14ac:dyDescent="0.25">
      <c r="A847" s="5"/>
      <c r="B847" s="5"/>
      <c r="C847" s="5"/>
      <c r="D847" s="5"/>
      <c r="E847" s="5"/>
      <c r="F847" s="5"/>
      <c r="G847" s="5"/>
      <c r="H847" s="5" t="s">
        <v>596</v>
      </c>
      <c r="I847" s="6">
        <v>44791</v>
      </c>
      <c r="J847" s="5" t="s">
        <v>669</v>
      </c>
      <c r="K847" s="5" t="s">
        <v>876</v>
      </c>
      <c r="L847" s="5"/>
      <c r="M847" s="5"/>
      <c r="N847" s="7"/>
      <c r="O847" s="5" t="s">
        <v>554</v>
      </c>
      <c r="P847" s="8">
        <v>44.24</v>
      </c>
      <c r="Q847" s="8">
        <f t="shared" si="20"/>
        <v>55016.94</v>
      </c>
    </row>
    <row r="848" spans="1:17" x14ac:dyDescent="0.25">
      <c r="A848" s="5"/>
      <c r="B848" s="5"/>
      <c r="C848" s="5"/>
      <c r="D848" s="5"/>
      <c r="E848" s="5"/>
      <c r="F848" s="5"/>
      <c r="G848" s="5"/>
      <c r="H848" s="5" t="s">
        <v>596</v>
      </c>
      <c r="I848" s="6">
        <v>44791</v>
      </c>
      <c r="J848" s="5" t="s">
        <v>669</v>
      </c>
      <c r="K848" s="5" t="s">
        <v>876</v>
      </c>
      <c r="L848" s="5"/>
      <c r="M848" s="5"/>
      <c r="N848" s="7"/>
      <c r="O848" s="5" t="s">
        <v>554</v>
      </c>
      <c r="P848" s="8">
        <v>80</v>
      </c>
      <c r="Q848" s="8">
        <f t="shared" si="20"/>
        <v>55096.94</v>
      </c>
    </row>
    <row r="849" spans="1:17" x14ac:dyDescent="0.25">
      <c r="A849" s="5"/>
      <c r="B849" s="5"/>
      <c r="C849" s="5"/>
      <c r="D849" s="5"/>
      <c r="E849" s="5"/>
      <c r="F849" s="5"/>
      <c r="G849" s="5"/>
      <c r="H849" s="5" t="s">
        <v>596</v>
      </c>
      <c r="I849" s="6">
        <v>44791</v>
      </c>
      <c r="J849" s="5" t="s">
        <v>670</v>
      </c>
      <c r="K849" s="5" t="s">
        <v>884</v>
      </c>
      <c r="L849" s="5"/>
      <c r="M849" s="5"/>
      <c r="N849" s="7"/>
      <c r="O849" s="5" t="s">
        <v>554</v>
      </c>
      <c r="P849" s="8">
        <v>612</v>
      </c>
      <c r="Q849" s="8">
        <f t="shared" si="20"/>
        <v>55708.94</v>
      </c>
    </row>
    <row r="850" spans="1:17" x14ac:dyDescent="0.25">
      <c r="A850" s="5"/>
      <c r="B850" s="5"/>
      <c r="C850" s="5"/>
      <c r="D850" s="5"/>
      <c r="E850" s="5"/>
      <c r="F850" s="5"/>
      <c r="G850" s="5"/>
      <c r="H850" s="5" t="s">
        <v>596</v>
      </c>
      <c r="I850" s="6">
        <v>44791</v>
      </c>
      <c r="J850" s="5" t="s">
        <v>670</v>
      </c>
      <c r="K850" s="5" t="s">
        <v>884</v>
      </c>
      <c r="L850" s="5"/>
      <c r="M850" s="5"/>
      <c r="N850" s="7"/>
      <c r="O850" s="5" t="s">
        <v>554</v>
      </c>
      <c r="P850" s="8">
        <v>27.21</v>
      </c>
      <c r="Q850" s="8">
        <f t="shared" si="20"/>
        <v>55736.15</v>
      </c>
    </row>
    <row r="851" spans="1:17" x14ac:dyDescent="0.25">
      <c r="A851" s="5"/>
      <c r="B851" s="5"/>
      <c r="C851" s="5"/>
      <c r="D851" s="5"/>
      <c r="E851" s="5"/>
      <c r="F851" s="5"/>
      <c r="G851" s="5"/>
      <c r="H851" s="5" t="s">
        <v>596</v>
      </c>
      <c r="I851" s="6">
        <v>44791</v>
      </c>
      <c r="J851" s="5" t="s">
        <v>670</v>
      </c>
      <c r="K851" s="5" t="s">
        <v>884</v>
      </c>
      <c r="L851" s="5"/>
      <c r="M851" s="5"/>
      <c r="N851" s="7"/>
      <c r="O851" s="5" t="s">
        <v>554</v>
      </c>
      <c r="P851" s="8">
        <v>13.54</v>
      </c>
      <c r="Q851" s="8">
        <f t="shared" si="20"/>
        <v>55749.69</v>
      </c>
    </row>
    <row r="852" spans="1:17" x14ac:dyDescent="0.25">
      <c r="A852" s="5"/>
      <c r="B852" s="5"/>
      <c r="C852" s="5"/>
      <c r="D852" s="5"/>
      <c r="E852" s="5"/>
      <c r="F852" s="5"/>
      <c r="G852" s="5"/>
      <c r="H852" s="5" t="s">
        <v>596</v>
      </c>
      <c r="I852" s="6">
        <v>44791</v>
      </c>
      <c r="J852" s="5" t="s">
        <v>670</v>
      </c>
      <c r="K852" s="5" t="s">
        <v>884</v>
      </c>
      <c r="L852" s="5"/>
      <c r="M852" s="5"/>
      <c r="N852" s="7"/>
      <c r="O852" s="5" t="s">
        <v>554</v>
      </c>
      <c r="P852" s="8">
        <v>0</v>
      </c>
      <c r="Q852" s="8">
        <f t="shared" si="20"/>
        <v>55749.69</v>
      </c>
    </row>
    <row r="853" spans="1:17" x14ac:dyDescent="0.25">
      <c r="A853" s="5"/>
      <c r="B853" s="5"/>
      <c r="C853" s="5"/>
      <c r="D853" s="5"/>
      <c r="E853" s="5"/>
      <c r="F853" s="5"/>
      <c r="G853" s="5"/>
      <c r="H853" s="5" t="s">
        <v>596</v>
      </c>
      <c r="I853" s="6">
        <v>44791</v>
      </c>
      <c r="J853" s="5" t="s">
        <v>671</v>
      </c>
      <c r="K853" s="5" t="s">
        <v>882</v>
      </c>
      <c r="L853" s="5"/>
      <c r="M853" s="5"/>
      <c r="N853" s="7"/>
      <c r="O853" s="5" t="s">
        <v>554</v>
      </c>
      <c r="P853" s="8">
        <v>686.25</v>
      </c>
      <c r="Q853" s="8">
        <f t="shared" si="20"/>
        <v>56435.94</v>
      </c>
    </row>
    <row r="854" spans="1:17" x14ac:dyDescent="0.25">
      <c r="A854" s="5"/>
      <c r="B854" s="5"/>
      <c r="C854" s="5"/>
      <c r="D854" s="5"/>
      <c r="E854" s="5"/>
      <c r="F854" s="5"/>
      <c r="G854" s="5"/>
      <c r="H854" s="5" t="s">
        <v>596</v>
      </c>
      <c r="I854" s="6">
        <v>44791</v>
      </c>
      <c r="J854" s="5" t="s">
        <v>671</v>
      </c>
      <c r="K854" s="5" t="s">
        <v>882</v>
      </c>
      <c r="L854" s="5"/>
      <c r="M854" s="5"/>
      <c r="N854" s="7"/>
      <c r="O854" s="5" t="s">
        <v>554</v>
      </c>
      <c r="P854" s="8">
        <v>0</v>
      </c>
      <c r="Q854" s="8">
        <f t="shared" si="20"/>
        <v>56435.94</v>
      </c>
    </row>
    <row r="855" spans="1:17" x14ac:dyDescent="0.25">
      <c r="A855" s="5"/>
      <c r="B855" s="5"/>
      <c r="C855" s="5"/>
      <c r="D855" s="5"/>
      <c r="E855" s="5"/>
      <c r="F855" s="5"/>
      <c r="G855" s="5"/>
      <c r="H855" s="5" t="s">
        <v>596</v>
      </c>
      <c r="I855" s="6">
        <v>44791</v>
      </c>
      <c r="J855" s="5" t="s">
        <v>671</v>
      </c>
      <c r="K855" s="5" t="s">
        <v>882</v>
      </c>
      <c r="L855" s="5"/>
      <c r="M855" s="5"/>
      <c r="N855" s="7"/>
      <c r="O855" s="5" t="s">
        <v>554</v>
      </c>
      <c r="P855" s="8">
        <v>15.18</v>
      </c>
      <c r="Q855" s="8">
        <f t="shared" si="20"/>
        <v>56451.12</v>
      </c>
    </row>
    <row r="856" spans="1:17" x14ac:dyDescent="0.25">
      <c r="A856" s="5"/>
      <c r="B856" s="5"/>
      <c r="C856" s="5"/>
      <c r="D856" s="5"/>
      <c r="E856" s="5"/>
      <c r="F856" s="5"/>
      <c r="G856" s="5"/>
      <c r="H856" s="5" t="s">
        <v>596</v>
      </c>
      <c r="I856" s="6">
        <v>44791</v>
      </c>
      <c r="J856" s="5" t="s">
        <v>671</v>
      </c>
      <c r="K856" s="5" t="s">
        <v>882</v>
      </c>
      <c r="L856" s="5"/>
      <c r="M856" s="5"/>
      <c r="N856" s="7"/>
      <c r="O856" s="5" t="s">
        <v>554</v>
      </c>
      <c r="P856" s="8">
        <v>0</v>
      </c>
      <c r="Q856" s="8">
        <f t="shared" si="20"/>
        <v>56451.12</v>
      </c>
    </row>
    <row r="857" spans="1:17" x14ac:dyDescent="0.25">
      <c r="A857" s="5"/>
      <c r="B857" s="5"/>
      <c r="C857" s="5"/>
      <c r="D857" s="5"/>
      <c r="E857" s="5"/>
      <c r="F857" s="5"/>
      <c r="G857" s="5"/>
      <c r="H857" s="5" t="s">
        <v>596</v>
      </c>
      <c r="I857" s="6">
        <v>44791</v>
      </c>
      <c r="J857" s="5" t="s">
        <v>672</v>
      </c>
      <c r="K857" s="5" t="s">
        <v>881</v>
      </c>
      <c r="L857" s="5"/>
      <c r="M857" s="5"/>
      <c r="N857" s="7"/>
      <c r="O857" s="5" t="s">
        <v>554</v>
      </c>
      <c r="P857" s="8">
        <v>1400</v>
      </c>
      <c r="Q857" s="8">
        <f t="shared" si="20"/>
        <v>57851.12</v>
      </c>
    </row>
    <row r="858" spans="1:17" x14ac:dyDescent="0.25">
      <c r="A858" s="5"/>
      <c r="B858" s="5"/>
      <c r="C858" s="5"/>
      <c r="D858" s="5"/>
      <c r="E858" s="5"/>
      <c r="F858" s="5"/>
      <c r="G858" s="5"/>
      <c r="H858" s="5" t="s">
        <v>596</v>
      </c>
      <c r="I858" s="6">
        <v>44791</v>
      </c>
      <c r="J858" s="5" t="s">
        <v>672</v>
      </c>
      <c r="K858" s="5" t="s">
        <v>881</v>
      </c>
      <c r="L858" s="5"/>
      <c r="M858" s="5"/>
      <c r="N858" s="7"/>
      <c r="O858" s="5" t="s">
        <v>554</v>
      </c>
      <c r="P858" s="8">
        <v>72.13</v>
      </c>
      <c r="Q858" s="8">
        <f t="shared" si="20"/>
        <v>57923.25</v>
      </c>
    </row>
    <row r="859" spans="1:17" x14ac:dyDescent="0.25">
      <c r="A859" s="5"/>
      <c r="B859" s="5"/>
      <c r="C859" s="5"/>
      <c r="D859" s="5"/>
      <c r="E859" s="5"/>
      <c r="F859" s="5"/>
      <c r="G859" s="5"/>
      <c r="H859" s="5" t="s">
        <v>596</v>
      </c>
      <c r="I859" s="6">
        <v>44791</v>
      </c>
      <c r="J859" s="5" t="s">
        <v>672</v>
      </c>
      <c r="K859" s="5" t="s">
        <v>881</v>
      </c>
      <c r="L859" s="5"/>
      <c r="M859" s="5"/>
      <c r="N859" s="7"/>
      <c r="O859" s="5" t="s">
        <v>554</v>
      </c>
      <c r="P859" s="8">
        <v>30.97</v>
      </c>
      <c r="Q859" s="8">
        <f t="shared" si="20"/>
        <v>57954.22</v>
      </c>
    </row>
    <row r="860" spans="1:17" x14ac:dyDescent="0.25">
      <c r="A860" s="5"/>
      <c r="B860" s="5"/>
      <c r="C860" s="5"/>
      <c r="D860" s="5"/>
      <c r="E860" s="5"/>
      <c r="F860" s="5"/>
      <c r="G860" s="5"/>
      <c r="H860" s="5" t="s">
        <v>596</v>
      </c>
      <c r="I860" s="6">
        <v>44791</v>
      </c>
      <c r="J860" s="5" t="s">
        <v>672</v>
      </c>
      <c r="K860" s="5" t="s">
        <v>881</v>
      </c>
      <c r="L860" s="5"/>
      <c r="M860" s="5"/>
      <c r="N860" s="7"/>
      <c r="O860" s="5" t="s">
        <v>554</v>
      </c>
      <c r="P860" s="8">
        <v>0</v>
      </c>
      <c r="Q860" s="8">
        <f t="shared" si="20"/>
        <v>57954.22</v>
      </c>
    </row>
    <row r="861" spans="1:17" x14ac:dyDescent="0.25">
      <c r="A861" s="5"/>
      <c r="B861" s="5"/>
      <c r="C861" s="5"/>
      <c r="D861" s="5"/>
      <c r="E861" s="5"/>
      <c r="F861" s="5"/>
      <c r="G861" s="5"/>
      <c r="H861" s="5" t="s">
        <v>596</v>
      </c>
      <c r="I861" s="6">
        <v>44791</v>
      </c>
      <c r="J861" s="5" t="s">
        <v>673</v>
      </c>
      <c r="K861" s="5" t="s">
        <v>880</v>
      </c>
      <c r="L861" s="5"/>
      <c r="M861" s="5"/>
      <c r="N861" s="7"/>
      <c r="O861" s="5" t="s">
        <v>554</v>
      </c>
      <c r="P861" s="8">
        <v>1280</v>
      </c>
      <c r="Q861" s="8">
        <f t="shared" si="20"/>
        <v>59234.22</v>
      </c>
    </row>
    <row r="862" spans="1:17" x14ac:dyDescent="0.25">
      <c r="A862" s="5"/>
      <c r="B862" s="5"/>
      <c r="C862" s="5"/>
      <c r="D862" s="5"/>
      <c r="E862" s="5"/>
      <c r="F862" s="5"/>
      <c r="G862" s="5"/>
      <c r="H862" s="5" t="s">
        <v>596</v>
      </c>
      <c r="I862" s="6">
        <v>44791</v>
      </c>
      <c r="J862" s="5" t="s">
        <v>673</v>
      </c>
      <c r="K862" s="5" t="s">
        <v>880</v>
      </c>
      <c r="L862" s="5"/>
      <c r="M862" s="5"/>
      <c r="N862" s="7"/>
      <c r="O862" s="5" t="s">
        <v>554</v>
      </c>
      <c r="P862" s="8">
        <v>0</v>
      </c>
      <c r="Q862" s="8">
        <f t="shared" si="20"/>
        <v>59234.22</v>
      </c>
    </row>
    <row r="863" spans="1:17" x14ac:dyDescent="0.25">
      <c r="A863" s="5"/>
      <c r="B863" s="5"/>
      <c r="C863" s="5"/>
      <c r="D863" s="5"/>
      <c r="E863" s="5"/>
      <c r="F863" s="5"/>
      <c r="G863" s="5"/>
      <c r="H863" s="5" t="s">
        <v>596</v>
      </c>
      <c r="I863" s="6">
        <v>44791</v>
      </c>
      <c r="J863" s="5" t="s">
        <v>673</v>
      </c>
      <c r="K863" s="5" t="s">
        <v>880</v>
      </c>
      <c r="L863" s="5"/>
      <c r="M863" s="5"/>
      <c r="N863" s="7"/>
      <c r="O863" s="5" t="s">
        <v>554</v>
      </c>
      <c r="P863" s="8">
        <v>28.31</v>
      </c>
      <c r="Q863" s="8">
        <f t="shared" si="20"/>
        <v>59262.53</v>
      </c>
    </row>
    <row r="864" spans="1:17" x14ac:dyDescent="0.25">
      <c r="A864" s="5"/>
      <c r="B864" s="5"/>
      <c r="C864" s="5"/>
      <c r="D864" s="5"/>
      <c r="E864" s="5"/>
      <c r="F864" s="5"/>
      <c r="G864" s="5"/>
      <c r="H864" s="5" t="s">
        <v>596</v>
      </c>
      <c r="I864" s="6">
        <v>44791</v>
      </c>
      <c r="J864" s="5" t="s">
        <v>673</v>
      </c>
      <c r="K864" s="5" t="s">
        <v>880</v>
      </c>
      <c r="L864" s="5"/>
      <c r="M864" s="5"/>
      <c r="N864" s="7"/>
      <c r="O864" s="5" t="s">
        <v>554</v>
      </c>
      <c r="P864" s="8">
        <v>0</v>
      </c>
      <c r="Q864" s="8">
        <f t="shared" si="20"/>
        <v>59262.53</v>
      </c>
    </row>
    <row r="865" spans="1:17" x14ac:dyDescent="0.25">
      <c r="A865" s="5"/>
      <c r="B865" s="5"/>
      <c r="C865" s="5"/>
      <c r="D865" s="5"/>
      <c r="E865" s="5"/>
      <c r="F865" s="5"/>
      <c r="G865" s="5"/>
      <c r="H865" s="5" t="s">
        <v>596</v>
      </c>
      <c r="I865" s="6">
        <v>44791</v>
      </c>
      <c r="J865" s="5" t="s">
        <v>640</v>
      </c>
      <c r="K865" s="5" t="s">
        <v>883</v>
      </c>
      <c r="L865" s="5"/>
      <c r="M865" s="5"/>
      <c r="N865" s="7"/>
      <c r="O865" s="5" t="s">
        <v>554</v>
      </c>
      <c r="P865" s="8">
        <v>480</v>
      </c>
      <c r="Q865" s="8">
        <f t="shared" si="20"/>
        <v>59742.53</v>
      </c>
    </row>
    <row r="866" spans="1:17" x14ac:dyDescent="0.25">
      <c r="A866" s="5"/>
      <c r="B866" s="5"/>
      <c r="C866" s="5"/>
      <c r="D866" s="5"/>
      <c r="E866" s="5"/>
      <c r="F866" s="5"/>
      <c r="G866" s="5"/>
      <c r="H866" s="5" t="s">
        <v>596</v>
      </c>
      <c r="I866" s="6">
        <v>44791</v>
      </c>
      <c r="J866" s="5" t="s">
        <v>640</v>
      </c>
      <c r="K866" s="5" t="s">
        <v>883</v>
      </c>
      <c r="L866" s="5"/>
      <c r="M866" s="5"/>
      <c r="N866" s="7"/>
      <c r="O866" s="5" t="s">
        <v>554</v>
      </c>
      <c r="P866" s="8">
        <v>19.690000000000001</v>
      </c>
      <c r="Q866" s="8">
        <f t="shared" si="20"/>
        <v>59762.22</v>
      </c>
    </row>
    <row r="867" spans="1:17" x14ac:dyDescent="0.25">
      <c r="A867" s="5"/>
      <c r="B867" s="5"/>
      <c r="C867" s="5"/>
      <c r="D867" s="5"/>
      <c r="E867" s="5"/>
      <c r="F867" s="5"/>
      <c r="G867" s="5"/>
      <c r="H867" s="5" t="s">
        <v>596</v>
      </c>
      <c r="I867" s="6">
        <v>44791</v>
      </c>
      <c r="J867" s="5" t="s">
        <v>640</v>
      </c>
      <c r="K867" s="5" t="s">
        <v>883</v>
      </c>
      <c r="L867" s="5"/>
      <c r="M867" s="5"/>
      <c r="N867" s="7"/>
      <c r="O867" s="5" t="s">
        <v>554</v>
      </c>
      <c r="P867" s="8">
        <v>10.61</v>
      </c>
      <c r="Q867" s="8">
        <f t="shared" si="20"/>
        <v>59772.83</v>
      </c>
    </row>
    <row r="868" spans="1:17" x14ac:dyDescent="0.25">
      <c r="A868" s="5"/>
      <c r="B868" s="5"/>
      <c r="C868" s="5"/>
      <c r="D868" s="5"/>
      <c r="E868" s="5"/>
      <c r="F868" s="5"/>
      <c r="G868" s="5"/>
      <c r="H868" s="5" t="s">
        <v>596</v>
      </c>
      <c r="I868" s="6">
        <v>44791</v>
      </c>
      <c r="J868" s="5" t="s">
        <v>640</v>
      </c>
      <c r="K868" s="5" t="s">
        <v>883</v>
      </c>
      <c r="L868" s="5"/>
      <c r="M868" s="5"/>
      <c r="N868" s="7"/>
      <c r="O868" s="5" t="s">
        <v>554</v>
      </c>
      <c r="P868" s="8">
        <v>0</v>
      </c>
      <c r="Q868" s="8">
        <f t="shared" si="20"/>
        <v>59772.83</v>
      </c>
    </row>
    <row r="869" spans="1:17" x14ac:dyDescent="0.25">
      <c r="A869" s="5"/>
      <c r="B869" s="5"/>
      <c r="C869" s="5"/>
      <c r="D869" s="5"/>
      <c r="E869" s="5"/>
      <c r="F869" s="5"/>
      <c r="G869" s="5"/>
      <c r="H869" s="5" t="s">
        <v>596</v>
      </c>
      <c r="I869" s="6">
        <v>44805</v>
      </c>
      <c r="J869" s="5" t="s">
        <v>674</v>
      </c>
      <c r="K869" s="5" t="s">
        <v>877</v>
      </c>
      <c r="L869" s="5"/>
      <c r="M869" s="5"/>
      <c r="N869" s="7"/>
      <c r="O869" s="5" t="s">
        <v>554</v>
      </c>
      <c r="P869" s="8">
        <v>1600</v>
      </c>
      <c r="Q869" s="8">
        <f t="shared" si="20"/>
        <v>61372.83</v>
      </c>
    </row>
    <row r="870" spans="1:17" x14ac:dyDescent="0.25">
      <c r="A870" s="5"/>
      <c r="B870" s="5"/>
      <c r="C870" s="5"/>
      <c r="D870" s="5"/>
      <c r="E870" s="5"/>
      <c r="F870" s="5"/>
      <c r="G870" s="5"/>
      <c r="H870" s="5" t="s">
        <v>596</v>
      </c>
      <c r="I870" s="6">
        <v>44805</v>
      </c>
      <c r="J870" s="5" t="s">
        <v>674</v>
      </c>
      <c r="K870" s="5" t="s">
        <v>877</v>
      </c>
      <c r="L870" s="5"/>
      <c r="M870" s="5"/>
      <c r="N870" s="7"/>
      <c r="O870" s="5" t="s">
        <v>554</v>
      </c>
      <c r="P870" s="8">
        <v>83.53</v>
      </c>
      <c r="Q870" s="8">
        <f t="shared" si="20"/>
        <v>61456.36</v>
      </c>
    </row>
    <row r="871" spans="1:17" x14ac:dyDescent="0.25">
      <c r="A871" s="5"/>
      <c r="B871" s="5"/>
      <c r="C871" s="5"/>
      <c r="D871" s="5"/>
      <c r="E871" s="5"/>
      <c r="F871" s="5"/>
      <c r="G871" s="5"/>
      <c r="H871" s="5" t="s">
        <v>596</v>
      </c>
      <c r="I871" s="6">
        <v>44805</v>
      </c>
      <c r="J871" s="5" t="s">
        <v>674</v>
      </c>
      <c r="K871" s="5" t="s">
        <v>877</v>
      </c>
      <c r="L871" s="5"/>
      <c r="M871" s="5"/>
      <c r="N871" s="7"/>
      <c r="O871" s="5" t="s">
        <v>554</v>
      </c>
      <c r="P871" s="8">
        <v>35.39</v>
      </c>
      <c r="Q871" s="8">
        <f t="shared" si="20"/>
        <v>61491.75</v>
      </c>
    </row>
    <row r="872" spans="1:17" x14ac:dyDescent="0.25">
      <c r="A872" s="5"/>
      <c r="B872" s="5"/>
      <c r="C872" s="5"/>
      <c r="D872" s="5"/>
      <c r="E872" s="5"/>
      <c r="F872" s="5"/>
      <c r="G872" s="5"/>
      <c r="H872" s="5" t="s">
        <v>596</v>
      </c>
      <c r="I872" s="6">
        <v>44805</v>
      </c>
      <c r="J872" s="5" t="s">
        <v>674</v>
      </c>
      <c r="K872" s="5" t="s">
        <v>877</v>
      </c>
      <c r="L872" s="5"/>
      <c r="M872" s="5"/>
      <c r="N872" s="7"/>
      <c r="O872" s="5" t="s">
        <v>554</v>
      </c>
      <c r="P872" s="8">
        <v>64</v>
      </c>
      <c r="Q872" s="8">
        <f t="shared" si="20"/>
        <v>61555.75</v>
      </c>
    </row>
    <row r="873" spans="1:17" x14ac:dyDescent="0.25">
      <c r="A873" s="5"/>
      <c r="B873" s="5"/>
      <c r="C873" s="5"/>
      <c r="D873" s="5"/>
      <c r="E873" s="5"/>
      <c r="F873" s="5"/>
      <c r="G873" s="5"/>
      <c r="H873" s="5" t="s">
        <v>596</v>
      </c>
      <c r="I873" s="6">
        <v>44805</v>
      </c>
      <c r="J873" s="5" t="s">
        <v>675</v>
      </c>
      <c r="K873" s="5" t="s">
        <v>876</v>
      </c>
      <c r="L873" s="5"/>
      <c r="M873" s="5"/>
      <c r="N873" s="7"/>
      <c r="O873" s="5" t="s">
        <v>554</v>
      </c>
      <c r="P873" s="8">
        <v>2000</v>
      </c>
      <c r="Q873" s="8">
        <f t="shared" si="20"/>
        <v>63555.75</v>
      </c>
    </row>
    <row r="874" spans="1:17" x14ac:dyDescent="0.25">
      <c r="A874" s="5"/>
      <c r="B874" s="5"/>
      <c r="C874" s="5"/>
      <c r="D874" s="5"/>
      <c r="E874" s="5"/>
      <c r="F874" s="5"/>
      <c r="G874" s="5"/>
      <c r="H874" s="5" t="s">
        <v>596</v>
      </c>
      <c r="I874" s="6">
        <v>44805</v>
      </c>
      <c r="J874" s="5" t="s">
        <v>675</v>
      </c>
      <c r="K874" s="5" t="s">
        <v>876</v>
      </c>
      <c r="L874" s="5"/>
      <c r="M874" s="5"/>
      <c r="N874" s="7"/>
      <c r="O874" s="5" t="s">
        <v>554</v>
      </c>
      <c r="P874" s="8">
        <v>106.33</v>
      </c>
      <c r="Q874" s="8">
        <f t="shared" si="20"/>
        <v>63662.080000000002</v>
      </c>
    </row>
    <row r="875" spans="1:17" x14ac:dyDescent="0.25">
      <c r="A875" s="5"/>
      <c r="B875" s="5"/>
      <c r="C875" s="5"/>
      <c r="D875" s="5"/>
      <c r="E875" s="5"/>
      <c r="F875" s="5"/>
      <c r="G875" s="5"/>
      <c r="H875" s="5" t="s">
        <v>596</v>
      </c>
      <c r="I875" s="6">
        <v>44805</v>
      </c>
      <c r="J875" s="5" t="s">
        <v>675</v>
      </c>
      <c r="K875" s="5" t="s">
        <v>876</v>
      </c>
      <c r="L875" s="5"/>
      <c r="M875" s="5"/>
      <c r="N875" s="7"/>
      <c r="O875" s="5" t="s">
        <v>554</v>
      </c>
      <c r="P875" s="8">
        <v>44.24</v>
      </c>
      <c r="Q875" s="8">
        <f t="shared" si="20"/>
        <v>63706.32</v>
      </c>
    </row>
    <row r="876" spans="1:17" x14ac:dyDescent="0.25">
      <c r="A876" s="5"/>
      <c r="B876" s="5"/>
      <c r="C876" s="5"/>
      <c r="D876" s="5"/>
      <c r="E876" s="5"/>
      <c r="F876" s="5"/>
      <c r="G876" s="5"/>
      <c r="H876" s="5" t="s">
        <v>596</v>
      </c>
      <c r="I876" s="6">
        <v>44805</v>
      </c>
      <c r="J876" s="5" t="s">
        <v>675</v>
      </c>
      <c r="K876" s="5" t="s">
        <v>876</v>
      </c>
      <c r="L876" s="5"/>
      <c r="M876" s="5"/>
      <c r="N876" s="7"/>
      <c r="O876" s="5" t="s">
        <v>554</v>
      </c>
      <c r="P876" s="8">
        <v>80</v>
      </c>
      <c r="Q876" s="8">
        <f t="shared" si="20"/>
        <v>63786.32</v>
      </c>
    </row>
    <row r="877" spans="1:17" x14ac:dyDescent="0.25">
      <c r="A877" s="5"/>
      <c r="B877" s="5"/>
      <c r="C877" s="5"/>
      <c r="D877" s="5"/>
      <c r="E877" s="5"/>
      <c r="F877" s="5"/>
      <c r="G877" s="5"/>
      <c r="H877" s="5" t="s">
        <v>596</v>
      </c>
      <c r="I877" s="6">
        <v>44805</v>
      </c>
      <c r="J877" s="5" t="s">
        <v>676</v>
      </c>
      <c r="K877" s="5" t="s">
        <v>884</v>
      </c>
      <c r="L877" s="5"/>
      <c r="M877" s="5"/>
      <c r="N877" s="7"/>
      <c r="O877" s="5" t="s">
        <v>554</v>
      </c>
      <c r="P877" s="8">
        <v>1440</v>
      </c>
      <c r="Q877" s="8">
        <f t="shared" si="20"/>
        <v>65226.32</v>
      </c>
    </row>
    <row r="878" spans="1:17" x14ac:dyDescent="0.25">
      <c r="A878" s="5"/>
      <c r="B878" s="5"/>
      <c r="C878" s="5"/>
      <c r="D878" s="5"/>
      <c r="E878" s="5"/>
      <c r="F878" s="5"/>
      <c r="G878" s="5"/>
      <c r="H878" s="5" t="s">
        <v>596</v>
      </c>
      <c r="I878" s="6">
        <v>44805</v>
      </c>
      <c r="J878" s="5" t="s">
        <v>676</v>
      </c>
      <c r="K878" s="5" t="s">
        <v>884</v>
      </c>
      <c r="L878" s="5"/>
      <c r="M878" s="5"/>
      <c r="N878" s="7"/>
      <c r="O878" s="5" t="s">
        <v>554</v>
      </c>
      <c r="P878" s="8">
        <v>74.41</v>
      </c>
      <c r="Q878" s="8">
        <f t="shared" si="20"/>
        <v>65300.73</v>
      </c>
    </row>
    <row r="879" spans="1:17" x14ac:dyDescent="0.25">
      <c r="A879" s="5"/>
      <c r="B879" s="5"/>
      <c r="C879" s="5"/>
      <c r="D879" s="5"/>
      <c r="E879" s="5"/>
      <c r="F879" s="5"/>
      <c r="G879" s="5"/>
      <c r="H879" s="5" t="s">
        <v>596</v>
      </c>
      <c r="I879" s="6">
        <v>44805</v>
      </c>
      <c r="J879" s="5" t="s">
        <v>676</v>
      </c>
      <c r="K879" s="5" t="s">
        <v>884</v>
      </c>
      <c r="L879" s="5"/>
      <c r="M879" s="5"/>
      <c r="N879" s="7"/>
      <c r="O879" s="5" t="s">
        <v>554</v>
      </c>
      <c r="P879" s="8">
        <v>31.85</v>
      </c>
      <c r="Q879" s="8">
        <f t="shared" si="20"/>
        <v>65332.58</v>
      </c>
    </row>
    <row r="880" spans="1:17" x14ac:dyDescent="0.25">
      <c r="A880" s="5"/>
      <c r="B880" s="5"/>
      <c r="C880" s="5"/>
      <c r="D880" s="5"/>
      <c r="E880" s="5"/>
      <c r="F880" s="5"/>
      <c r="G880" s="5"/>
      <c r="H880" s="5" t="s">
        <v>596</v>
      </c>
      <c r="I880" s="6">
        <v>44805</v>
      </c>
      <c r="J880" s="5" t="s">
        <v>676</v>
      </c>
      <c r="K880" s="5" t="s">
        <v>884</v>
      </c>
      <c r="L880" s="5"/>
      <c r="M880" s="5"/>
      <c r="N880" s="7"/>
      <c r="O880" s="5" t="s">
        <v>554</v>
      </c>
      <c r="P880" s="8">
        <v>0</v>
      </c>
      <c r="Q880" s="8">
        <f t="shared" si="20"/>
        <v>65332.58</v>
      </c>
    </row>
    <row r="881" spans="1:17" x14ac:dyDescent="0.25">
      <c r="A881" s="5"/>
      <c r="B881" s="5"/>
      <c r="C881" s="5"/>
      <c r="D881" s="5"/>
      <c r="E881" s="5"/>
      <c r="F881" s="5"/>
      <c r="G881" s="5"/>
      <c r="H881" s="5" t="s">
        <v>596</v>
      </c>
      <c r="I881" s="6">
        <v>44805</v>
      </c>
      <c r="J881" s="5" t="s">
        <v>677</v>
      </c>
      <c r="K881" s="5" t="s">
        <v>882</v>
      </c>
      <c r="L881" s="5"/>
      <c r="M881" s="5"/>
      <c r="N881" s="7"/>
      <c r="O881" s="5" t="s">
        <v>554</v>
      </c>
      <c r="P881" s="8">
        <v>452.16</v>
      </c>
      <c r="Q881" s="8">
        <f t="shared" si="20"/>
        <v>65784.740000000005</v>
      </c>
    </row>
    <row r="882" spans="1:17" x14ac:dyDescent="0.25">
      <c r="A882" s="5"/>
      <c r="B882" s="5"/>
      <c r="C882" s="5"/>
      <c r="D882" s="5"/>
      <c r="E882" s="5"/>
      <c r="F882" s="5"/>
      <c r="G882" s="5"/>
      <c r="H882" s="5" t="s">
        <v>596</v>
      </c>
      <c r="I882" s="6">
        <v>44805</v>
      </c>
      <c r="J882" s="5" t="s">
        <v>677</v>
      </c>
      <c r="K882" s="5" t="s">
        <v>882</v>
      </c>
      <c r="L882" s="5"/>
      <c r="M882" s="5"/>
      <c r="N882" s="7"/>
      <c r="O882" s="5" t="s">
        <v>554</v>
      </c>
      <c r="P882" s="8">
        <v>0</v>
      </c>
      <c r="Q882" s="8">
        <f t="shared" si="20"/>
        <v>65784.740000000005</v>
      </c>
    </row>
    <row r="883" spans="1:17" x14ac:dyDescent="0.25">
      <c r="A883" s="5"/>
      <c r="B883" s="5"/>
      <c r="C883" s="5"/>
      <c r="D883" s="5"/>
      <c r="E883" s="5"/>
      <c r="F883" s="5"/>
      <c r="G883" s="5"/>
      <c r="H883" s="5" t="s">
        <v>596</v>
      </c>
      <c r="I883" s="6">
        <v>44805</v>
      </c>
      <c r="J883" s="5" t="s">
        <v>677</v>
      </c>
      <c r="K883" s="5" t="s">
        <v>882</v>
      </c>
      <c r="L883" s="5"/>
      <c r="M883" s="5"/>
      <c r="N883" s="7"/>
      <c r="O883" s="5" t="s">
        <v>554</v>
      </c>
      <c r="P883" s="8">
        <v>10</v>
      </c>
      <c r="Q883" s="8">
        <f t="shared" si="20"/>
        <v>65794.740000000005</v>
      </c>
    </row>
    <row r="884" spans="1:17" x14ac:dyDescent="0.25">
      <c r="A884" s="5"/>
      <c r="B884" s="5"/>
      <c r="C884" s="5"/>
      <c r="D884" s="5"/>
      <c r="E884" s="5"/>
      <c r="F884" s="5"/>
      <c r="G884" s="5"/>
      <c r="H884" s="5" t="s">
        <v>596</v>
      </c>
      <c r="I884" s="6">
        <v>44805</v>
      </c>
      <c r="J884" s="5" t="s">
        <v>677</v>
      </c>
      <c r="K884" s="5" t="s">
        <v>882</v>
      </c>
      <c r="L884" s="5"/>
      <c r="M884" s="5"/>
      <c r="N884" s="7"/>
      <c r="O884" s="5" t="s">
        <v>554</v>
      </c>
      <c r="P884" s="8">
        <v>0</v>
      </c>
      <c r="Q884" s="8">
        <f t="shared" si="20"/>
        <v>65794.740000000005</v>
      </c>
    </row>
    <row r="885" spans="1:17" x14ac:dyDescent="0.25">
      <c r="A885" s="5"/>
      <c r="B885" s="5"/>
      <c r="C885" s="5"/>
      <c r="D885" s="5"/>
      <c r="E885" s="5"/>
      <c r="F885" s="5"/>
      <c r="G885" s="5"/>
      <c r="H885" s="5" t="s">
        <v>596</v>
      </c>
      <c r="I885" s="6">
        <v>44805</v>
      </c>
      <c r="J885" s="5" t="s">
        <v>678</v>
      </c>
      <c r="K885" s="5" t="s">
        <v>881</v>
      </c>
      <c r="L885" s="5"/>
      <c r="M885" s="5"/>
      <c r="N885" s="7"/>
      <c r="O885" s="5" t="s">
        <v>554</v>
      </c>
      <c r="P885" s="8">
        <v>1400</v>
      </c>
      <c r="Q885" s="8">
        <f t="shared" si="20"/>
        <v>67194.740000000005</v>
      </c>
    </row>
    <row r="886" spans="1:17" x14ac:dyDescent="0.25">
      <c r="A886" s="5"/>
      <c r="B886" s="5"/>
      <c r="C886" s="5"/>
      <c r="D886" s="5"/>
      <c r="E886" s="5"/>
      <c r="F886" s="5"/>
      <c r="G886" s="5"/>
      <c r="H886" s="5" t="s">
        <v>596</v>
      </c>
      <c r="I886" s="6">
        <v>44805</v>
      </c>
      <c r="J886" s="5" t="s">
        <v>678</v>
      </c>
      <c r="K886" s="5" t="s">
        <v>881</v>
      </c>
      <c r="L886" s="5"/>
      <c r="M886" s="5"/>
      <c r="N886" s="7"/>
      <c r="O886" s="5" t="s">
        <v>554</v>
      </c>
      <c r="P886" s="8">
        <v>72.13</v>
      </c>
      <c r="Q886" s="8">
        <f t="shared" si="20"/>
        <v>67266.87</v>
      </c>
    </row>
    <row r="887" spans="1:17" x14ac:dyDescent="0.25">
      <c r="A887" s="5"/>
      <c r="B887" s="5"/>
      <c r="C887" s="5"/>
      <c r="D887" s="5"/>
      <c r="E887" s="5"/>
      <c r="F887" s="5"/>
      <c r="G887" s="5"/>
      <c r="H887" s="5" t="s">
        <v>596</v>
      </c>
      <c r="I887" s="6">
        <v>44805</v>
      </c>
      <c r="J887" s="5" t="s">
        <v>678</v>
      </c>
      <c r="K887" s="5" t="s">
        <v>881</v>
      </c>
      <c r="L887" s="5"/>
      <c r="M887" s="5"/>
      <c r="N887" s="7"/>
      <c r="O887" s="5" t="s">
        <v>554</v>
      </c>
      <c r="P887" s="8">
        <v>30.97</v>
      </c>
      <c r="Q887" s="8">
        <f t="shared" si="20"/>
        <v>67297.84</v>
      </c>
    </row>
    <row r="888" spans="1:17" x14ac:dyDescent="0.25">
      <c r="A888" s="5"/>
      <c r="B888" s="5"/>
      <c r="C888" s="5"/>
      <c r="D888" s="5"/>
      <c r="E888" s="5"/>
      <c r="F888" s="5"/>
      <c r="G888" s="5"/>
      <c r="H888" s="5" t="s">
        <v>596</v>
      </c>
      <c r="I888" s="6">
        <v>44805</v>
      </c>
      <c r="J888" s="5" t="s">
        <v>678</v>
      </c>
      <c r="K888" s="5" t="s">
        <v>881</v>
      </c>
      <c r="L888" s="5"/>
      <c r="M888" s="5"/>
      <c r="N888" s="7"/>
      <c r="O888" s="5" t="s">
        <v>554</v>
      </c>
      <c r="P888" s="8">
        <v>0</v>
      </c>
      <c r="Q888" s="8">
        <f t="shared" si="20"/>
        <v>67297.84</v>
      </c>
    </row>
    <row r="889" spans="1:17" x14ac:dyDescent="0.25">
      <c r="A889" s="5"/>
      <c r="B889" s="5"/>
      <c r="C889" s="5"/>
      <c r="D889" s="5"/>
      <c r="E889" s="5"/>
      <c r="F889" s="5"/>
      <c r="G889" s="5"/>
      <c r="H889" s="5" t="s">
        <v>596</v>
      </c>
      <c r="I889" s="6">
        <v>44805</v>
      </c>
      <c r="J889" s="5" t="s">
        <v>679</v>
      </c>
      <c r="K889" s="5" t="s">
        <v>880</v>
      </c>
      <c r="L889" s="5"/>
      <c r="M889" s="5"/>
      <c r="N889" s="7"/>
      <c r="O889" s="5" t="s">
        <v>554</v>
      </c>
      <c r="P889" s="8">
        <v>758.4</v>
      </c>
      <c r="Q889" s="8">
        <f t="shared" ref="Q889:Q952" si="21">ROUND(Q888+P889,5)</f>
        <v>68056.240000000005</v>
      </c>
    </row>
    <row r="890" spans="1:17" x14ac:dyDescent="0.25">
      <c r="A890" s="5"/>
      <c r="B890" s="5"/>
      <c r="C890" s="5"/>
      <c r="D890" s="5"/>
      <c r="E890" s="5"/>
      <c r="F890" s="5"/>
      <c r="G890" s="5"/>
      <c r="H890" s="5" t="s">
        <v>596</v>
      </c>
      <c r="I890" s="6">
        <v>44805</v>
      </c>
      <c r="J890" s="5" t="s">
        <v>679</v>
      </c>
      <c r="K890" s="5" t="s">
        <v>880</v>
      </c>
      <c r="L890" s="5"/>
      <c r="M890" s="5"/>
      <c r="N890" s="7"/>
      <c r="O890" s="5" t="s">
        <v>554</v>
      </c>
      <c r="P890" s="8">
        <v>0</v>
      </c>
      <c r="Q890" s="8">
        <f t="shared" si="21"/>
        <v>68056.240000000005</v>
      </c>
    </row>
    <row r="891" spans="1:17" x14ac:dyDescent="0.25">
      <c r="A891" s="5"/>
      <c r="B891" s="5"/>
      <c r="C891" s="5"/>
      <c r="D891" s="5"/>
      <c r="E891" s="5"/>
      <c r="F891" s="5"/>
      <c r="G891" s="5"/>
      <c r="H891" s="5" t="s">
        <v>596</v>
      </c>
      <c r="I891" s="6">
        <v>44805</v>
      </c>
      <c r="J891" s="5" t="s">
        <v>679</v>
      </c>
      <c r="K891" s="5" t="s">
        <v>880</v>
      </c>
      <c r="L891" s="5"/>
      <c r="M891" s="5"/>
      <c r="N891" s="7"/>
      <c r="O891" s="5" t="s">
        <v>554</v>
      </c>
      <c r="P891" s="8">
        <v>16.77</v>
      </c>
      <c r="Q891" s="8">
        <f t="shared" si="21"/>
        <v>68073.009999999995</v>
      </c>
    </row>
    <row r="892" spans="1:17" x14ac:dyDescent="0.25">
      <c r="A892" s="5"/>
      <c r="B892" s="5"/>
      <c r="C892" s="5"/>
      <c r="D892" s="5"/>
      <c r="E892" s="5"/>
      <c r="F892" s="5"/>
      <c r="G892" s="5"/>
      <c r="H892" s="5" t="s">
        <v>596</v>
      </c>
      <c r="I892" s="6">
        <v>44805</v>
      </c>
      <c r="J892" s="5" t="s">
        <v>679</v>
      </c>
      <c r="K892" s="5" t="s">
        <v>880</v>
      </c>
      <c r="L892" s="5"/>
      <c r="M892" s="5"/>
      <c r="N892" s="7"/>
      <c r="O892" s="5" t="s">
        <v>554</v>
      </c>
      <c r="P892" s="8">
        <v>0</v>
      </c>
      <c r="Q892" s="8">
        <f t="shared" si="21"/>
        <v>68073.009999999995</v>
      </c>
    </row>
    <row r="893" spans="1:17" x14ac:dyDescent="0.25">
      <c r="A893" s="5"/>
      <c r="B893" s="5"/>
      <c r="C893" s="5"/>
      <c r="D893" s="5"/>
      <c r="E893" s="5"/>
      <c r="F893" s="5"/>
      <c r="G893" s="5"/>
      <c r="H893" s="5" t="s">
        <v>596</v>
      </c>
      <c r="I893" s="6">
        <v>44805</v>
      </c>
      <c r="J893" s="5" t="s">
        <v>680</v>
      </c>
      <c r="K893" s="5" t="s">
        <v>883</v>
      </c>
      <c r="L893" s="5"/>
      <c r="M893" s="5"/>
      <c r="N893" s="7"/>
      <c r="O893" s="5" t="s">
        <v>554</v>
      </c>
      <c r="P893" s="8">
        <v>224</v>
      </c>
      <c r="Q893" s="8">
        <f t="shared" si="21"/>
        <v>68297.009999999995</v>
      </c>
    </row>
    <row r="894" spans="1:17" x14ac:dyDescent="0.25">
      <c r="A894" s="5"/>
      <c r="B894" s="5"/>
      <c r="C894" s="5"/>
      <c r="D894" s="5"/>
      <c r="E894" s="5"/>
      <c r="F894" s="5"/>
      <c r="G894" s="5"/>
      <c r="H894" s="5" t="s">
        <v>596</v>
      </c>
      <c r="I894" s="6">
        <v>44805</v>
      </c>
      <c r="J894" s="5" t="s">
        <v>680</v>
      </c>
      <c r="K894" s="5" t="s">
        <v>883</v>
      </c>
      <c r="L894" s="5"/>
      <c r="M894" s="5"/>
      <c r="N894" s="7"/>
      <c r="O894" s="5" t="s">
        <v>554</v>
      </c>
      <c r="P894" s="8">
        <v>5.0999999999999996</v>
      </c>
      <c r="Q894" s="8">
        <f t="shared" si="21"/>
        <v>68302.11</v>
      </c>
    </row>
    <row r="895" spans="1:17" x14ac:dyDescent="0.25">
      <c r="A895" s="5"/>
      <c r="B895" s="5"/>
      <c r="C895" s="5"/>
      <c r="D895" s="5"/>
      <c r="E895" s="5"/>
      <c r="F895" s="5"/>
      <c r="G895" s="5"/>
      <c r="H895" s="5" t="s">
        <v>596</v>
      </c>
      <c r="I895" s="6">
        <v>44805</v>
      </c>
      <c r="J895" s="5" t="s">
        <v>680</v>
      </c>
      <c r="K895" s="5" t="s">
        <v>883</v>
      </c>
      <c r="L895" s="5"/>
      <c r="M895" s="5"/>
      <c r="N895" s="7"/>
      <c r="O895" s="5" t="s">
        <v>554</v>
      </c>
      <c r="P895" s="8">
        <v>4.96</v>
      </c>
      <c r="Q895" s="8">
        <f t="shared" si="21"/>
        <v>68307.070000000007</v>
      </c>
    </row>
    <row r="896" spans="1:17" x14ac:dyDescent="0.25">
      <c r="A896" s="5"/>
      <c r="B896" s="5"/>
      <c r="C896" s="5"/>
      <c r="D896" s="5"/>
      <c r="E896" s="5"/>
      <c r="F896" s="5"/>
      <c r="G896" s="5"/>
      <c r="H896" s="5" t="s">
        <v>596</v>
      </c>
      <c r="I896" s="6">
        <v>44805</v>
      </c>
      <c r="J896" s="5" t="s">
        <v>680</v>
      </c>
      <c r="K896" s="5" t="s">
        <v>883</v>
      </c>
      <c r="L896" s="5"/>
      <c r="M896" s="5"/>
      <c r="N896" s="7"/>
      <c r="O896" s="5" t="s">
        <v>554</v>
      </c>
      <c r="P896" s="8">
        <v>0</v>
      </c>
      <c r="Q896" s="8">
        <f t="shared" si="21"/>
        <v>68307.070000000007</v>
      </c>
    </row>
    <row r="897" spans="1:17" x14ac:dyDescent="0.25">
      <c r="A897" s="5"/>
      <c r="B897" s="5"/>
      <c r="C897" s="5"/>
      <c r="D897" s="5"/>
      <c r="E897" s="5"/>
      <c r="F897" s="5"/>
      <c r="G897" s="5"/>
      <c r="H897" s="5" t="s">
        <v>596</v>
      </c>
      <c r="I897" s="6">
        <v>44819</v>
      </c>
      <c r="J897" s="5" t="s">
        <v>681</v>
      </c>
      <c r="K897" s="5" t="s">
        <v>877</v>
      </c>
      <c r="L897" s="5"/>
      <c r="M897" s="5"/>
      <c r="N897" s="7"/>
      <c r="O897" s="5" t="s">
        <v>554</v>
      </c>
      <c r="P897" s="8">
        <v>1600</v>
      </c>
      <c r="Q897" s="8">
        <f t="shared" si="21"/>
        <v>69907.070000000007</v>
      </c>
    </row>
    <row r="898" spans="1:17" x14ac:dyDescent="0.25">
      <c r="A898" s="5"/>
      <c r="B898" s="5"/>
      <c r="C898" s="5"/>
      <c r="D898" s="5"/>
      <c r="E898" s="5"/>
      <c r="F898" s="5"/>
      <c r="G898" s="5"/>
      <c r="H898" s="5" t="s">
        <v>596</v>
      </c>
      <c r="I898" s="6">
        <v>44819</v>
      </c>
      <c r="J898" s="5" t="s">
        <v>681</v>
      </c>
      <c r="K898" s="5" t="s">
        <v>877</v>
      </c>
      <c r="L898" s="5"/>
      <c r="M898" s="5"/>
      <c r="N898" s="7"/>
      <c r="O898" s="5" t="s">
        <v>554</v>
      </c>
      <c r="P898" s="8">
        <v>83.53</v>
      </c>
      <c r="Q898" s="8">
        <f t="shared" si="21"/>
        <v>69990.600000000006</v>
      </c>
    </row>
    <row r="899" spans="1:17" x14ac:dyDescent="0.25">
      <c r="A899" s="5"/>
      <c r="B899" s="5"/>
      <c r="C899" s="5"/>
      <c r="D899" s="5"/>
      <c r="E899" s="5"/>
      <c r="F899" s="5"/>
      <c r="G899" s="5"/>
      <c r="H899" s="5" t="s">
        <v>596</v>
      </c>
      <c r="I899" s="6">
        <v>44819</v>
      </c>
      <c r="J899" s="5" t="s">
        <v>681</v>
      </c>
      <c r="K899" s="5" t="s">
        <v>877</v>
      </c>
      <c r="L899" s="5"/>
      <c r="M899" s="5"/>
      <c r="N899" s="7"/>
      <c r="O899" s="5" t="s">
        <v>554</v>
      </c>
      <c r="P899" s="8">
        <v>35.39</v>
      </c>
      <c r="Q899" s="8">
        <f t="shared" si="21"/>
        <v>70025.990000000005</v>
      </c>
    </row>
    <row r="900" spans="1:17" x14ac:dyDescent="0.25">
      <c r="A900" s="5"/>
      <c r="B900" s="5"/>
      <c r="C900" s="5"/>
      <c r="D900" s="5"/>
      <c r="E900" s="5"/>
      <c r="F900" s="5"/>
      <c r="G900" s="5"/>
      <c r="H900" s="5" t="s">
        <v>596</v>
      </c>
      <c r="I900" s="6">
        <v>44819</v>
      </c>
      <c r="J900" s="5" t="s">
        <v>681</v>
      </c>
      <c r="K900" s="5" t="s">
        <v>877</v>
      </c>
      <c r="L900" s="5"/>
      <c r="M900" s="5"/>
      <c r="N900" s="7"/>
      <c r="O900" s="5" t="s">
        <v>554</v>
      </c>
      <c r="P900" s="8">
        <v>64</v>
      </c>
      <c r="Q900" s="8">
        <f t="shared" si="21"/>
        <v>70089.990000000005</v>
      </c>
    </row>
    <row r="901" spans="1:17" x14ac:dyDescent="0.25">
      <c r="A901" s="5"/>
      <c r="B901" s="5"/>
      <c r="C901" s="5"/>
      <c r="D901" s="5"/>
      <c r="E901" s="5"/>
      <c r="F901" s="5"/>
      <c r="G901" s="5"/>
      <c r="H901" s="5" t="s">
        <v>596</v>
      </c>
      <c r="I901" s="6">
        <v>44819</v>
      </c>
      <c r="J901" s="5" t="s">
        <v>682</v>
      </c>
      <c r="K901" s="5" t="s">
        <v>876</v>
      </c>
      <c r="L901" s="5"/>
      <c r="M901" s="5"/>
      <c r="N901" s="7"/>
      <c r="O901" s="5" t="s">
        <v>554</v>
      </c>
      <c r="P901" s="8">
        <v>2000</v>
      </c>
      <c r="Q901" s="8">
        <f t="shared" si="21"/>
        <v>72089.990000000005</v>
      </c>
    </row>
    <row r="902" spans="1:17" x14ac:dyDescent="0.25">
      <c r="A902" s="5"/>
      <c r="B902" s="5"/>
      <c r="C902" s="5"/>
      <c r="D902" s="5"/>
      <c r="E902" s="5"/>
      <c r="F902" s="5"/>
      <c r="G902" s="5"/>
      <c r="H902" s="5" t="s">
        <v>596</v>
      </c>
      <c r="I902" s="6">
        <v>44819</v>
      </c>
      <c r="J902" s="5" t="s">
        <v>682</v>
      </c>
      <c r="K902" s="5" t="s">
        <v>876</v>
      </c>
      <c r="L902" s="5"/>
      <c r="M902" s="5"/>
      <c r="N902" s="7"/>
      <c r="O902" s="5" t="s">
        <v>554</v>
      </c>
      <c r="P902" s="8">
        <v>106.33</v>
      </c>
      <c r="Q902" s="8">
        <f t="shared" si="21"/>
        <v>72196.320000000007</v>
      </c>
    </row>
    <row r="903" spans="1:17" x14ac:dyDescent="0.25">
      <c r="A903" s="5"/>
      <c r="B903" s="5"/>
      <c r="C903" s="5"/>
      <c r="D903" s="5"/>
      <c r="E903" s="5"/>
      <c r="F903" s="5"/>
      <c r="G903" s="5"/>
      <c r="H903" s="5" t="s">
        <v>596</v>
      </c>
      <c r="I903" s="6">
        <v>44819</v>
      </c>
      <c r="J903" s="5" t="s">
        <v>682</v>
      </c>
      <c r="K903" s="5" t="s">
        <v>876</v>
      </c>
      <c r="L903" s="5"/>
      <c r="M903" s="5"/>
      <c r="N903" s="7"/>
      <c r="O903" s="5" t="s">
        <v>554</v>
      </c>
      <c r="P903" s="8">
        <v>44.24</v>
      </c>
      <c r="Q903" s="8">
        <f t="shared" si="21"/>
        <v>72240.56</v>
      </c>
    </row>
    <row r="904" spans="1:17" x14ac:dyDescent="0.25">
      <c r="A904" s="5"/>
      <c r="B904" s="5"/>
      <c r="C904" s="5"/>
      <c r="D904" s="5"/>
      <c r="E904" s="5"/>
      <c r="F904" s="5"/>
      <c r="G904" s="5"/>
      <c r="H904" s="5" t="s">
        <v>596</v>
      </c>
      <c r="I904" s="6">
        <v>44819</v>
      </c>
      <c r="J904" s="5" t="s">
        <v>682</v>
      </c>
      <c r="K904" s="5" t="s">
        <v>876</v>
      </c>
      <c r="L904" s="5"/>
      <c r="M904" s="5"/>
      <c r="N904" s="7"/>
      <c r="O904" s="5" t="s">
        <v>554</v>
      </c>
      <c r="P904" s="8">
        <v>80</v>
      </c>
      <c r="Q904" s="8">
        <f t="shared" si="21"/>
        <v>72320.56</v>
      </c>
    </row>
    <row r="905" spans="1:17" x14ac:dyDescent="0.25">
      <c r="A905" s="5"/>
      <c r="B905" s="5"/>
      <c r="C905" s="5"/>
      <c r="D905" s="5"/>
      <c r="E905" s="5"/>
      <c r="F905" s="5"/>
      <c r="G905" s="5"/>
      <c r="H905" s="5" t="s">
        <v>596</v>
      </c>
      <c r="I905" s="6">
        <v>44819</v>
      </c>
      <c r="J905" s="5" t="s">
        <v>683</v>
      </c>
      <c r="K905" s="5" t="s">
        <v>884</v>
      </c>
      <c r="L905" s="5"/>
      <c r="M905" s="5"/>
      <c r="N905" s="7"/>
      <c r="O905" s="5" t="s">
        <v>554</v>
      </c>
      <c r="P905" s="8">
        <v>1116</v>
      </c>
      <c r="Q905" s="8">
        <f t="shared" si="21"/>
        <v>73436.56</v>
      </c>
    </row>
    <row r="906" spans="1:17" x14ac:dyDescent="0.25">
      <c r="A906" s="5"/>
      <c r="B906" s="5"/>
      <c r="C906" s="5"/>
      <c r="D906" s="5"/>
      <c r="E906" s="5"/>
      <c r="F906" s="5"/>
      <c r="G906" s="5"/>
      <c r="H906" s="5" t="s">
        <v>596</v>
      </c>
      <c r="I906" s="6">
        <v>44819</v>
      </c>
      <c r="J906" s="5" t="s">
        <v>683</v>
      </c>
      <c r="K906" s="5" t="s">
        <v>884</v>
      </c>
      <c r="L906" s="5"/>
      <c r="M906" s="5"/>
      <c r="N906" s="7"/>
      <c r="O906" s="5" t="s">
        <v>554</v>
      </c>
      <c r="P906" s="8">
        <v>55.94</v>
      </c>
      <c r="Q906" s="8">
        <f t="shared" si="21"/>
        <v>73492.5</v>
      </c>
    </row>
    <row r="907" spans="1:17" x14ac:dyDescent="0.25">
      <c r="A907" s="5"/>
      <c r="B907" s="5"/>
      <c r="C907" s="5"/>
      <c r="D907" s="5"/>
      <c r="E907" s="5"/>
      <c r="F907" s="5"/>
      <c r="G907" s="5"/>
      <c r="H907" s="5" t="s">
        <v>596</v>
      </c>
      <c r="I907" s="6">
        <v>44819</v>
      </c>
      <c r="J907" s="5" t="s">
        <v>683</v>
      </c>
      <c r="K907" s="5" t="s">
        <v>884</v>
      </c>
      <c r="L907" s="5"/>
      <c r="M907" s="5"/>
      <c r="N907" s="7"/>
      <c r="O907" s="5" t="s">
        <v>554</v>
      </c>
      <c r="P907" s="8">
        <v>24.68</v>
      </c>
      <c r="Q907" s="8">
        <f t="shared" si="21"/>
        <v>73517.179999999993</v>
      </c>
    </row>
    <row r="908" spans="1:17" x14ac:dyDescent="0.25">
      <c r="A908" s="5"/>
      <c r="B908" s="5"/>
      <c r="C908" s="5"/>
      <c r="D908" s="5"/>
      <c r="E908" s="5"/>
      <c r="F908" s="5"/>
      <c r="G908" s="5"/>
      <c r="H908" s="5" t="s">
        <v>596</v>
      </c>
      <c r="I908" s="6">
        <v>44819</v>
      </c>
      <c r="J908" s="5" t="s">
        <v>683</v>
      </c>
      <c r="K908" s="5" t="s">
        <v>884</v>
      </c>
      <c r="L908" s="5"/>
      <c r="M908" s="5"/>
      <c r="N908" s="7"/>
      <c r="O908" s="5" t="s">
        <v>554</v>
      </c>
      <c r="P908" s="8">
        <v>0</v>
      </c>
      <c r="Q908" s="8">
        <f t="shared" si="21"/>
        <v>73517.179999999993</v>
      </c>
    </row>
    <row r="909" spans="1:17" x14ac:dyDescent="0.25">
      <c r="A909" s="5"/>
      <c r="B909" s="5"/>
      <c r="C909" s="5"/>
      <c r="D909" s="5"/>
      <c r="E909" s="5"/>
      <c r="F909" s="5"/>
      <c r="G909" s="5"/>
      <c r="H909" s="5" t="s">
        <v>596</v>
      </c>
      <c r="I909" s="6">
        <v>44819</v>
      </c>
      <c r="J909" s="5" t="s">
        <v>684</v>
      </c>
      <c r="K909" s="5" t="s">
        <v>881</v>
      </c>
      <c r="L909" s="5"/>
      <c r="M909" s="5"/>
      <c r="N909" s="7"/>
      <c r="O909" s="5" t="s">
        <v>554</v>
      </c>
      <c r="P909" s="8">
        <v>1400</v>
      </c>
      <c r="Q909" s="8">
        <f t="shared" si="21"/>
        <v>74917.179999999993</v>
      </c>
    </row>
    <row r="910" spans="1:17" x14ac:dyDescent="0.25">
      <c r="A910" s="5"/>
      <c r="B910" s="5"/>
      <c r="C910" s="5"/>
      <c r="D910" s="5"/>
      <c r="E910" s="5"/>
      <c r="F910" s="5"/>
      <c r="G910" s="5"/>
      <c r="H910" s="5" t="s">
        <v>596</v>
      </c>
      <c r="I910" s="6">
        <v>44819</v>
      </c>
      <c r="J910" s="5" t="s">
        <v>684</v>
      </c>
      <c r="K910" s="5" t="s">
        <v>881</v>
      </c>
      <c r="L910" s="5"/>
      <c r="M910" s="5"/>
      <c r="N910" s="7"/>
      <c r="O910" s="5" t="s">
        <v>554</v>
      </c>
      <c r="P910" s="8">
        <v>72.13</v>
      </c>
      <c r="Q910" s="8">
        <f t="shared" si="21"/>
        <v>74989.31</v>
      </c>
    </row>
    <row r="911" spans="1:17" x14ac:dyDescent="0.25">
      <c r="A911" s="5"/>
      <c r="B911" s="5"/>
      <c r="C911" s="5"/>
      <c r="D911" s="5"/>
      <c r="E911" s="5"/>
      <c r="F911" s="5"/>
      <c r="G911" s="5"/>
      <c r="H911" s="5" t="s">
        <v>596</v>
      </c>
      <c r="I911" s="6">
        <v>44819</v>
      </c>
      <c r="J911" s="5" t="s">
        <v>684</v>
      </c>
      <c r="K911" s="5" t="s">
        <v>881</v>
      </c>
      <c r="L911" s="5"/>
      <c r="M911" s="5"/>
      <c r="N911" s="7"/>
      <c r="O911" s="5" t="s">
        <v>554</v>
      </c>
      <c r="P911" s="8">
        <v>30.97</v>
      </c>
      <c r="Q911" s="8">
        <f t="shared" si="21"/>
        <v>75020.28</v>
      </c>
    </row>
    <row r="912" spans="1:17" x14ac:dyDescent="0.25">
      <c r="A912" s="5"/>
      <c r="B912" s="5"/>
      <c r="C912" s="5"/>
      <c r="D912" s="5"/>
      <c r="E912" s="5"/>
      <c r="F912" s="5"/>
      <c r="G912" s="5"/>
      <c r="H912" s="5" t="s">
        <v>596</v>
      </c>
      <c r="I912" s="6">
        <v>44819</v>
      </c>
      <c r="J912" s="5" t="s">
        <v>684</v>
      </c>
      <c r="K912" s="5" t="s">
        <v>881</v>
      </c>
      <c r="L912" s="5"/>
      <c r="M912" s="5"/>
      <c r="N912" s="7"/>
      <c r="O912" s="5" t="s">
        <v>554</v>
      </c>
      <c r="P912" s="8">
        <v>0</v>
      </c>
      <c r="Q912" s="8">
        <f t="shared" si="21"/>
        <v>75020.28</v>
      </c>
    </row>
    <row r="913" spans="1:17" x14ac:dyDescent="0.25">
      <c r="A913" s="5"/>
      <c r="B913" s="5"/>
      <c r="C913" s="5"/>
      <c r="D913" s="5"/>
      <c r="E913" s="5"/>
      <c r="F913" s="5"/>
      <c r="G913" s="5"/>
      <c r="H913" s="5" t="s">
        <v>596</v>
      </c>
      <c r="I913" s="6">
        <v>44819</v>
      </c>
      <c r="J913" s="5" t="s">
        <v>685</v>
      </c>
      <c r="K913" s="5" t="s">
        <v>880</v>
      </c>
      <c r="L913" s="5"/>
      <c r="M913" s="5"/>
      <c r="N913" s="7"/>
      <c r="O913" s="5" t="s">
        <v>554</v>
      </c>
      <c r="P913" s="8">
        <v>980.8</v>
      </c>
      <c r="Q913" s="8">
        <f t="shared" si="21"/>
        <v>76001.08</v>
      </c>
    </row>
    <row r="914" spans="1:17" x14ac:dyDescent="0.25">
      <c r="A914" s="5"/>
      <c r="B914" s="5"/>
      <c r="C914" s="5"/>
      <c r="D914" s="5"/>
      <c r="E914" s="5"/>
      <c r="F914" s="5"/>
      <c r="G914" s="5"/>
      <c r="H914" s="5" t="s">
        <v>596</v>
      </c>
      <c r="I914" s="6">
        <v>44819</v>
      </c>
      <c r="J914" s="5" t="s">
        <v>685</v>
      </c>
      <c r="K914" s="5" t="s">
        <v>880</v>
      </c>
      <c r="L914" s="5"/>
      <c r="M914" s="5"/>
      <c r="N914" s="7"/>
      <c r="O914" s="5" t="s">
        <v>554</v>
      </c>
      <c r="P914" s="8">
        <v>0</v>
      </c>
      <c r="Q914" s="8">
        <f t="shared" si="21"/>
        <v>76001.08</v>
      </c>
    </row>
    <row r="915" spans="1:17" x14ac:dyDescent="0.25">
      <c r="A915" s="5"/>
      <c r="B915" s="5"/>
      <c r="C915" s="5"/>
      <c r="D915" s="5"/>
      <c r="E915" s="5"/>
      <c r="F915" s="5"/>
      <c r="G915" s="5"/>
      <c r="H915" s="5" t="s">
        <v>596</v>
      </c>
      <c r="I915" s="6">
        <v>44819</v>
      </c>
      <c r="J915" s="5" t="s">
        <v>685</v>
      </c>
      <c r="K915" s="5" t="s">
        <v>880</v>
      </c>
      <c r="L915" s="5"/>
      <c r="M915" s="5"/>
      <c r="N915" s="7"/>
      <c r="O915" s="5" t="s">
        <v>554</v>
      </c>
      <c r="P915" s="8">
        <v>21.7</v>
      </c>
      <c r="Q915" s="8">
        <f t="shared" si="21"/>
        <v>76022.78</v>
      </c>
    </row>
    <row r="916" spans="1:17" x14ac:dyDescent="0.25">
      <c r="A916" s="5"/>
      <c r="B916" s="5"/>
      <c r="C916" s="5"/>
      <c r="D916" s="5"/>
      <c r="E916" s="5"/>
      <c r="F916" s="5"/>
      <c r="G916" s="5"/>
      <c r="H916" s="5" t="s">
        <v>596</v>
      </c>
      <c r="I916" s="6">
        <v>44819</v>
      </c>
      <c r="J916" s="5" t="s">
        <v>685</v>
      </c>
      <c r="K916" s="5" t="s">
        <v>880</v>
      </c>
      <c r="L916" s="5"/>
      <c r="M916" s="5"/>
      <c r="N916" s="7"/>
      <c r="O916" s="5" t="s">
        <v>554</v>
      </c>
      <c r="P916" s="8">
        <v>0</v>
      </c>
      <c r="Q916" s="8">
        <f t="shared" si="21"/>
        <v>76022.78</v>
      </c>
    </row>
    <row r="917" spans="1:17" x14ac:dyDescent="0.25">
      <c r="A917" s="5"/>
      <c r="B917" s="5"/>
      <c r="C917" s="5"/>
      <c r="D917" s="5"/>
      <c r="E917" s="5"/>
      <c r="F917" s="5"/>
      <c r="G917" s="5"/>
      <c r="H917" s="5" t="s">
        <v>596</v>
      </c>
      <c r="I917" s="6">
        <v>44833</v>
      </c>
      <c r="J917" s="5" t="s">
        <v>686</v>
      </c>
      <c r="K917" s="5" t="s">
        <v>877</v>
      </c>
      <c r="L917" s="5"/>
      <c r="M917" s="5"/>
      <c r="N917" s="7"/>
      <c r="O917" s="5" t="s">
        <v>554</v>
      </c>
      <c r="P917" s="8">
        <v>1600</v>
      </c>
      <c r="Q917" s="8">
        <f t="shared" si="21"/>
        <v>77622.78</v>
      </c>
    </row>
    <row r="918" spans="1:17" x14ac:dyDescent="0.25">
      <c r="A918" s="5"/>
      <c r="B918" s="5"/>
      <c r="C918" s="5"/>
      <c r="D918" s="5"/>
      <c r="E918" s="5"/>
      <c r="F918" s="5"/>
      <c r="G918" s="5"/>
      <c r="H918" s="5" t="s">
        <v>596</v>
      </c>
      <c r="I918" s="6">
        <v>44833</v>
      </c>
      <c r="J918" s="5" t="s">
        <v>686</v>
      </c>
      <c r="K918" s="5" t="s">
        <v>877</v>
      </c>
      <c r="L918" s="5"/>
      <c r="M918" s="5"/>
      <c r="N918" s="7"/>
      <c r="O918" s="5" t="s">
        <v>554</v>
      </c>
      <c r="P918" s="8">
        <v>83.53</v>
      </c>
      <c r="Q918" s="8">
        <f t="shared" si="21"/>
        <v>77706.31</v>
      </c>
    </row>
    <row r="919" spans="1:17" x14ac:dyDescent="0.25">
      <c r="A919" s="5"/>
      <c r="B919" s="5"/>
      <c r="C919" s="5"/>
      <c r="D919" s="5"/>
      <c r="E919" s="5"/>
      <c r="F919" s="5"/>
      <c r="G919" s="5"/>
      <c r="H919" s="5" t="s">
        <v>596</v>
      </c>
      <c r="I919" s="6">
        <v>44833</v>
      </c>
      <c r="J919" s="5" t="s">
        <v>686</v>
      </c>
      <c r="K919" s="5" t="s">
        <v>877</v>
      </c>
      <c r="L919" s="5"/>
      <c r="M919" s="5"/>
      <c r="N919" s="7"/>
      <c r="O919" s="5" t="s">
        <v>554</v>
      </c>
      <c r="P919" s="8">
        <v>35.39</v>
      </c>
      <c r="Q919" s="8">
        <f t="shared" si="21"/>
        <v>77741.7</v>
      </c>
    </row>
    <row r="920" spans="1:17" x14ac:dyDescent="0.25">
      <c r="A920" s="5"/>
      <c r="B920" s="5"/>
      <c r="C920" s="5"/>
      <c r="D920" s="5"/>
      <c r="E920" s="5"/>
      <c r="F920" s="5"/>
      <c r="G920" s="5"/>
      <c r="H920" s="5" t="s">
        <v>596</v>
      </c>
      <c r="I920" s="6">
        <v>44833</v>
      </c>
      <c r="J920" s="5" t="s">
        <v>686</v>
      </c>
      <c r="K920" s="5" t="s">
        <v>877</v>
      </c>
      <c r="L920" s="5"/>
      <c r="M920" s="5"/>
      <c r="N920" s="7"/>
      <c r="O920" s="5" t="s">
        <v>554</v>
      </c>
      <c r="P920" s="8">
        <v>64</v>
      </c>
      <c r="Q920" s="8">
        <f t="shared" si="21"/>
        <v>77805.7</v>
      </c>
    </row>
    <row r="921" spans="1:17" x14ac:dyDescent="0.25">
      <c r="A921" s="5"/>
      <c r="B921" s="5"/>
      <c r="C921" s="5"/>
      <c r="D921" s="5"/>
      <c r="E921" s="5"/>
      <c r="F921" s="5"/>
      <c r="G921" s="5"/>
      <c r="H921" s="5" t="s">
        <v>596</v>
      </c>
      <c r="I921" s="6">
        <v>44833</v>
      </c>
      <c r="J921" s="5" t="s">
        <v>687</v>
      </c>
      <c r="K921" s="5" t="s">
        <v>876</v>
      </c>
      <c r="L921" s="5"/>
      <c r="M921" s="5"/>
      <c r="N921" s="7"/>
      <c r="O921" s="5" t="s">
        <v>554</v>
      </c>
      <c r="P921" s="8">
        <v>2000</v>
      </c>
      <c r="Q921" s="8">
        <f t="shared" si="21"/>
        <v>79805.7</v>
      </c>
    </row>
    <row r="922" spans="1:17" x14ac:dyDescent="0.25">
      <c r="A922" s="5"/>
      <c r="B922" s="5"/>
      <c r="C922" s="5"/>
      <c r="D922" s="5"/>
      <c r="E922" s="5"/>
      <c r="F922" s="5"/>
      <c r="G922" s="5"/>
      <c r="H922" s="5" t="s">
        <v>596</v>
      </c>
      <c r="I922" s="6">
        <v>44833</v>
      </c>
      <c r="J922" s="5" t="s">
        <v>687</v>
      </c>
      <c r="K922" s="5" t="s">
        <v>876</v>
      </c>
      <c r="L922" s="5"/>
      <c r="M922" s="5"/>
      <c r="N922" s="7"/>
      <c r="O922" s="5" t="s">
        <v>554</v>
      </c>
      <c r="P922" s="8">
        <v>106.33</v>
      </c>
      <c r="Q922" s="8">
        <f t="shared" si="21"/>
        <v>79912.03</v>
      </c>
    </row>
    <row r="923" spans="1:17" x14ac:dyDescent="0.25">
      <c r="A923" s="5"/>
      <c r="B923" s="5"/>
      <c r="C923" s="5"/>
      <c r="D923" s="5"/>
      <c r="E923" s="5"/>
      <c r="F923" s="5"/>
      <c r="G923" s="5"/>
      <c r="H923" s="5" t="s">
        <v>596</v>
      </c>
      <c r="I923" s="6">
        <v>44833</v>
      </c>
      <c r="J923" s="5" t="s">
        <v>687</v>
      </c>
      <c r="K923" s="5" t="s">
        <v>876</v>
      </c>
      <c r="L923" s="5"/>
      <c r="M923" s="5"/>
      <c r="N923" s="7"/>
      <c r="O923" s="5" t="s">
        <v>554</v>
      </c>
      <c r="P923" s="8">
        <v>44.24</v>
      </c>
      <c r="Q923" s="8">
        <f t="shared" si="21"/>
        <v>79956.27</v>
      </c>
    </row>
    <row r="924" spans="1:17" x14ac:dyDescent="0.25">
      <c r="A924" s="5"/>
      <c r="B924" s="5"/>
      <c r="C924" s="5"/>
      <c r="D924" s="5"/>
      <c r="E924" s="5"/>
      <c r="F924" s="5"/>
      <c r="G924" s="5"/>
      <c r="H924" s="5" t="s">
        <v>596</v>
      </c>
      <c r="I924" s="6">
        <v>44833</v>
      </c>
      <c r="J924" s="5" t="s">
        <v>687</v>
      </c>
      <c r="K924" s="5" t="s">
        <v>876</v>
      </c>
      <c r="L924" s="5"/>
      <c r="M924" s="5"/>
      <c r="N924" s="7"/>
      <c r="O924" s="5" t="s">
        <v>554</v>
      </c>
      <c r="P924" s="8">
        <v>80</v>
      </c>
      <c r="Q924" s="8">
        <f t="shared" si="21"/>
        <v>80036.27</v>
      </c>
    </row>
    <row r="925" spans="1:17" x14ac:dyDescent="0.25">
      <c r="A925" s="5"/>
      <c r="B925" s="5"/>
      <c r="C925" s="5"/>
      <c r="D925" s="5"/>
      <c r="E925" s="5"/>
      <c r="F925" s="5"/>
      <c r="G925" s="5"/>
      <c r="H925" s="5" t="s">
        <v>596</v>
      </c>
      <c r="I925" s="6">
        <v>44833</v>
      </c>
      <c r="J925" s="5" t="s">
        <v>688</v>
      </c>
      <c r="K925" s="5" t="s">
        <v>884</v>
      </c>
      <c r="L925" s="5"/>
      <c r="M925" s="5"/>
      <c r="N925" s="7"/>
      <c r="O925" s="5" t="s">
        <v>554</v>
      </c>
      <c r="P925" s="8">
        <v>1531.2</v>
      </c>
      <c r="Q925" s="8">
        <f t="shared" si="21"/>
        <v>81567.47</v>
      </c>
    </row>
    <row r="926" spans="1:17" x14ac:dyDescent="0.25">
      <c r="A926" s="5"/>
      <c r="B926" s="5"/>
      <c r="C926" s="5"/>
      <c r="D926" s="5"/>
      <c r="E926" s="5"/>
      <c r="F926" s="5"/>
      <c r="G926" s="5"/>
      <c r="H926" s="5" t="s">
        <v>596</v>
      </c>
      <c r="I926" s="6">
        <v>44833</v>
      </c>
      <c r="J926" s="5" t="s">
        <v>688</v>
      </c>
      <c r="K926" s="5" t="s">
        <v>884</v>
      </c>
      <c r="L926" s="5"/>
      <c r="M926" s="5"/>
      <c r="N926" s="7"/>
      <c r="O926" s="5" t="s">
        <v>554</v>
      </c>
      <c r="P926" s="8">
        <v>79.61</v>
      </c>
      <c r="Q926" s="8">
        <f t="shared" si="21"/>
        <v>81647.08</v>
      </c>
    </row>
    <row r="927" spans="1:17" x14ac:dyDescent="0.25">
      <c r="A927" s="5"/>
      <c r="B927" s="5"/>
      <c r="C927" s="5"/>
      <c r="D927" s="5"/>
      <c r="E927" s="5"/>
      <c r="F927" s="5"/>
      <c r="G927" s="5"/>
      <c r="H927" s="5" t="s">
        <v>596</v>
      </c>
      <c r="I927" s="6">
        <v>44833</v>
      </c>
      <c r="J927" s="5" t="s">
        <v>688</v>
      </c>
      <c r="K927" s="5" t="s">
        <v>884</v>
      </c>
      <c r="L927" s="5"/>
      <c r="M927" s="5"/>
      <c r="N927" s="7"/>
      <c r="O927" s="5" t="s">
        <v>554</v>
      </c>
      <c r="P927" s="8">
        <v>33.869999999999997</v>
      </c>
      <c r="Q927" s="8">
        <f t="shared" si="21"/>
        <v>81680.95</v>
      </c>
    </row>
    <row r="928" spans="1:17" x14ac:dyDescent="0.25">
      <c r="A928" s="5"/>
      <c r="B928" s="5"/>
      <c r="C928" s="5"/>
      <c r="D928" s="5"/>
      <c r="E928" s="5"/>
      <c r="F928" s="5"/>
      <c r="G928" s="5"/>
      <c r="H928" s="5" t="s">
        <v>596</v>
      </c>
      <c r="I928" s="6">
        <v>44833</v>
      </c>
      <c r="J928" s="5" t="s">
        <v>688</v>
      </c>
      <c r="K928" s="5" t="s">
        <v>884</v>
      </c>
      <c r="L928" s="5"/>
      <c r="M928" s="5"/>
      <c r="N928" s="7"/>
      <c r="O928" s="5" t="s">
        <v>554</v>
      </c>
      <c r="P928" s="8">
        <v>0</v>
      </c>
      <c r="Q928" s="8">
        <f t="shared" si="21"/>
        <v>81680.95</v>
      </c>
    </row>
    <row r="929" spans="1:17" x14ac:dyDescent="0.25">
      <c r="A929" s="5"/>
      <c r="B929" s="5"/>
      <c r="C929" s="5"/>
      <c r="D929" s="5"/>
      <c r="E929" s="5"/>
      <c r="F929" s="5"/>
      <c r="G929" s="5"/>
      <c r="H929" s="5" t="s">
        <v>596</v>
      </c>
      <c r="I929" s="6">
        <v>44833</v>
      </c>
      <c r="J929" s="5" t="s">
        <v>689</v>
      </c>
      <c r="K929" s="5" t="s">
        <v>885</v>
      </c>
      <c r="L929" s="5"/>
      <c r="M929" s="5"/>
      <c r="N929" s="7"/>
      <c r="O929" s="5" t="s">
        <v>554</v>
      </c>
      <c r="P929" s="8">
        <v>1500</v>
      </c>
      <c r="Q929" s="8">
        <f t="shared" si="21"/>
        <v>83180.95</v>
      </c>
    </row>
    <row r="930" spans="1:17" x14ac:dyDescent="0.25">
      <c r="A930" s="5"/>
      <c r="B930" s="5"/>
      <c r="C930" s="5"/>
      <c r="D930" s="5"/>
      <c r="E930" s="5"/>
      <c r="F930" s="5"/>
      <c r="G930" s="5"/>
      <c r="H930" s="5" t="s">
        <v>596</v>
      </c>
      <c r="I930" s="6">
        <v>44833</v>
      </c>
      <c r="J930" s="5" t="s">
        <v>689</v>
      </c>
      <c r="K930" s="5" t="s">
        <v>885</v>
      </c>
      <c r="L930" s="5"/>
      <c r="M930" s="5"/>
      <c r="N930" s="7"/>
      <c r="O930" s="5" t="s">
        <v>554</v>
      </c>
      <c r="P930" s="8">
        <v>77.83</v>
      </c>
      <c r="Q930" s="8">
        <f t="shared" si="21"/>
        <v>83258.78</v>
      </c>
    </row>
    <row r="931" spans="1:17" x14ac:dyDescent="0.25">
      <c r="A931" s="5"/>
      <c r="B931" s="5"/>
      <c r="C931" s="5"/>
      <c r="D931" s="5"/>
      <c r="E931" s="5"/>
      <c r="F931" s="5"/>
      <c r="G931" s="5"/>
      <c r="H931" s="5" t="s">
        <v>596</v>
      </c>
      <c r="I931" s="6">
        <v>44833</v>
      </c>
      <c r="J931" s="5" t="s">
        <v>689</v>
      </c>
      <c r="K931" s="5" t="s">
        <v>885</v>
      </c>
      <c r="L931" s="5"/>
      <c r="M931" s="5"/>
      <c r="N931" s="7"/>
      <c r="O931" s="5" t="s">
        <v>554</v>
      </c>
      <c r="P931" s="8">
        <v>33.18</v>
      </c>
      <c r="Q931" s="8">
        <f t="shared" si="21"/>
        <v>83291.960000000006</v>
      </c>
    </row>
    <row r="932" spans="1:17" x14ac:dyDescent="0.25">
      <c r="A932" s="5"/>
      <c r="B932" s="5"/>
      <c r="C932" s="5"/>
      <c r="D932" s="5"/>
      <c r="E932" s="5"/>
      <c r="F932" s="5"/>
      <c r="G932" s="5"/>
      <c r="H932" s="5" t="s">
        <v>596</v>
      </c>
      <c r="I932" s="6">
        <v>44833</v>
      </c>
      <c r="J932" s="5" t="s">
        <v>689</v>
      </c>
      <c r="K932" s="5" t="s">
        <v>885</v>
      </c>
      <c r="L932" s="5"/>
      <c r="M932" s="5"/>
      <c r="N932" s="7"/>
      <c r="O932" s="5" t="s">
        <v>554</v>
      </c>
      <c r="P932" s="8">
        <v>0</v>
      </c>
      <c r="Q932" s="8">
        <f t="shared" si="21"/>
        <v>83291.960000000006</v>
      </c>
    </row>
    <row r="933" spans="1:17" x14ac:dyDescent="0.25">
      <c r="A933" s="5"/>
      <c r="B933" s="5"/>
      <c r="C933" s="5"/>
      <c r="D933" s="5"/>
      <c r="E933" s="5"/>
      <c r="F933" s="5"/>
      <c r="G933" s="5"/>
      <c r="H933" s="5" t="s">
        <v>596</v>
      </c>
      <c r="I933" s="6">
        <v>44833</v>
      </c>
      <c r="J933" s="5" t="s">
        <v>690</v>
      </c>
      <c r="K933" s="5" t="s">
        <v>881</v>
      </c>
      <c r="L933" s="5"/>
      <c r="M933" s="5"/>
      <c r="N933" s="7"/>
      <c r="O933" s="5" t="s">
        <v>554</v>
      </c>
      <c r="P933" s="8">
        <v>1400</v>
      </c>
      <c r="Q933" s="8">
        <f t="shared" si="21"/>
        <v>84691.96</v>
      </c>
    </row>
    <row r="934" spans="1:17" x14ac:dyDescent="0.25">
      <c r="A934" s="5"/>
      <c r="B934" s="5"/>
      <c r="C934" s="5"/>
      <c r="D934" s="5"/>
      <c r="E934" s="5"/>
      <c r="F934" s="5"/>
      <c r="G934" s="5"/>
      <c r="H934" s="5" t="s">
        <v>596</v>
      </c>
      <c r="I934" s="6">
        <v>44833</v>
      </c>
      <c r="J934" s="5" t="s">
        <v>690</v>
      </c>
      <c r="K934" s="5" t="s">
        <v>881</v>
      </c>
      <c r="L934" s="5"/>
      <c r="M934" s="5"/>
      <c r="N934" s="7"/>
      <c r="O934" s="5" t="s">
        <v>554</v>
      </c>
      <c r="P934" s="8">
        <v>72.13</v>
      </c>
      <c r="Q934" s="8">
        <f t="shared" si="21"/>
        <v>84764.09</v>
      </c>
    </row>
    <row r="935" spans="1:17" x14ac:dyDescent="0.25">
      <c r="A935" s="5"/>
      <c r="B935" s="5"/>
      <c r="C935" s="5"/>
      <c r="D935" s="5"/>
      <c r="E935" s="5"/>
      <c r="F935" s="5"/>
      <c r="G935" s="5"/>
      <c r="H935" s="5" t="s">
        <v>596</v>
      </c>
      <c r="I935" s="6">
        <v>44833</v>
      </c>
      <c r="J935" s="5" t="s">
        <v>690</v>
      </c>
      <c r="K935" s="5" t="s">
        <v>881</v>
      </c>
      <c r="L935" s="5"/>
      <c r="M935" s="5"/>
      <c r="N935" s="7"/>
      <c r="O935" s="5" t="s">
        <v>554</v>
      </c>
      <c r="P935" s="8">
        <v>30.97</v>
      </c>
      <c r="Q935" s="8">
        <f t="shared" si="21"/>
        <v>84795.06</v>
      </c>
    </row>
    <row r="936" spans="1:17" x14ac:dyDescent="0.25">
      <c r="A936" s="5"/>
      <c r="B936" s="5"/>
      <c r="C936" s="5"/>
      <c r="D936" s="5"/>
      <c r="E936" s="5"/>
      <c r="F936" s="5"/>
      <c r="G936" s="5"/>
      <c r="H936" s="5" t="s">
        <v>596</v>
      </c>
      <c r="I936" s="6">
        <v>44833</v>
      </c>
      <c r="J936" s="5" t="s">
        <v>690</v>
      </c>
      <c r="K936" s="5" t="s">
        <v>881</v>
      </c>
      <c r="L936" s="5"/>
      <c r="M936" s="5"/>
      <c r="N936" s="7"/>
      <c r="O936" s="5" t="s">
        <v>554</v>
      </c>
      <c r="P936" s="8">
        <v>0</v>
      </c>
      <c r="Q936" s="8">
        <f t="shared" si="21"/>
        <v>84795.06</v>
      </c>
    </row>
    <row r="937" spans="1:17" x14ac:dyDescent="0.25">
      <c r="A937" s="5"/>
      <c r="B937" s="5"/>
      <c r="C937" s="5"/>
      <c r="D937" s="5"/>
      <c r="E937" s="5"/>
      <c r="F937" s="5"/>
      <c r="G937" s="5"/>
      <c r="H937" s="5" t="s">
        <v>596</v>
      </c>
      <c r="I937" s="6">
        <v>44833</v>
      </c>
      <c r="J937" s="5" t="s">
        <v>691</v>
      </c>
      <c r="K937" s="5" t="s">
        <v>880</v>
      </c>
      <c r="L937" s="5"/>
      <c r="M937" s="5"/>
      <c r="N937" s="7"/>
      <c r="O937" s="5" t="s">
        <v>554</v>
      </c>
      <c r="P937" s="8">
        <v>818.67</v>
      </c>
      <c r="Q937" s="8">
        <f t="shared" si="21"/>
        <v>85613.73</v>
      </c>
    </row>
    <row r="938" spans="1:17" x14ac:dyDescent="0.25">
      <c r="A938" s="5"/>
      <c r="B938" s="5"/>
      <c r="C938" s="5"/>
      <c r="D938" s="5"/>
      <c r="E938" s="5"/>
      <c r="F938" s="5"/>
      <c r="G938" s="5"/>
      <c r="H938" s="5" t="s">
        <v>596</v>
      </c>
      <c r="I938" s="6">
        <v>44833</v>
      </c>
      <c r="J938" s="5" t="s">
        <v>691</v>
      </c>
      <c r="K938" s="5" t="s">
        <v>880</v>
      </c>
      <c r="L938" s="5"/>
      <c r="M938" s="5"/>
      <c r="N938" s="7"/>
      <c r="O938" s="5" t="s">
        <v>554</v>
      </c>
      <c r="P938" s="8">
        <v>0</v>
      </c>
      <c r="Q938" s="8">
        <f t="shared" si="21"/>
        <v>85613.73</v>
      </c>
    </row>
    <row r="939" spans="1:17" x14ac:dyDescent="0.25">
      <c r="A939" s="5"/>
      <c r="B939" s="5"/>
      <c r="C939" s="5"/>
      <c r="D939" s="5"/>
      <c r="E939" s="5"/>
      <c r="F939" s="5"/>
      <c r="G939" s="5"/>
      <c r="H939" s="5" t="s">
        <v>596</v>
      </c>
      <c r="I939" s="6">
        <v>44833</v>
      </c>
      <c r="J939" s="5" t="s">
        <v>691</v>
      </c>
      <c r="K939" s="5" t="s">
        <v>880</v>
      </c>
      <c r="L939" s="5"/>
      <c r="M939" s="5"/>
      <c r="N939" s="7"/>
      <c r="O939" s="5" t="s">
        <v>554</v>
      </c>
      <c r="P939" s="8">
        <v>18.100000000000001</v>
      </c>
      <c r="Q939" s="8">
        <f t="shared" si="21"/>
        <v>85631.83</v>
      </c>
    </row>
    <row r="940" spans="1:17" x14ac:dyDescent="0.25">
      <c r="A940" s="5"/>
      <c r="B940" s="5"/>
      <c r="C940" s="5"/>
      <c r="D940" s="5"/>
      <c r="E940" s="5"/>
      <c r="F940" s="5"/>
      <c r="G940" s="5"/>
      <c r="H940" s="5" t="s">
        <v>596</v>
      </c>
      <c r="I940" s="6">
        <v>44833</v>
      </c>
      <c r="J940" s="5" t="s">
        <v>691</v>
      </c>
      <c r="K940" s="5" t="s">
        <v>880</v>
      </c>
      <c r="L940" s="5"/>
      <c r="M940" s="5"/>
      <c r="N940" s="7"/>
      <c r="O940" s="5" t="s">
        <v>554</v>
      </c>
      <c r="P940" s="8">
        <v>0</v>
      </c>
      <c r="Q940" s="8">
        <f t="shared" si="21"/>
        <v>85631.83</v>
      </c>
    </row>
    <row r="941" spans="1:17" x14ac:dyDescent="0.25">
      <c r="A941" s="5"/>
      <c r="B941" s="5"/>
      <c r="C941" s="5"/>
      <c r="D941" s="5"/>
      <c r="E941" s="5"/>
      <c r="F941" s="5"/>
      <c r="G941" s="5"/>
      <c r="H941" s="5" t="s">
        <v>596</v>
      </c>
      <c r="I941" s="6">
        <v>44833</v>
      </c>
      <c r="J941" s="5" t="s">
        <v>692</v>
      </c>
      <c r="K941" s="5" t="s">
        <v>886</v>
      </c>
      <c r="L941" s="5"/>
      <c r="M941" s="5"/>
      <c r="N941" s="7"/>
      <c r="O941" s="5" t="s">
        <v>554</v>
      </c>
      <c r="P941" s="8">
        <v>1523</v>
      </c>
      <c r="Q941" s="8">
        <f t="shared" si="21"/>
        <v>87154.83</v>
      </c>
    </row>
    <row r="942" spans="1:17" x14ac:dyDescent="0.25">
      <c r="A942" s="5"/>
      <c r="B942" s="5"/>
      <c r="C942" s="5"/>
      <c r="D942" s="5"/>
      <c r="E942" s="5"/>
      <c r="F942" s="5"/>
      <c r="G942" s="5"/>
      <c r="H942" s="5" t="s">
        <v>596</v>
      </c>
      <c r="I942" s="6">
        <v>44833</v>
      </c>
      <c r="J942" s="5" t="s">
        <v>692</v>
      </c>
      <c r="K942" s="5" t="s">
        <v>886</v>
      </c>
      <c r="L942" s="5"/>
      <c r="M942" s="5"/>
      <c r="N942" s="7"/>
      <c r="O942" s="5" t="s">
        <v>554</v>
      </c>
      <c r="P942" s="8">
        <v>79.14</v>
      </c>
      <c r="Q942" s="8">
        <f t="shared" si="21"/>
        <v>87233.97</v>
      </c>
    </row>
    <row r="943" spans="1:17" x14ac:dyDescent="0.25">
      <c r="A943" s="5"/>
      <c r="B943" s="5"/>
      <c r="C943" s="5"/>
      <c r="D943" s="5"/>
      <c r="E943" s="5"/>
      <c r="F943" s="5"/>
      <c r="G943" s="5"/>
      <c r="H943" s="5" t="s">
        <v>596</v>
      </c>
      <c r="I943" s="6">
        <v>44833</v>
      </c>
      <c r="J943" s="5" t="s">
        <v>692</v>
      </c>
      <c r="K943" s="5" t="s">
        <v>886</v>
      </c>
      <c r="L943" s="5"/>
      <c r="M943" s="5"/>
      <c r="N943" s="7"/>
      <c r="O943" s="5" t="s">
        <v>554</v>
      </c>
      <c r="P943" s="8">
        <v>33.68</v>
      </c>
      <c r="Q943" s="8">
        <f t="shared" si="21"/>
        <v>87267.65</v>
      </c>
    </row>
    <row r="944" spans="1:17" x14ac:dyDescent="0.25">
      <c r="A944" s="5"/>
      <c r="B944" s="5"/>
      <c r="C944" s="5"/>
      <c r="D944" s="5"/>
      <c r="E944" s="5"/>
      <c r="F944" s="5"/>
      <c r="G944" s="5"/>
      <c r="H944" s="5" t="s">
        <v>596</v>
      </c>
      <c r="I944" s="6">
        <v>44833</v>
      </c>
      <c r="J944" s="5" t="s">
        <v>692</v>
      </c>
      <c r="K944" s="5" t="s">
        <v>886</v>
      </c>
      <c r="L944" s="5"/>
      <c r="M944" s="5"/>
      <c r="N944" s="7"/>
      <c r="O944" s="5" t="s">
        <v>554</v>
      </c>
      <c r="P944" s="8">
        <v>0</v>
      </c>
      <c r="Q944" s="8">
        <f t="shared" si="21"/>
        <v>87267.65</v>
      </c>
    </row>
    <row r="945" spans="1:17" x14ac:dyDescent="0.25">
      <c r="A945" s="5"/>
      <c r="B945" s="5"/>
      <c r="C945" s="5"/>
      <c r="D945" s="5"/>
      <c r="E945" s="5"/>
      <c r="F945" s="5"/>
      <c r="G945" s="5"/>
      <c r="H945" s="5" t="s">
        <v>596</v>
      </c>
      <c r="I945" s="6">
        <v>44847</v>
      </c>
      <c r="J945" s="5" t="s">
        <v>693</v>
      </c>
      <c r="K945" s="5" t="s">
        <v>877</v>
      </c>
      <c r="L945" s="5"/>
      <c r="M945" s="5"/>
      <c r="N945" s="7"/>
      <c r="O945" s="5" t="s">
        <v>554</v>
      </c>
      <c r="P945" s="8">
        <v>1600</v>
      </c>
      <c r="Q945" s="8">
        <f t="shared" si="21"/>
        <v>88867.65</v>
      </c>
    </row>
    <row r="946" spans="1:17" x14ac:dyDescent="0.25">
      <c r="A946" s="5"/>
      <c r="B946" s="5"/>
      <c r="C946" s="5"/>
      <c r="D946" s="5"/>
      <c r="E946" s="5"/>
      <c r="F946" s="5"/>
      <c r="G946" s="5"/>
      <c r="H946" s="5" t="s">
        <v>596</v>
      </c>
      <c r="I946" s="6">
        <v>44847</v>
      </c>
      <c r="J946" s="5" t="s">
        <v>693</v>
      </c>
      <c r="K946" s="5" t="s">
        <v>877</v>
      </c>
      <c r="L946" s="5"/>
      <c r="M946" s="5"/>
      <c r="N946" s="7"/>
      <c r="O946" s="5" t="s">
        <v>554</v>
      </c>
      <c r="P946" s="8">
        <v>83.53</v>
      </c>
      <c r="Q946" s="8">
        <f t="shared" si="21"/>
        <v>88951.18</v>
      </c>
    </row>
    <row r="947" spans="1:17" x14ac:dyDescent="0.25">
      <c r="A947" s="5"/>
      <c r="B947" s="5"/>
      <c r="C947" s="5"/>
      <c r="D947" s="5"/>
      <c r="E947" s="5"/>
      <c r="F947" s="5"/>
      <c r="G947" s="5"/>
      <c r="H947" s="5" t="s">
        <v>596</v>
      </c>
      <c r="I947" s="6">
        <v>44847</v>
      </c>
      <c r="J947" s="5" t="s">
        <v>693</v>
      </c>
      <c r="K947" s="5" t="s">
        <v>877</v>
      </c>
      <c r="L947" s="5"/>
      <c r="M947" s="5"/>
      <c r="N947" s="7"/>
      <c r="O947" s="5" t="s">
        <v>554</v>
      </c>
      <c r="P947" s="8">
        <v>35.39</v>
      </c>
      <c r="Q947" s="8">
        <f t="shared" si="21"/>
        <v>88986.57</v>
      </c>
    </row>
    <row r="948" spans="1:17" x14ac:dyDescent="0.25">
      <c r="A948" s="5"/>
      <c r="B948" s="5"/>
      <c r="C948" s="5"/>
      <c r="D948" s="5"/>
      <c r="E948" s="5"/>
      <c r="F948" s="5"/>
      <c r="G948" s="5"/>
      <c r="H948" s="5" t="s">
        <v>596</v>
      </c>
      <c r="I948" s="6">
        <v>44847</v>
      </c>
      <c r="J948" s="5" t="s">
        <v>693</v>
      </c>
      <c r="K948" s="5" t="s">
        <v>877</v>
      </c>
      <c r="L948" s="5"/>
      <c r="M948" s="5"/>
      <c r="N948" s="7"/>
      <c r="O948" s="5" t="s">
        <v>554</v>
      </c>
      <c r="P948" s="8">
        <v>64</v>
      </c>
      <c r="Q948" s="8">
        <f t="shared" si="21"/>
        <v>89050.57</v>
      </c>
    </row>
    <row r="949" spans="1:17" x14ac:dyDescent="0.25">
      <c r="A949" s="5"/>
      <c r="B949" s="5"/>
      <c r="C949" s="5"/>
      <c r="D949" s="5"/>
      <c r="E949" s="5"/>
      <c r="F949" s="5"/>
      <c r="G949" s="5"/>
      <c r="H949" s="5" t="s">
        <v>596</v>
      </c>
      <c r="I949" s="6">
        <v>44847</v>
      </c>
      <c r="J949" s="5" t="s">
        <v>694</v>
      </c>
      <c r="K949" s="5" t="s">
        <v>876</v>
      </c>
      <c r="L949" s="5"/>
      <c r="M949" s="5"/>
      <c r="N949" s="7"/>
      <c r="O949" s="5" t="s">
        <v>554</v>
      </c>
      <c r="P949" s="8">
        <v>2000</v>
      </c>
      <c r="Q949" s="8">
        <f t="shared" si="21"/>
        <v>91050.57</v>
      </c>
    </row>
    <row r="950" spans="1:17" x14ac:dyDescent="0.25">
      <c r="A950" s="5"/>
      <c r="B950" s="5"/>
      <c r="C950" s="5"/>
      <c r="D950" s="5"/>
      <c r="E950" s="5"/>
      <c r="F950" s="5"/>
      <c r="G950" s="5"/>
      <c r="H950" s="5" t="s">
        <v>596</v>
      </c>
      <c r="I950" s="6">
        <v>44847</v>
      </c>
      <c r="J950" s="5" t="s">
        <v>694</v>
      </c>
      <c r="K950" s="5" t="s">
        <v>876</v>
      </c>
      <c r="L950" s="5"/>
      <c r="M950" s="5"/>
      <c r="N950" s="7"/>
      <c r="O950" s="5" t="s">
        <v>554</v>
      </c>
      <c r="P950" s="8">
        <v>106.33</v>
      </c>
      <c r="Q950" s="8">
        <f t="shared" si="21"/>
        <v>91156.9</v>
      </c>
    </row>
    <row r="951" spans="1:17" x14ac:dyDescent="0.25">
      <c r="A951" s="5"/>
      <c r="B951" s="5"/>
      <c r="C951" s="5"/>
      <c r="D951" s="5"/>
      <c r="E951" s="5"/>
      <c r="F951" s="5"/>
      <c r="G951" s="5"/>
      <c r="H951" s="5" t="s">
        <v>596</v>
      </c>
      <c r="I951" s="6">
        <v>44847</v>
      </c>
      <c r="J951" s="5" t="s">
        <v>694</v>
      </c>
      <c r="K951" s="5" t="s">
        <v>876</v>
      </c>
      <c r="L951" s="5"/>
      <c r="M951" s="5"/>
      <c r="N951" s="7"/>
      <c r="O951" s="5" t="s">
        <v>554</v>
      </c>
      <c r="P951" s="8">
        <v>44.24</v>
      </c>
      <c r="Q951" s="8">
        <f t="shared" si="21"/>
        <v>91201.14</v>
      </c>
    </row>
    <row r="952" spans="1:17" x14ac:dyDescent="0.25">
      <c r="A952" s="5"/>
      <c r="B952" s="5"/>
      <c r="C952" s="5"/>
      <c r="D952" s="5"/>
      <c r="E952" s="5"/>
      <c r="F952" s="5"/>
      <c r="G952" s="5"/>
      <c r="H952" s="5" t="s">
        <v>596</v>
      </c>
      <c r="I952" s="6">
        <v>44847</v>
      </c>
      <c r="J952" s="5" t="s">
        <v>694</v>
      </c>
      <c r="K952" s="5" t="s">
        <v>876</v>
      </c>
      <c r="L952" s="5"/>
      <c r="M952" s="5"/>
      <c r="N952" s="7"/>
      <c r="O952" s="5" t="s">
        <v>554</v>
      </c>
      <c r="P952" s="8">
        <v>80</v>
      </c>
      <c r="Q952" s="8">
        <f t="shared" si="21"/>
        <v>91281.14</v>
      </c>
    </row>
    <row r="953" spans="1:17" x14ac:dyDescent="0.25">
      <c r="A953" s="5"/>
      <c r="B953" s="5"/>
      <c r="C953" s="5"/>
      <c r="D953" s="5"/>
      <c r="E953" s="5"/>
      <c r="F953" s="5"/>
      <c r="G953" s="5"/>
      <c r="H953" s="5" t="s">
        <v>596</v>
      </c>
      <c r="I953" s="6">
        <v>44847</v>
      </c>
      <c r="J953" s="5" t="s">
        <v>695</v>
      </c>
      <c r="K953" s="5" t="s">
        <v>884</v>
      </c>
      <c r="L953" s="5"/>
      <c r="M953" s="5"/>
      <c r="N953" s="7"/>
      <c r="O953" s="5" t="s">
        <v>554</v>
      </c>
      <c r="P953" s="8">
        <v>914.1</v>
      </c>
      <c r="Q953" s="8">
        <f t="shared" ref="Q953:Q1016" si="22">ROUND(Q952+P953,5)</f>
        <v>92195.24</v>
      </c>
    </row>
    <row r="954" spans="1:17" x14ac:dyDescent="0.25">
      <c r="A954" s="5"/>
      <c r="B954" s="5"/>
      <c r="C954" s="5"/>
      <c r="D954" s="5"/>
      <c r="E954" s="5"/>
      <c r="F954" s="5"/>
      <c r="G954" s="5"/>
      <c r="H954" s="5" t="s">
        <v>596</v>
      </c>
      <c r="I954" s="6">
        <v>44847</v>
      </c>
      <c r="J954" s="5" t="s">
        <v>695</v>
      </c>
      <c r="K954" s="5" t="s">
        <v>884</v>
      </c>
      <c r="L954" s="5"/>
      <c r="M954" s="5"/>
      <c r="N954" s="7"/>
      <c r="O954" s="5" t="s">
        <v>554</v>
      </c>
      <c r="P954" s="8">
        <v>44.43</v>
      </c>
      <c r="Q954" s="8">
        <f t="shared" si="22"/>
        <v>92239.67</v>
      </c>
    </row>
    <row r="955" spans="1:17" x14ac:dyDescent="0.25">
      <c r="A955" s="5"/>
      <c r="B955" s="5"/>
      <c r="C955" s="5"/>
      <c r="D955" s="5"/>
      <c r="E955" s="5"/>
      <c r="F955" s="5"/>
      <c r="G955" s="5"/>
      <c r="H955" s="5" t="s">
        <v>596</v>
      </c>
      <c r="I955" s="6">
        <v>44847</v>
      </c>
      <c r="J955" s="5" t="s">
        <v>695</v>
      </c>
      <c r="K955" s="5" t="s">
        <v>884</v>
      </c>
      <c r="L955" s="5"/>
      <c r="M955" s="5"/>
      <c r="N955" s="7"/>
      <c r="O955" s="5" t="s">
        <v>554</v>
      </c>
      <c r="P955" s="8">
        <v>20.22</v>
      </c>
      <c r="Q955" s="8">
        <f t="shared" si="22"/>
        <v>92259.89</v>
      </c>
    </row>
    <row r="956" spans="1:17" x14ac:dyDescent="0.25">
      <c r="A956" s="5"/>
      <c r="B956" s="5"/>
      <c r="C956" s="5"/>
      <c r="D956" s="5"/>
      <c r="E956" s="5"/>
      <c r="F956" s="5"/>
      <c r="G956" s="5"/>
      <c r="H956" s="5" t="s">
        <v>596</v>
      </c>
      <c r="I956" s="6">
        <v>44847</v>
      </c>
      <c r="J956" s="5" t="s">
        <v>695</v>
      </c>
      <c r="K956" s="5" t="s">
        <v>884</v>
      </c>
      <c r="L956" s="5"/>
      <c r="M956" s="5"/>
      <c r="N956" s="7"/>
      <c r="O956" s="5" t="s">
        <v>554</v>
      </c>
      <c r="P956" s="8">
        <v>0</v>
      </c>
      <c r="Q956" s="8">
        <f t="shared" si="22"/>
        <v>92259.89</v>
      </c>
    </row>
    <row r="957" spans="1:17" x14ac:dyDescent="0.25">
      <c r="A957" s="5"/>
      <c r="B957" s="5"/>
      <c r="C957" s="5"/>
      <c r="D957" s="5"/>
      <c r="E957" s="5"/>
      <c r="F957" s="5"/>
      <c r="G957" s="5"/>
      <c r="H957" s="5" t="s">
        <v>596</v>
      </c>
      <c r="I957" s="6">
        <v>44847</v>
      </c>
      <c r="J957" s="5" t="s">
        <v>696</v>
      </c>
      <c r="K957" s="5" t="s">
        <v>885</v>
      </c>
      <c r="L957" s="5"/>
      <c r="M957" s="5"/>
      <c r="N957" s="7"/>
      <c r="O957" s="5" t="s">
        <v>554</v>
      </c>
      <c r="P957" s="8">
        <v>1384.62</v>
      </c>
      <c r="Q957" s="8">
        <f t="shared" si="22"/>
        <v>93644.51</v>
      </c>
    </row>
    <row r="958" spans="1:17" x14ac:dyDescent="0.25">
      <c r="A958" s="5"/>
      <c r="B958" s="5"/>
      <c r="C958" s="5"/>
      <c r="D958" s="5"/>
      <c r="E958" s="5"/>
      <c r="F958" s="5"/>
      <c r="G958" s="5"/>
      <c r="H958" s="5" t="s">
        <v>596</v>
      </c>
      <c r="I958" s="6">
        <v>44847</v>
      </c>
      <c r="J958" s="5" t="s">
        <v>696</v>
      </c>
      <c r="K958" s="5" t="s">
        <v>885</v>
      </c>
      <c r="L958" s="5"/>
      <c r="M958" s="5"/>
      <c r="N958" s="7"/>
      <c r="O958" s="5" t="s">
        <v>554</v>
      </c>
      <c r="P958" s="8">
        <v>71.25</v>
      </c>
      <c r="Q958" s="8">
        <f t="shared" si="22"/>
        <v>93715.76</v>
      </c>
    </row>
    <row r="959" spans="1:17" x14ac:dyDescent="0.25">
      <c r="A959" s="5"/>
      <c r="B959" s="5"/>
      <c r="C959" s="5"/>
      <c r="D959" s="5"/>
      <c r="E959" s="5"/>
      <c r="F959" s="5"/>
      <c r="G959" s="5"/>
      <c r="H959" s="5" t="s">
        <v>596</v>
      </c>
      <c r="I959" s="6">
        <v>44847</v>
      </c>
      <c r="J959" s="5" t="s">
        <v>696</v>
      </c>
      <c r="K959" s="5" t="s">
        <v>885</v>
      </c>
      <c r="L959" s="5"/>
      <c r="M959" s="5"/>
      <c r="N959" s="7"/>
      <c r="O959" s="5" t="s">
        <v>554</v>
      </c>
      <c r="P959" s="8">
        <v>30.63</v>
      </c>
      <c r="Q959" s="8">
        <f t="shared" si="22"/>
        <v>93746.39</v>
      </c>
    </row>
    <row r="960" spans="1:17" x14ac:dyDescent="0.25">
      <c r="A960" s="5"/>
      <c r="B960" s="5"/>
      <c r="C960" s="5"/>
      <c r="D960" s="5"/>
      <c r="E960" s="5"/>
      <c r="F960" s="5"/>
      <c r="G960" s="5"/>
      <c r="H960" s="5" t="s">
        <v>596</v>
      </c>
      <c r="I960" s="6">
        <v>44847</v>
      </c>
      <c r="J960" s="5" t="s">
        <v>696</v>
      </c>
      <c r="K960" s="5" t="s">
        <v>885</v>
      </c>
      <c r="L960" s="5"/>
      <c r="M960" s="5"/>
      <c r="N960" s="7"/>
      <c r="O960" s="5" t="s">
        <v>554</v>
      </c>
      <c r="P960" s="8">
        <v>0</v>
      </c>
      <c r="Q960" s="8">
        <f t="shared" si="22"/>
        <v>93746.39</v>
      </c>
    </row>
    <row r="961" spans="1:17" x14ac:dyDescent="0.25">
      <c r="A961" s="5"/>
      <c r="B961" s="5"/>
      <c r="C961" s="5"/>
      <c r="D961" s="5"/>
      <c r="E961" s="5"/>
      <c r="F961" s="5"/>
      <c r="G961" s="5"/>
      <c r="H961" s="5" t="s">
        <v>596</v>
      </c>
      <c r="I961" s="6">
        <v>44847</v>
      </c>
      <c r="J961" s="5" t="s">
        <v>697</v>
      </c>
      <c r="K961" s="5" t="s">
        <v>881</v>
      </c>
      <c r="L961" s="5"/>
      <c r="M961" s="5"/>
      <c r="N961" s="7"/>
      <c r="O961" s="5" t="s">
        <v>554</v>
      </c>
      <c r="P961" s="8">
        <v>1400</v>
      </c>
      <c r="Q961" s="8">
        <f t="shared" si="22"/>
        <v>95146.39</v>
      </c>
    </row>
    <row r="962" spans="1:17" x14ac:dyDescent="0.25">
      <c r="A962" s="5"/>
      <c r="B962" s="5"/>
      <c r="C962" s="5"/>
      <c r="D962" s="5"/>
      <c r="E962" s="5"/>
      <c r="F962" s="5"/>
      <c r="G962" s="5"/>
      <c r="H962" s="5" t="s">
        <v>596</v>
      </c>
      <c r="I962" s="6">
        <v>44847</v>
      </c>
      <c r="J962" s="5" t="s">
        <v>697</v>
      </c>
      <c r="K962" s="5" t="s">
        <v>881</v>
      </c>
      <c r="L962" s="5"/>
      <c r="M962" s="5"/>
      <c r="N962" s="7"/>
      <c r="O962" s="5" t="s">
        <v>554</v>
      </c>
      <c r="P962" s="8">
        <v>72.13</v>
      </c>
      <c r="Q962" s="8">
        <f t="shared" si="22"/>
        <v>95218.52</v>
      </c>
    </row>
    <row r="963" spans="1:17" x14ac:dyDescent="0.25">
      <c r="A963" s="5"/>
      <c r="B963" s="5"/>
      <c r="C963" s="5"/>
      <c r="D963" s="5"/>
      <c r="E963" s="5"/>
      <c r="F963" s="5"/>
      <c r="G963" s="5"/>
      <c r="H963" s="5" t="s">
        <v>596</v>
      </c>
      <c r="I963" s="6">
        <v>44847</v>
      </c>
      <c r="J963" s="5" t="s">
        <v>697</v>
      </c>
      <c r="K963" s="5" t="s">
        <v>881</v>
      </c>
      <c r="L963" s="5"/>
      <c r="M963" s="5"/>
      <c r="N963" s="7"/>
      <c r="O963" s="5" t="s">
        <v>554</v>
      </c>
      <c r="P963" s="8">
        <v>30.97</v>
      </c>
      <c r="Q963" s="8">
        <f t="shared" si="22"/>
        <v>95249.49</v>
      </c>
    </row>
    <row r="964" spans="1:17" x14ac:dyDescent="0.25">
      <c r="A964" s="5"/>
      <c r="B964" s="5"/>
      <c r="C964" s="5"/>
      <c r="D964" s="5"/>
      <c r="E964" s="5"/>
      <c r="F964" s="5"/>
      <c r="G964" s="5"/>
      <c r="H964" s="5" t="s">
        <v>596</v>
      </c>
      <c r="I964" s="6">
        <v>44847</v>
      </c>
      <c r="J964" s="5" t="s">
        <v>697</v>
      </c>
      <c r="K964" s="5" t="s">
        <v>881</v>
      </c>
      <c r="L964" s="5"/>
      <c r="M964" s="5"/>
      <c r="N964" s="7"/>
      <c r="O964" s="5" t="s">
        <v>554</v>
      </c>
      <c r="P964" s="8">
        <v>0</v>
      </c>
      <c r="Q964" s="8">
        <f t="shared" si="22"/>
        <v>95249.49</v>
      </c>
    </row>
    <row r="965" spans="1:17" x14ac:dyDescent="0.25">
      <c r="A965" s="5"/>
      <c r="B965" s="5"/>
      <c r="C965" s="5"/>
      <c r="D965" s="5"/>
      <c r="E965" s="5"/>
      <c r="F965" s="5"/>
      <c r="G965" s="5"/>
      <c r="H965" s="5" t="s">
        <v>596</v>
      </c>
      <c r="I965" s="6">
        <v>44847</v>
      </c>
      <c r="J965" s="5" t="s">
        <v>698</v>
      </c>
      <c r="K965" s="5" t="s">
        <v>880</v>
      </c>
      <c r="L965" s="5"/>
      <c r="M965" s="5"/>
      <c r="N965" s="7"/>
      <c r="O965" s="5" t="s">
        <v>554</v>
      </c>
      <c r="P965" s="8">
        <v>1024.27</v>
      </c>
      <c r="Q965" s="8">
        <f t="shared" si="22"/>
        <v>96273.76</v>
      </c>
    </row>
    <row r="966" spans="1:17" x14ac:dyDescent="0.25">
      <c r="A966" s="5"/>
      <c r="B966" s="5"/>
      <c r="C966" s="5"/>
      <c r="D966" s="5"/>
      <c r="E966" s="5"/>
      <c r="F966" s="5"/>
      <c r="G966" s="5"/>
      <c r="H966" s="5" t="s">
        <v>596</v>
      </c>
      <c r="I966" s="6">
        <v>44847</v>
      </c>
      <c r="J966" s="5" t="s">
        <v>698</v>
      </c>
      <c r="K966" s="5" t="s">
        <v>880</v>
      </c>
      <c r="L966" s="5"/>
      <c r="M966" s="5"/>
      <c r="N966" s="7"/>
      <c r="O966" s="5" t="s">
        <v>554</v>
      </c>
      <c r="P966" s="8">
        <v>50.71</v>
      </c>
      <c r="Q966" s="8">
        <f t="shared" si="22"/>
        <v>96324.47</v>
      </c>
    </row>
    <row r="967" spans="1:17" x14ac:dyDescent="0.25">
      <c r="A967" s="5"/>
      <c r="B967" s="5"/>
      <c r="C967" s="5"/>
      <c r="D967" s="5"/>
      <c r="E967" s="5"/>
      <c r="F967" s="5"/>
      <c r="G967" s="5"/>
      <c r="H967" s="5" t="s">
        <v>596</v>
      </c>
      <c r="I967" s="6">
        <v>44847</v>
      </c>
      <c r="J967" s="5" t="s">
        <v>698</v>
      </c>
      <c r="K967" s="5" t="s">
        <v>880</v>
      </c>
      <c r="L967" s="5"/>
      <c r="M967" s="5"/>
      <c r="N967" s="7"/>
      <c r="O967" s="5" t="s">
        <v>554</v>
      </c>
      <c r="P967" s="8">
        <v>22.65</v>
      </c>
      <c r="Q967" s="8">
        <f t="shared" si="22"/>
        <v>96347.12</v>
      </c>
    </row>
    <row r="968" spans="1:17" x14ac:dyDescent="0.25">
      <c r="A968" s="5"/>
      <c r="B968" s="5"/>
      <c r="C968" s="5"/>
      <c r="D968" s="5"/>
      <c r="E968" s="5"/>
      <c r="F968" s="5"/>
      <c r="G968" s="5"/>
      <c r="H968" s="5" t="s">
        <v>596</v>
      </c>
      <c r="I968" s="6">
        <v>44847</v>
      </c>
      <c r="J968" s="5" t="s">
        <v>698</v>
      </c>
      <c r="K968" s="5" t="s">
        <v>880</v>
      </c>
      <c r="L968" s="5"/>
      <c r="M968" s="5"/>
      <c r="N968" s="7"/>
      <c r="O968" s="5" t="s">
        <v>554</v>
      </c>
      <c r="P968" s="8">
        <v>0</v>
      </c>
      <c r="Q968" s="8">
        <f t="shared" si="22"/>
        <v>96347.12</v>
      </c>
    </row>
    <row r="969" spans="1:17" x14ac:dyDescent="0.25">
      <c r="A969" s="5"/>
      <c r="B969" s="5"/>
      <c r="C969" s="5"/>
      <c r="D969" s="5"/>
      <c r="E969" s="5"/>
      <c r="F969" s="5"/>
      <c r="G969" s="5"/>
      <c r="H969" s="5" t="s">
        <v>596</v>
      </c>
      <c r="I969" s="6">
        <v>44847</v>
      </c>
      <c r="J969" s="5" t="s">
        <v>699</v>
      </c>
      <c r="K969" s="5" t="s">
        <v>886</v>
      </c>
      <c r="L969" s="5"/>
      <c r="M969" s="5"/>
      <c r="N969" s="7"/>
      <c r="O969" s="5" t="s">
        <v>554</v>
      </c>
      <c r="P969" s="8">
        <v>1570.13</v>
      </c>
      <c r="Q969" s="8">
        <f t="shared" si="22"/>
        <v>97917.25</v>
      </c>
    </row>
    <row r="970" spans="1:17" x14ac:dyDescent="0.25">
      <c r="A970" s="5"/>
      <c r="B970" s="5"/>
      <c r="C970" s="5"/>
      <c r="D970" s="5"/>
      <c r="E970" s="5"/>
      <c r="F970" s="5"/>
      <c r="G970" s="5"/>
      <c r="H970" s="5" t="s">
        <v>596</v>
      </c>
      <c r="I970" s="6">
        <v>44847</v>
      </c>
      <c r="J970" s="5" t="s">
        <v>699</v>
      </c>
      <c r="K970" s="5" t="s">
        <v>886</v>
      </c>
      <c r="L970" s="5"/>
      <c r="M970" s="5"/>
      <c r="N970" s="7"/>
      <c r="O970" s="5" t="s">
        <v>554</v>
      </c>
      <c r="P970" s="8">
        <v>81.819999999999993</v>
      </c>
      <c r="Q970" s="8">
        <f t="shared" si="22"/>
        <v>97999.07</v>
      </c>
    </row>
    <row r="971" spans="1:17" x14ac:dyDescent="0.25">
      <c r="A971" s="5"/>
      <c r="B971" s="5"/>
      <c r="C971" s="5"/>
      <c r="D971" s="5"/>
      <c r="E971" s="5"/>
      <c r="F971" s="5"/>
      <c r="G971" s="5"/>
      <c r="H971" s="5" t="s">
        <v>596</v>
      </c>
      <c r="I971" s="6">
        <v>44847</v>
      </c>
      <c r="J971" s="5" t="s">
        <v>699</v>
      </c>
      <c r="K971" s="5" t="s">
        <v>886</v>
      </c>
      <c r="L971" s="5"/>
      <c r="M971" s="5"/>
      <c r="N971" s="7"/>
      <c r="O971" s="5" t="s">
        <v>554</v>
      </c>
      <c r="P971" s="8">
        <v>34.729999999999997</v>
      </c>
      <c r="Q971" s="8">
        <f t="shared" si="22"/>
        <v>98033.8</v>
      </c>
    </row>
    <row r="972" spans="1:17" x14ac:dyDescent="0.25">
      <c r="A972" s="5"/>
      <c r="B972" s="5"/>
      <c r="C972" s="5"/>
      <c r="D972" s="5"/>
      <c r="E972" s="5"/>
      <c r="F972" s="5"/>
      <c r="G972" s="5"/>
      <c r="H972" s="5" t="s">
        <v>596</v>
      </c>
      <c r="I972" s="6">
        <v>44847</v>
      </c>
      <c r="J972" s="5" t="s">
        <v>699</v>
      </c>
      <c r="K972" s="5" t="s">
        <v>886</v>
      </c>
      <c r="L972" s="5"/>
      <c r="M972" s="5"/>
      <c r="N972" s="7"/>
      <c r="O972" s="5" t="s">
        <v>554</v>
      </c>
      <c r="P972" s="8">
        <v>0</v>
      </c>
      <c r="Q972" s="8">
        <f t="shared" si="22"/>
        <v>98033.8</v>
      </c>
    </row>
    <row r="973" spans="1:17" x14ac:dyDescent="0.25">
      <c r="A973" s="5"/>
      <c r="B973" s="5"/>
      <c r="C973" s="5"/>
      <c r="D973" s="5"/>
      <c r="E973" s="5"/>
      <c r="F973" s="5"/>
      <c r="G973" s="5"/>
      <c r="H973" s="5" t="s">
        <v>596</v>
      </c>
      <c r="I973" s="6">
        <v>44847</v>
      </c>
      <c r="J973" s="5" t="s">
        <v>700</v>
      </c>
      <c r="K973" s="5" t="s">
        <v>887</v>
      </c>
      <c r="L973" s="5"/>
      <c r="M973" s="5"/>
      <c r="N973" s="7"/>
      <c r="O973" s="5" t="s">
        <v>554</v>
      </c>
      <c r="P973" s="8">
        <v>276.25</v>
      </c>
      <c r="Q973" s="8">
        <f t="shared" si="22"/>
        <v>98310.05</v>
      </c>
    </row>
    <row r="974" spans="1:17" x14ac:dyDescent="0.25">
      <c r="A974" s="5"/>
      <c r="B974" s="5"/>
      <c r="C974" s="5"/>
      <c r="D974" s="5"/>
      <c r="E974" s="5"/>
      <c r="F974" s="5"/>
      <c r="G974" s="5"/>
      <c r="H974" s="5" t="s">
        <v>596</v>
      </c>
      <c r="I974" s="6">
        <v>44847</v>
      </c>
      <c r="J974" s="5" t="s">
        <v>700</v>
      </c>
      <c r="K974" s="5" t="s">
        <v>887</v>
      </c>
      <c r="L974" s="5"/>
      <c r="M974" s="5"/>
      <c r="N974" s="7"/>
      <c r="O974" s="5" t="s">
        <v>554</v>
      </c>
      <c r="P974" s="8">
        <v>8.07</v>
      </c>
      <c r="Q974" s="8">
        <f t="shared" si="22"/>
        <v>98318.12</v>
      </c>
    </row>
    <row r="975" spans="1:17" x14ac:dyDescent="0.25">
      <c r="A975" s="5"/>
      <c r="B975" s="5"/>
      <c r="C975" s="5"/>
      <c r="D975" s="5"/>
      <c r="E975" s="5"/>
      <c r="F975" s="5"/>
      <c r="G975" s="5"/>
      <c r="H975" s="5" t="s">
        <v>596</v>
      </c>
      <c r="I975" s="6">
        <v>44847</v>
      </c>
      <c r="J975" s="5" t="s">
        <v>700</v>
      </c>
      <c r="K975" s="5" t="s">
        <v>887</v>
      </c>
      <c r="L975" s="5"/>
      <c r="M975" s="5"/>
      <c r="N975" s="7"/>
      <c r="O975" s="5" t="s">
        <v>554</v>
      </c>
      <c r="P975" s="8">
        <v>6.1</v>
      </c>
      <c r="Q975" s="8">
        <f t="shared" si="22"/>
        <v>98324.22</v>
      </c>
    </row>
    <row r="976" spans="1:17" x14ac:dyDescent="0.25">
      <c r="A976" s="5"/>
      <c r="B976" s="5"/>
      <c r="C976" s="5"/>
      <c r="D976" s="5"/>
      <c r="E976" s="5"/>
      <c r="F976" s="5"/>
      <c r="G976" s="5"/>
      <c r="H976" s="5" t="s">
        <v>596</v>
      </c>
      <c r="I976" s="6">
        <v>44847</v>
      </c>
      <c r="J976" s="5" t="s">
        <v>700</v>
      </c>
      <c r="K976" s="5" t="s">
        <v>887</v>
      </c>
      <c r="L976" s="5"/>
      <c r="M976" s="5"/>
      <c r="N976" s="7"/>
      <c r="O976" s="5" t="s">
        <v>554</v>
      </c>
      <c r="P976" s="8">
        <v>0</v>
      </c>
      <c r="Q976" s="8">
        <f t="shared" si="22"/>
        <v>98324.22</v>
      </c>
    </row>
    <row r="977" spans="1:17" x14ac:dyDescent="0.25">
      <c r="A977" s="5"/>
      <c r="B977" s="5"/>
      <c r="C977" s="5"/>
      <c r="D977" s="5"/>
      <c r="E977" s="5"/>
      <c r="F977" s="5"/>
      <c r="G977" s="5"/>
      <c r="H977" s="5" t="s">
        <v>596</v>
      </c>
      <c r="I977" s="6">
        <v>44860</v>
      </c>
      <c r="J977" s="5" t="s">
        <v>701</v>
      </c>
      <c r="K977" s="5" t="s">
        <v>877</v>
      </c>
      <c r="L977" s="5"/>
      <c r="M977" s="5"/>
      <c r="N977" s="7"/>
      <c r="O977" s="5" t="s">
        <v>554</v>
      </c>
      <c r="P977" s="8">
        <v>1600</v>
      </c>
      <c r="Q977" s="8">
        <f t="shared" si="22"/>
        <v>99924.22</v>
      </c>
    </row>
    <row r="978" spans="1:17" x14ac:dyDescent="0.25">
      <c r="A978" s="5"/>
      <c r="B978" s="5"/>
      <c r="C978" s="5"/>
      <c r="D978" s="5"/>
      <c r="E978" s="5"/>
      <c r="F978" s="5"/>
      <c r="G978" s="5"/>
      <c r="H978" s="5" t="s">
        <v>596</v>
      </c>
      <c r="I978" s="6">
        <v>44860</v>
      </c>
      <c r="J978" s="5" t="s">
        <v>701</v>
      </c>
      <c r="K978" s="5" t="s">
        <v>877</v>
      </c>
      <c r="L978" s="5"/>
      <c r="M978" s="5"/>
      <c r="N978" s="7"/>
      <c r="O978" s="5" t="s">
        <v>554</v>
      </c>
      <c r="P978" s="8">
        <v>83.53</v>
      </c>
      <c r="Q978" s="8">
        <f t="shared" si="22"/>
        <v>100007.75</v>
      </c>
    </row>
    <row r="979" spans="1:17" x14ac:dyDescent="0.25">
      <c r="A979" s="5"/>
      <c r="B979" s="5"/>
      <c r="C979" s="5"/>
      <c r="D979" s="5"/>
      <c r="E979" s="5"/>
      <c r="F979" s="5"/>
      <c r="G979" s="5"/>
      <c r="H979" s="5" t="s">
        <v>596</v>
      </c>
      <c r="I979" s="6">
        <v>44860</v>
      </c>
      <c r="J979" s="5" t="s">
        <v>701</v>
      </c>
      <c r="K979" s="5" t="s">
        <v>877</v>
      </c>
      <c r="L979" s="5"/>
      <c r="M979" s="5"/>
      <c r="N979" s="7"/>
      <c r="O979" s="5" t="s">
        <v>554</v>
      </c>
      <c r="P979" s="8">
        <v>35.39</v>
      </c>
      <c r="Q979" s="8">
        <f t="shared" si="22"/>
        <v>100043.14</v>
      </c>
    </row>
    <row r="980" spans="1:17" x14ac:dyDescent="0.25">
      <c r="A980" s="5"/>
      <c r="B980" s="5"/>
      <c r="C980" s="5"/>
      <c r="D980" s="5"/>
      <c r="E980" s="5"/>
      <c r="F980" s="5"/>
      <c r="G980" s="5"/>
      <c r="H980" s="5" t="s">
        <v>596</v>
      </c>
      <c r="I980" s="6">
        <v>44860</v>
      </c>
      <c r="J980" s="5" t="s">
        <v>701</v>
      </c>
      <c r="K980" s="5" t="s">
        <v>877</v>
      </c>
      <c r="L980" s="5"/>
      <c r="M980" s="5"/>
      <c r="N980" s="7"/>
      <c r="O980" s="5" t="s">
        <v>554</v>
      </c>
      <c r="P980" s="8">
        <v>64</v>
      </c>
      <c r="Q980" s="8">
        <f t="shared" si="22"/>
        <v>100107.14</v>
      </c>
    </row>
    <row r="981" spans="1:17" x14ac:dyDescent="0.25">
      <c r="A981" s="5"/>
      <c r="B981" s="5"/>
      <c r="C981" s="5"/>
      <c r="D981" s="5"/>
      <c r="E981" s="5"/>
      <c r="F981" s="5"/>
      <c r="G981" s="5"/>
      <c r="H981" s="5" t="s">
        <v>596</v>
      </c>
      <c r="I981" s="6">
        <v>44860</v>
      </c>
      <c r="J981" s="5" t="s">
        <v>702</v>
      </c>
      <c r="K981" s="5" t="s">
        <v>876</v>
      </c>
      <c r="L981" s="5"/>
      <c r="M981" s="5"/>
      <c r="N981" s="7"/>
      <c r="O981" s="5" t="s">
        <v>554</v>
      </c>
      <c r="P981" s="8">
        <v>2000</v>
      </c>
      <c r="Q981" s="8">
        <f t="shared" si="22"/>
        <v>102107.14</v>
      </c>
    </row>
    <row r="982" spans="1:17" x14ac:dyDescent="0.25">
      <c r="A982" s="5"/>
      <c r="B982" s="5"/>
      <c r="C982" s="5"/>
      <c r="D982" s="5"/>
      <c r="E982" s="5"/>
      <c r="F982" s="5"/>
      <c r="G982" s="5"/>
      <c r="H982" s="5" t="s">
        <v>596</v>
      </c>
      <c r="I982" s="6">
        <v>44860</v>
      </c>
      <c r="J982" s="5" t="s">
        <v>702</v>
      </c>
      <c r="K982" s="5" t="s">
        <v>876</v>
      </c>
      <c r="L982" s="5"/>
      <c r="M982" s="5"/>
      <c r="N982" s="7"/>
      <c r="O982" s="5" t="s">
        <v>554</v>
      </c>
      <c r="P982" s="8">
        <v>106.33</v>
      </c>
      <c r="Q982" s="8">
        <f t="shared" si="22"/>
        <v>102213.47</v>
      </c>
    </row>
    <row r="983" spans="1:17" x14ac:dyDescent="0.25">
      <c r="A983" s="5"/>
      <c r="B983" s="5"/>
      <c r="C983" s="5"/>
      <c r="D983" s="5"/>
      <c r="E983" s="5"/>
      <c r="F983" s="5"/>
      <c r="G983" s="5"/>
      <c r="H983" s="5" t="s">
        <v>596</v>
      </c>
      <c r="I983" s="6">
        <v>44860</v>
      </c>
      <c r="J983" s="5" t="s">
        <v>702</v>
      </c>
      <c r="K983" s="5" t="s">
        <v>876</v>
      </c>
      <c r="L983" s="5"/>
      <c r="M983" s="5"/>
      <c r="N983" s="7"/>
      <c r="O983" s="5" t="s">
        <v>554</v>
      </c>
      <c r="P983" s="8">
        <v>44.24</v>
      </c>
      <c r="Q983" s="8">
        <f t="shared" si="22"/>
        <v>102257.71</v>
      </c>
    </row>
    <row r="984" spans="1:17" x14ac:dyDescent="0.25">
      <c r="A984" s="5"/>
      <c r="B984" s="5"/>
      <c r="C984" s="5"/>
      <c r="D984" s="5"/>
      <c r="E984" s="5"/>
      <c r="F984" s="5"/>
      <c r="G984" s="5"/>
      <c r="H984" s="5" t="s">
        <v>596</v>
      </c>
      <c r="I984" s="6">
        <v>44860</v>
      </c>
      <c r="J984" s="5" t="s">
        <v>702</v>
      </c>
      <c r="K984" s="5" t="s">
        <v>876</v>
      </c>
      <c r="L984" s="5"/>
      <c r="M984" s="5"/>
      <c r="N984" s="7"/>
      <c r="O984" s="5" t="s">
        <v>554</v>
      </c>
      <c r="P984" s="8">
        <v>80</v>
      </c>
      <c r="Q984" s="8">
        <f t="shared" si="22"/>
        <v>102337.71</v>
      </c>
    </row>
    <row r="985" spans="1:17" x14ac:dyDescent="0.25">
      <c r="A985" s="5"/>
      <c r="B985" s="5"/>
      <c r="C985" s="5"/>
      <c r="D985" s="5"/>
      <c r="E985" s="5"/>
      <c r="F985" s="5"/>
      <c r="G985" s="5"/>
      <c r="H985" s="5" t="s">
        <v>596</v>
      </c>
      <c r="I985" s="6">
        <v>44860</v>
      </c>
      <c r="J985" s="5" t="s">
        <v>703</v>
      </c>
      <c r="K985" s="5" t="s">
        <v>884</v>
      </c>
      <c r="L985" s="5"/>
      <c r="M985" s="5"/>
      <c r="N985" s="7"/>
      <c r="O985" s="5" t="s">
        <v>554</v>
      </c>
      <c r="P985" s="8">
        <v>915.3</v>
      </c>
      <c r="Q985" s="8">
        <f t="shared" si="22"/>
        <v>103253.01</v>
      </c>
    </row>
    <row r="986" spans="1:17" x14ac:dyDescent="0.25">
      <c r="A986" s="5"/>
      <c r="B986" s="5"/>
      <c r="C986" s="5"/>
      <c r="D986" s="5"/>
      <c r="E986" s="5"/>
      <c r="F986" s="5"/>
      <c r="G986" s="5"/>
      <c r="H986" s="5" t="s">
        <v>596</v>
      </c>
      <c r="I986" s="6">
        <v>44860</v>
      </c>
      <c r="J986" s="5" t="s">
        <v>703</v>
      </c>
      <c r="K986" s="5" t="s">
        <v>884</v>
      </c>
      <c r="L986" s="5"/>
      <c r="M986" s="5"/>
      <c r="N986" s="7"/>
      <c r="O986" s="5" t="s">
        <v>554</v>
      </c>
      <c r="P986" s="8">
        <v>44.5</v>
      </c>
      <c r="Q986" s="8">
        <f t="shared" si="22"/>
        <v>103297.51</v>
      </c>
    </row>
    <row r="987" spans="1:17" x14ac:dyDescent="0.25">
      <c r="A987" s="5"/>
      <c r="B987" s="5"/>
      <c r="C987" s="5"/>
      <c r="D987" s="5"/>
      <c r="E987" s="5"/>
      <c r="F987" s="5"/>
      <c r="G987" s="5"/>
      <c r="H987" s="5" t="s">
        <v>596</v>
      </c>
      <c r="I987" s="6">
        <v>44860</v>
      </c>
      <c r="J987" s="5" t="s">
        <v>703</v>
      </c>
      <c r="K987" s="5" t="s">
        <v>884</v>
      </c>
      <c r="L987" s="5"/>
      <c r="M987" s="5"/>
      <c r="N987" s="7"/>
      <c r="O987" s="5" t="s">
        <v>554</v>
      </c>
      <c r="P987" s="8">
        <v>20.239999999999998</v>
      </c>
      <c r="Q987" s="8">
        <f t="shared" si="22"/>
        <v>103317.75</v>
      </c>
    </row>
    <row r="988" spans="1:17" x14ac:dyDescent="0.25">
      <c r="A988" s="5"/>
      <c r="B988" s="5"/>
      <c r="C988" s="5"/>
      <c r="D988" s="5"/>
      <c r="E988" s="5"/>
      <c r="F988" s="5"/>
      <c r="G988" s="5"/>
      <c r="H988" s="5" t="s">
        <v>596</v>
      </c>
      <c r="I988" s="6">
        <v>44860</v>
      </c>
      <c r="J988" s="5" t="s">
        <v>703</v>
      </c>
      <c r="K988" s="5" t="s">
        <v>884</v>
      </c>
      <c r="L988" s="5"/>
      <c r="M988" s="5"/>
      <c r="N988" s="7"/>
      <c r="O988" s="5" t="s">
        <v>554</v>
      </c>
      <c r="P988" s="8">
        <v>0</v>
      </c>
      <c r="Q988" s="8">
        <f t="shared" si="22"/>
        <v>103317.75</v>
      </c>
    </row>
    <row r="989" spans="1:17" x14ac:dyDescent="0.25">
      <c r="A989" s="5"/>
      <c r="B989" s="5"/>
      <c r="C989" s="5"/>
      <c r="D989" s="5"/>
      <c r="E989" s="5"/>
      <c r="F989" s="5"/>
      <c r="G989" s="5"/>
      <c r="H989" s="5" t="s">
        <v>596</v>
      </c>
      <c r="I989" s="6">
        <v>44860</v>
      </c>
      <c r="J989" s="5" t="s">
        <v>704</v>
      </c>
      <c r="K989" s="5" t="s">
        <v>885</v>
      </c>
      <c r="L989" s="5"/>
      <c r="M989" s="5"/>
      <c r="N989" s="7"/>
      <c r="O989" s="5" t="s">
        <v>554</v>
      </c>
      <c r="P989" s="8">
        <v>1500</v>
      </c>
      <c r="Q989" s="8">
        <f t="shared" si="22"/>
        <v>104817.75</v>
      </c>
    </row>
    <row r="990" spans="1:17" x14ac:dyDescent="0.25">
      <c r="A990" s="5"/>
      <c r="B990" s="5"/>
      <c r="C990" s="5"/>
      <c r="D990" s="5"/>
      <c r="E990" s="5"/>
      <c r="F990" s="5"/>
      <c r="G990" s="5"/>
      <c r="H990" s="5" t="s">
        <v>596</v>
      </c>
      <c r="I990" s="6">
        <v>44860</v>
      </c>
      <c r="J990" s="5" t="s">
        <v>704</v>
      </c>
      <c r="K990" s="5" t="s">
        <v>885</v>
      </c>
      <c r="L990" s="5"/>
      <c r="M990" s="5"/>
      <c r="N990" s="7"/>
      <c r="O990" s="5" t="s">
        <v>554</v>
      </c>
      <c r="P990" s="8">
        <v>77.83</v>
      </c>
      <c r="Q990" s="8">
        <f t="shared" si="22"/>
        <v>104895.58</v>
      </c>
    </row>
    <row r="991" spans="1:17" x14ac:dyDescent="0.25">
      <c r="A991" s="5"/>
      <c r="B991" s="5"/>
      <c r="C991" s="5"/>
      <c r="D991" s="5"/>
      <c r="E991" s="5"/>
      <c r="F991" s="5"/>
      <c r="G991" s="5"/>
      <c r="H991" s="5" t="s">
        <v>596</v>
      </c>
      <c r="I991" s="6">
        <v>44860</v>
      </c>
      <c r="J991" s="5" t="s">
        <v>704</v>
      </c>
      <c r="K991" s="5" t="s">
        <v>885</v>
      </c>
      <c r="L991" s="5"/>
      <c r="M991" s="5"/>
      <c r="N991" s="7"/>
      <c r="O991" s="5" t="s">
        <v>554</v>
      </c>
      <c r="P991" s="8">
        <v>33.18</v>
      </c>
      <c r="Q991" s="8">
        <f t="shared" si="22"/>
        <v>104928.76</v>
      </c>
    </row>
    <row r="992" spans="1:17" x14ac:dyDescent="0.25">
      <c r="A992" s="5"/>
      <c r="B992" s="5"/>
      <c r="C992" s="5"/>
      <c r="D992" s="5"/>
      <c r="E992" s="5"/>
      <c r="F992" s="5"/>
      <c r="G992" s="5"/>
      <c r="H992" s="5" t="s">
        <v>596</v>
      </c>
      <c r="I992" s="6">
        <v>44860</v>
      </c>
      <c r="J992" s="5" t="s">
        <v>704</v>
      </c>
      <c r="K992" s="5" t="s">
        <v>885</v>
      </c>
      <c r="L992" s="5"/>
      <c r="M992" s="5"/>
      <c r="N992" s="7"/>
      <c r="O992" s="5" t="s">
        <v>554</v>
      </c>
      <c r="P992" s="8">
        <v>0</v>
      </c>
      <c r="Q992" s="8">
        <f t="shared" si="22"/>
        <v>104928.76</v>
      </c>
    </row>
    <row r="993" spans="1:17" x14ac:dyDescent="0.25">
      <c r="A993" s="5"/>
      <c r="B993" s="5"/>
      <c r="C993" s="5"/>
      <c r="D993" s="5"/>
      <c r="E993" s="5"/>
      <c r="F993" s="5"/>
      <c r="G993" s="5"/>
      <c r="H993" s="5" t="s">
        <v>596</v>
      </c>
      <c r="I993" s="6">
        <v>44860</v>
      </c>
      <c r="J993" s="5" t="s">
        <v>705</v>
      </c>
      <c r="K993" s="5" t="s">
        <v>881</v>
      </c>
      <c r="L993" s="5"/>
      <c r="M993" s="5"/>
      <c r="N993" s="7"/>
      <c r="O993" s="5" t="s">
        <v>554</v>
      </c>
      <c r="P993" s="8">
        <v>1400</v>
      </c>
      <c r="Q993" s="8">
        <f t="shared" si="22"/>
        <v>106328.76</v>
      </c>
    </row>
    <row r="994" spans="1:17" x14ac:dyDescent="0.25">
      <c r="A994" s="5"/>
      <c r="B994" s="5"/>
      <c r="C994" s="5"/>
      <c r="D994" s="5"/>
      <c r="E994" s="5"/>
      <c r="F994" s="5"/>
      <c r="G994" s="5"/>
      <c r="H994" s="5" t="s">
        <v>596</v>
      </c>
      <c r="I994" s="6">
        <v>44860</v>
      </c>
      <c r="J994" s="5" t="s">
        <v>705</v>
      </c>
      <c r="K994" s="5" t="s">
        <v>881</v>
      </c>
      <c r="L994" s="5"/>
      <c r="M994" s="5"/>
      <c r="N994" s="7"/>
      <c r="O994" s="5" t="s">
        <v>554</v>
      </c>
      <c r="P994" s="8">
        <v>72.13</v>
      </c>
      <c r="Q994" s="8">
        <f t="shared" si="22"/>
        <v>106400.89</v>
      </c>
    </row>
    <row r="995" spans="1:17" x14ac:dyDescent="0.25">
      <c r="A995" s="5"/>
      <c r="B995" s="5"/>
      <c r="C995" s="5"/>
      <c r="D995" s="5"/>
      <c r="E995" s="5"/>
      <c r="F995" s="5"/>
      <c r="G995" s="5"/>
      <c r="H995" s="5" t="s">
        <v>596</v>
      </c>
      <c r="I995" s="6">
        <v>44860</v>
      </c>
      <c r="J995" s="5" t="s">
        <v>705</v>
      </c>
      <c r="K995" s="5" t="s">
        <v>881</v>
      </c>
      <c r="L995" s="5"/>
      <c r="M995" s="5"/>
      <c r="N995" s="7"/>
      <c r="O995" s="5" t="s">
        <v>554</v>
      </c>
      <c r="P995" s="8">
        <v>30.97</v>
      </c>
      <c r="Q995" s="8">
        <f t="shared" si="22"/>
        <v>106431.86</v>
      </c>
    </row>
    <row r="996" spans="1:17" x14ac:dyDescent="0.25">
      <c r="A996" s="5"/>
      <c r="B996" s="5"/>
      <c r="C996" s="5"/>
      <c r="D996" s="5"/>
      <c r="E996" s="5"/>
      <c r="F996" s="5"/>
      <c r="G996" s="5"/>
      <c r="H996" s="5" t="s">
        <v>596</v>
      </c>
      <c r="I996" s="6">
        <v>44860</v>
      </c>
      <c r="J996" s="5" t="s">
        <v>705</v>
      </c>
      <c r="K996" s="5" t="s">
        <v>881</v>
      </c>
      <c r="L996" s="5"/>
      <c r="M996" s="5"/>
      <c r="N996" s="7"/>
      <c r="O996" s="5" t="s">
        <v>554</v>
      </c>
      <c r="P996" s="8">
        <v>0</v>
      </c>
      <c r="Q996" s="8">
        <f t="shared" si="22"/>
        <v>106431.86</v>
      </c>
    </row>
    <row r="997" spans="1:17" x14ac:dyDescent="0.25">
      <c r="A997" s="5"/>
      <c r="B997" s="5"/>
      <c r="C997" s="5"/>
      <c r="D997" s="5"/>
      <c r="E997" s="5"/>
      <c r="F997" s="5"/>
      <c r="G997" s="5"/>
      <c r="H997" s="5" t="s">
        <v>596</v>
      </c>
      <c r="I997" s="6">
        <v>44860</v>
      </c>
      <c r="J997" s="5" t="s">
        <v>706</v>
      </c>
      <c r="K997" s="5" t="s">
        <v>880</v>
      </c>
      <c r="L997" s="5"/>
      <c r="M997" s="5"/>
      <c r="N997" s="7"/>
      <c r="O997" s="5" t="s">
        <v>554</v>
      </c>
      <c r="P997" s="8">
        <v>845.6</v>
      </c>
      <c r="Q997" s="8">
        <f t="shared" si="22"/>
        <v>107277.46</v>
      </c>
    </row>
    <row r="998" spans="1:17" x14ac:dyDescent="0.25">
      <c r="A998" s="5"/>
      <c r="B998" s="5"/>
      <c r="C998" s="5"/>
      <c r="D998" s="5"/>
      <c r="E998" s="5"/>
      <c r="F998" s="5"/>
      <c r="G998" s="5"/>
      <c r="H998" s="5" t="s">
        <v>596</v>
      </c>
      <c r="I998" s="6">
        <v>44860</v>
      </c>
      <c r="J998" s="5" t="s">
        <v>706</v>
      </c>
      <c r="K998" s="5" t="s">
        <v>880</v>
      </c>
      <c r="L998" s="5"/>
      <c r="M998" s="5"/>
      <c r="N998" s="7"/>
      <c r="O998" s="5" t="s">
        <v>554</v>
      </c>
      <c r="P998" s="8">
        <v>40.53</v>
      </c>
      <c r="Q998" s="8">
        <f t="shared" si="22"/>
        <v>107317.99</v>
      </c>
    </row>
    <row r="999" spans="1:17" x14ac:dyDescent="0.25">
      <c r="A999" s="5"/>
      <c r="B999" s="5"/>
      <c r="C999" s="5"/>
      <c r="D999" s="5"/>
      <c r="E999" s="5"/>
      <c r="F999" s="5"/>
      <c r="G999" s="5"/>
      <c r="H999" s="5" t="s">
        <v>596</v>
      </c>
      <c r="I999" s="6">
        <v>44860</v>
      </c>
      <c r="J999" s="5" t="s">
        <v>706</v>
      </c>
      <c r="K999" s="5" t="s">
        <v>880</v>
      </c>
      <c r="L999" s="5"/>
      <c r="M999" s="5"/>
      <c r="N999" s="7"/>
      <c r="O999" s="5" t="s">
        <v>554</v>
      </c>
      <c r="P999" s="8">
        <v>18.7</v>
      </c>
      <c r="Q999" s="8">
        <f t="shared" si="22"/>
        <v>107336.69</v>
      </c>
    </row>
    <row r="1000" spans="1:17" x14ac:dyDescent="0.25">
      <c r="A1000" s="5"/>
      <c r="B1000" s="5"/>
      <c r="C1000" s="5"/>
      <c r="D1000" s="5"/>
      <c r="E1000" s="5"/>
      <c r="F1000" s="5"/>
      <c r="G1000" s="5"/>
      <c r="H1000" s="5" t="s">
        <v>596</v>
      </c>
      <c r="I1000" s="6">
        <v>44860</v>
      </c>
      <c r="J1000" s="5" t="s">
        <v>706</v>
      </c>
      <c r="K1000" s="5" t="s">
        <v>880</v>
      </c>
      <c r="L1000" s="5"/>
      <c r="M1000" s="5"/>
      <c r="N1000" s="7"/>
      <c r="O1000" s="5" t="s">
        <v>554</v>
      </c>
      <c r="P1000" s="8">
        <v>0</v>
      </c>
      <c r="Q1000" s="8">
        <f t="shared" si="22"/>
        <v>107336.69</v>
      </c>
    </row>
    <row r="1001" spans="1:17" x14ac:dyDescent="0.25">
      <c r="A1001" s="5"/>
      <c r="B1001" s="5"/>
      <c r="C1001" s="5"/>
      <c r="D1001" s="5"/>
      <c r="E1001" s="5"/>
      <c r="F1001" s="5"/>
      <c r="G1001" s="5"/>
      <c r="H1001" s="5" t="s">
        <v>596</v>
      </c>
      <c r="I1001" s="6">
        <v>44860</v>
      </c>
      <c r="J1001" s="5" t="s">
        <v>707</v>
      </c>
      <c r="K1001" s="5" t="s">
        <v>886</v>
      </c>
      <c r="L1001" s="5"/>
      <c r="M1001" s="5"/>
      <c r="N1001" s="7"/>
      <c r="O1001" s="5" t="s">
        <v>554</v>
      </c>
      <c r="P1001" s="8">
        <v>1041.33</v>
      </c>
      <c r="Q1001" s="8">
        <f t="shared" si="22"/>
        <v>108378.02</v>
      </c>
    </row>
    <row r="1002" spans="1:17" x14ac:dyDescent="0.25">
      <c r="A1002" s="5"/>
      <c r="B1002" s="5"/>
      <c r="C1002" s="5"/>
      <c r="D1002" s="5"/>
      <c r="E1002" s="5"/>
      <c r="F1002" s="5"/>
      <c r="G1002" s="5"/>
      <c r="H1002" s="5" t="s">
        <v>596</v>
      </c>
      <c r="I1002" s="6">
        <v>44860</v>
      </c>
      <c r="J1002" s="5" t="s">
        <v>707</v>
      </c>
      <c r="K1002" s="5" t="s">
        <v>886</v>
      </c>
      <c r="L1002" s="5"/>
      <c r="M1002" s="5"/>
      <c r="N1002" s="7"/>
      <c r="O1002" s="5" t="s">
        <v>554</v>
      </c>
      <c r="P1002" s="8">
        <v>51.68</v>
      </c>
      <c r="Q1002" s="8">
        <f t="shared" si="22"/>
        <v>108429.7</v>
      </c>
    </row>
    <row r="1003" spans="1:17" x14ac:dyDescent="0.25">
      <c r="A1003" s="5"/>
      <c r="B1003" s="5"/>
      <c r="C1003" s="5"/>
      <c r="D1003" s="5"/>
      <c r="E1003" s="5"/>
      <c r="F1003" s="5"/>
      <c r="G1003" s="5"/>
      <c r="H1003" s="5" t="s">
        <v>596</v>
      </c>
      <c r="I1003" s="6">
        <v>44860</v>
      </c>
      <c r="J1003" s="5" t="s">
        <v>707</v>
      </c>
      <c r="K1003" s="5" t="s">
        <v>886</v>
      </c>
      <c r="L1003" s="5"/>
      <c r="M1003" s="5"/>
      <c r="N1003" s="7"/>
      <c r="O1003" s="5" t="s">
        <v>554</v>
      </c>
      <c r="P1003" s="8">
        <v>23.03</v>
      </c>
      <c r="Q1003" s="8">
        <f t="shared" si="22"/>
        <v>108452.73</v>
      </c>
    </row>
    <row r="1004" spans="1:17" x14ac:dyDescent="0.25">
      <c r="A1004" s="5"/>
      <c r="B1004" s="5"/>
      <c r="C1004" s="5"/>
      <c r="D1004" s="5"/>
      <c r="E1004" s="5"/>
      <c r="F1004" s="5"/>
      <c r="G1004" s="5"/>
      <c r="H1004" s="5" t="s">
        <v>596</v>
      </c>
      <c r="I1004" s="6">
        <v>44860</v>
      </c>
      <c r="J1004" s="5" t="s">
        <v>707</v>
      </c>
      <c r="K1004" s="5" t="s">
        <v>886</v>
      </c>
      <c r="L1004" s="5"/>
      <c r="M1004" s="5"/>
      <c r="N1004" s="7"/>
      <c r="O1004" s="5" t="s">
        <v>554</v>
      </c>
      <c r="P1004" s="8">
        <v>0</v>
      </c>
      <c r="Q1004" s="8">
        <f t="shared" si="22"/>
        <v>108452.73</v>
      </c>
    </row>
    <row r="1005" spans="1:17" x14ac:dyDescent="0.25">
      <c r="A1005" s="5"/>
      <c r="B1005" s="5"/>
      <c r="C1005" s="5"/>
      <c r="D1005" s="5"/>
      <c r="E1005" s="5"/>
      <c r="F1005" s="5"/>
      <c r="G1005" s="5"/>
      <c r="H1005" s="5" t="s">
        <v>596</v>
      </c>
      <c r="I1005" s="6">
        <v>44860</v>
      </c>
      <c r="J1005" s="5" t="s">
        <v>783</v>
      </c>
      <c r="K1005" s="5" t="s">
        <v>887</v>
      </c>
      <c r="L1005" s="5"/>
      <c r="M1005" s="5"/>
      <c r="N1005" s="7"/>
      <c r="O1005" s="5" t="s">
        <v>554</v>
      </c>
      <c r="P1005" s="8">
        <v>744.25</v>
      </c>
      <c r="Q1005" s="8">
        <f t="shared" si="22"/>
        <v>109196.98</v>
      </c>
    </row>
    <row r="1006" spans="1:17" x14ac:dyDescent="0.25">
      <c r="A1006" s="5"/>
      <c r="B1006" s="5"/>
      <c r="C1006" s="5"/>
      <c r="D1006" s="5"/>
      <c r="E1006" s="5"/>
      <c r="F1006" s="5"/>
      <c r="G1006" s="5"/>
      <c r="H1006" s="5" t="s">
        <v>596</v>
      </c>
      <c r="I1006" s="6">
        <v>44860</v>
      </c>
      <c r="J1006" s="5" t="s">
        <v>783</v>
      </c>
      <c r="K1006" s="5" t="s">
        <v>887</v>
      </c>
      <c r="L1006" s="5"/>
      <c r="M1006" s="5"/>
      <c r="N1006" s="7"/>
      <c r="O1006" s="5" t="s">
        <v>554</v>
      </c>
      <c r="P1006" s="8">
        <v>34.75</v>
      </c>
      <c r="Q1006" s="8">
        <f t="shared" si="22"/>
        <v>109231.73</v>
      </c>
    </row>
    <row r="1007" spans="1:17" x14ac:dyDescent="0.25">
      <c r="A1007" s="5"/>
      <c r="B1007" s="5"/>
      <c r="C1007" s="5"/>
      <c r="D1007" s="5"/>
      <c r="E1007" s="5"/>
      <c r="F1007" s="5"/>
      <c r="G1007" s="5"/>
      <c r="H1007" s="5" t="s">
        <v>596</v>
      </c>
      <c r="I1007" s="6">
        <v>44860</v>
      </c>
      <c r="J1007" s="5" t="s">
        <v>783</v>
      </c>
      <c r="K1007" s="5" t="s">
        <v>887</v>
      </c>
      <c r="L1007" s="5"/>
      <c r="M1007" s="5"/>
      <c r="N1007" s="7"/>
      <c r="O1007" s="5" t="s">
        <v>554</v>
      </c>
      <c r="P1007" s="8">
        <v>16.46</v>
      </c>
      <c r="Q1007" s="8">
        <f t="shared" si="22"/>
        <v>109248.19</v>
      </c>
    </row>
    <row r="1008" spans="1:17" x14ac:dyDescent="0.25">
      <c r="A1008" s="5"/>
      <c r="B1008" s="5"/>
      <c r="C1008" s="5"/>
      <c r="D1008" s="5"/>
      <c r="E1008" s="5"/>
      <c r="F1008" s="5"/>
      <c r="G1008" s="5"/>
      <c r="H1008" s="5" t="s">
        <v>596</v>
      </c>
      <c r="I1008" s="6">
        <v>44860</v>
      </c>
      <c r="J1008" s="5" t="s">
        <v>783</v>
      </c>
      <c r="K1008" s="5" t="s">
        <v>887</v>
      </c>
      <c r="L1008" s="5"/>
      <c r="M1008" s="5"/>
      <c r="N1008" s="7"/>
      <c r="O1008" s="5" t="s">
        <v>554</v>
      </c>
      <c r="P1008" s="8">
        <v>0</v>
      </c>
      <c r="Q1008" s="8">
        <f t="shared" si="22"/>
        <v>109248.19</v>
      </c>
    </row>
    <row r="1009" spans="1:17" x14ac:dyDescent="0.25">
      <c r="A1009" s="5"/>
      <c r="B1009" s="5"/>
      <c r="C1009" s="5"/>
      <c r="D1009" s="5"/>
      <c r="E1009" s="5"/>
      <c r="F1009" s="5"/>
      <c r="G1009" s="5"/>
      <c r="H1009" s="5" t="s">
        <v>596</v>
      </c>
      <c r="I1009" s="6">
        <v>44862</v>
      </c>
      <c r="J1009" s="5" t="s">
        <v>784</v>
      </c>
      <c r="K1009" s="5" t="s">
        <v>886</v>
      </c>
      <c r="L1009" s="5"/>
      <c r="M1009" s="5"/>
      <c r="N1009" s="7"/>
      <c r="O1009" s="5" t="s">
        <v>554</v>
      </c>
      <c r="P1009" s="8">
        <v>1197.53</v>
      </c>
      <c r="Q1009" s="8">
        <f t="shared" si="22"/>
        <v>110445.72</v>
      </c>
    </row>
    <row r="1010" spans="1:17" x14ac:dyDescent="0.25">
      <c r="A1010" s="5"/>
      <c r="B1010" s="5"/>
      <c r="C1010" s="5"/>
      <c r="D1010" s="5"/>
      <c r="E1010" s="5"/>
      <c r="F1010" s="5"/>
      <c r="G1010" s="5"/>
      <c r="H1010" s="5" t="s">
        <v>596</v>
      </c>
      <c r="I1010" s="6">
        <v>44862</v>
      </c>
      <c r="J1010" s="5" t="s">
        <v>784</v>
      </c>
      <c r="K1010" s="5" t="s">
        <v>886</v>
      </c>
      <c r="L1010" s="5"/>
      <c r="M1010" s="5"/>
      <c r="N1010" s="7"/>
      <c r="O1010" s="5" t="s">
        <v>554</v>
      </c>
      <c r="P1010" s="8">
        <v>60.59</v>
      </c>
      <c r="Q1010" s="8">
        <f t="shared" si="22"/>
        <v>110506.31</v>
      </c>
    </row>
    <row r="1011" spans="1:17" x14ac:dyDescent="0.25">
      <c r="A1011" s="5"/>
      <c r="B1011" s="5"/>
      <c r="C1011" s="5"/>
      <c r="D1011" s="5"/>
      <c r="E1011" s="5"/>
      <c r="F1011" s="5"/>
      <c r="G1011" s="5"/>
      <c r="H1011" s="5" t="s">
        <v>596</v>
      </c>
      <c r="I1011" s="6">
        <v>44862</v>
      </c>
      <c r="J1011" s="5" t="s">
        <v>784</v>
      </c>
      <c r="K1011" s="5" t="s">
        <v>886</v>
      </c>
      <c r="L1011" s="5"/>
      <c r="M1011" s="5"/>
      <c r="N1011" s="7"/>
      <c r="O1011" s="5" t="s">
        <v>554</v>
      </c>
      <c r="P1011" s="8">
        <v>26.49</v>
      </c>
      <c r="Q1011" s="8">
        <f t="shared" si="22"/>
        <v>110532.8</v>
      </c>
    </row>
    <row r="1012" spans="1:17" x14ac:dyDescent="0.25">
      <c r="A1012" s="5"/>
      <c r="B1012" s="5"/>
      <c r="C1012" s="5"/>
      <c r="D1012" s="5"/>
      <c r="E1012" s="5"/>
      <c r="F1012" s="5"/>
      <c r="G1012" s="5"/>
      <c r="H1012" s="5" t="s">
        <v>596</v>
      </c>
      <c r="I1012" s="6">
        <v>44862</v>
      </c>
      <c r="J1012" s="5" t="s">
        <v>784</v>
      </c>
      <c r="K1012" s="5" t="s">
        <v>886</v>
      </c>
      <c r="L1012" s="5"/>
      <c r="M1012" s="5"/>
      <c r="N1012" s="7"/>
      <c r="O1012" s="5" t="s">
        <v>554</v>
      </c>
      <c r="P1012" s="8">
        <v>0</v>
      </c>
      <c r="Q1012" s="8">
        <f t="shared" si="22"/>
        <v>110532.8</v>
      </c>
    </row>
    <row r="1013" spans="1:17" x14ac:dyDescent="0.25">
      <c r="A1013" s="5"/>
      <c r="B1013" s="5"/>
      <c r="C1013" s="5"/>
      <c r="D1013" s="5"/>
      <c r="E1013" s="5"/>
      <c r="F1013" s="5"/>
      <c r="G1013" s="5"/>
      <c r="H1013" s="5" t="s">
        <v>596</v>
      </c>
      <c r="I1013" s="6">
        <v>44874</v>
      </c>
      <c r="J1013" s="5" t="s">
        <v>785</v>
      </c>
      <c r="K1013" s="5" t="s">
        <v>877</v>
      </c>
      <c r="L1013" s="5"/>
      <c r="M1013" s="5"/>
      <c r="N1013" s="7"/>
      <c r="O1013" s="5" t="s">
        <v>554</v>
      </c>
      <c r="P1013" s="8">
        <v>1600</v>
      </c>
      <c r="Q1013" s="8">
        <f t="shared" si="22"/>
        <v>112132.8</v>
      </c>
    </row>
    <row r="1014" spans="1:17" x14ac:dyDescent="0.25">
      <c r="A1014" s="5"/>
      <c r="B1014" s="5"/>
      <c r="C1014" s="5"/>
      <c r="D1014" s="5"/>
      <c r="E1014" s="5"/>
      <c r="F1014" s="5"/>
      <c r="G1014" s="5"/>
      <c r="H1014" s="5" t="s">
        <v>596</v>
      </c>
      <c r="I1014" s="6">
        <v>44874</v>
      </c>
      <c r="J1014" s="5" t="s">
        <v>785</v>
      </c>
      <c r="K1014" s="5" t="s">
        <v>877</v>
      </c>
      <c r="L1014" s="5"/>
      <c r="M1014" s="5"/>
      <c r="N1014" s="7"/>
      <c r="O1014" s="5" t="s">
        <v>554</v>
      </c>
      <c r="P1014" s="8">
        <v>83.53</v>
      </c>
      <c r="Q1014" s="8">
        <f t="shared" si="22"/>
        <v>112216.33</v>
      </c>
    </row>
    <row r="1015" spans="1:17" x14ac:dyDescent="0.25">
      <c r="A1015" s="5"/>
      <c r="B1015" s="5"/>
      <c r="C1015" s="5"/>
      <c r="D1015" s="5"/>
      <c r="E1015" s="5"/>
      <c r="F1015" s="5"/>
      <c r="G1015" s="5"/>
      <c r="H1015" s="5" t="s">
        <v>596</v>
      </c>
      <c r="I1015" s="6">
        <v>44874</v>
      </c>
      <c r="J1015" s="5" t="s">
        <v>785</v>
      </c>
      <c r="K1015" s="5" t="s">
        <v>877</v>
      </c>
      <c r="L1015" s="5"/>
      <c r="M1015" s="5"/>
      <c r="N1015" s="7"/>
      <c r="O1015" s="5" t="s">
        <v>554</v>
      </c>
      <c r="P1015" s="8">
        <v>35.39</v>
      </c>
      <c r="Q1015" s="8">
        <f t="shared" si="22"/>
        <v>112251.72</v>
      </c>
    </row>
    <row r="1016" spans="1:17" x14ac:dyDescent="0.25">
      <c r="A1016" s="5"/>
      <c r="B1016" s="5"/>
      <c r="C1016" s="5"/>
      <c r="D1016" s="5"/>
      <c r="E1016" s="5"/>
      <c r="F1016" s="5"/>
      <c r="G1016" s="5"/>
      <c r="H1016" s="5" t="s">
        <v>596</v>
      </c>
      <c r="I1016" s="6">
        <v>44874</v>
      </c>
      <c r="J1016" s="5" t="s">
        <v>785</v>
      </c>
      <c r="K1016" s="5" t="s">
        <v>877</v>
      </c>
      <c r="L1016" s="5"/>
      <c r="M1016" s="5"/>
      <c r="N1016" s="7"/>
      <c r="O1016" s="5" t="s">
        <v>554</v>
      </c>
      <c r="P1016" s="8">
        <v>64</v>
      </c>
      <c r="Q1016" s="8">
        <f t="shared" si="22"/>
        <v>112315.72</v>
      </c>
    </row>
    <row r="1017" spans="1:17" x14ac:dyDescent="0.25">
      <c r="A1017" s="5"/>
      <c r="B1017" s="5"/>
      <c r="C1017" s="5"/>
      <c r="D1017" s="5"/>
      <c r="E1017" s="5"/>
      <c r="F1017" s="5"/>
      <c r="G1017" s="5"/>
      <c r="H1017" s="5" t="s">
        <v>596</v>
      </c>
      <c r="I1017" s="6">
        <v>44874</v>
      </c>
      <c r="J1017" s="5" t="s">
        <v>786</v>
      </c>
      <c r="K1017" s="5" t="s">
        <v>876</v>
      </c>
      <c r="L1017" s="5"/>
      <c r="M1017" s="5"/>
      <c r="N1017" s="7"/>
      <c r="O1017" s="5" t="s">
        <v>554</v>
      </c>
      <c r="P1017" s="8">
        <v>2000</v>
      </c>
      <c r="Q1017" s="8">
        <f t="shared" ref="Q1017:Q1080" si="23">ROUND(Q1016+P1017,5)</f>
        <v>114315.72</v>
      </c>
    </row>
    <row r="1018" spans="1:17" x14ac:dyDescent="0.25">
      <c r="A1018" s="5"/>
      <c r="B1018" s="5"/>
      <c r="C1018" s="5"/>
      <c r="D1018" s="5"/>
      <c r="E1018" s="5"/>
      <c r="F1018" s="5"/>
      <c r="G1018" s="5"/>
      <c r="H1018" s="5" t="s">
        <v>596</v>
      </c>
      <c r="I1018" s="6">
        <v>44874</v>
      </c>
      <c r="J1018" s="5" t="s">
        <v>786</v>
      </c>
      <c r="K1018" s="5" t="s">
        <v>876</v>
      </c>
      <c r="L1018" s="5"/>
      <c r="M1018" s="5"/>
      <c r="N1018" s="7"/>
      <c r="O1018" s="5" t="s">
        <v>554</v>
      </c>
      <c r="P1018" s="8">
        <v>106.33</v>
      </c>
      <c r="Q1018" s="8">
        <f t="shared" si="23"/>
        <v>114422.05</v>
      </c>
    </row>
    <row r="1019" spans="1:17" x14ac:dyDescent="0.25">
      <c r="A1019" s="5"/>
      <c r="B1019" s="5"/>
      <c r="C1019" s="5"/>
      <c r="D1019" s="5"/>
      <c r="E1019" s="5"/>
      <c r="F1019" s="5"/>
      <c r="G1019" s="5"/>
      <c r="H1019" s="5" t="s">
        <v>596</v>
      </c>
      <c r="I1019" s="6">
        <v>44874</v>
      </c>
      <c r="J1019" s="5" t="s">
        <v>786</v>
      </c>
      <c r="K1019" s="5" t="s">
        <v>876</v>
      </c>
      <c r="L1019" s="5"/>
      <c r="M1019" s="5"/>
      <c r="N1019" s="7"/>
      <c r="O1019" s="5" t="s">
        <v>554</v>
      </c>
      <c r="P1019" s="8">
        <v>44.24</v>
      </c>
      <c r="Q1019" s="8">
        <f t="shared" si="23"/>
        <v>114466.29</v>
      </c>
    </row>
    <row r="1020" spans="1:17" x14ac:dyDescent="0.25">
      <c r="A1020" s="5"/>
      <c r="B1020" s="5"/>
      <c r="C1020" s="5"/>
      <c r="D1020" s="5"/>
      <c r="E1020" s="5"/>
      <c r="F1020" s="5"/>
      <c r="G1020" s="5"/>
      <c r="H1020" s="5" t="s">
        <v>596</v>
      </c>
      <c r="I1020" s="6">
        <v>44874</v>
      </c>
      <c r="J1020" s="5" t="s">
        <v>786</v>
      </c>
      <c r="K1020" s="5" t="s">
        <v>876</v>
      </c>
      <c r="L1020" s="5"/>
      <c r="M1020" s="5"/>
      <c r="N1020" s="7"/>
      <c r="O1020" s="5" t="s">
        <v>554</v>
      </c>
      <c r="P1020" s="8">
        <v>80</v>
      </c>
      <c r="Q1020" s="8">
        <f t="shared" si="23"/>
        <v>114546.29</v>
      </c>
    </row>
    <row r="1021" spans="1:17" x14ac:dyDescent="0.25">
      <c r="A1021" s="5"/>
      <c r="B1021" s="5"/>
      <c r="C1021" s="5"/>
      <c r="D1021" s="5"/>
      <c r="E1021" s="5"/>
      <c r="F1021" s="5"/>
      <c r="G1021" s="5"/>
      <c r="H1021" s="5" t="s">
        <v>596</v>
      </c>
      <c r="I1021" s="6">
        <v>44874</v>
      </c>
      <c r="J1021" s="5" t="s">
        <v>787</v>
      </c>
      <c r="K1021" s="5" t="s">
        <v>885</v>
      </c>
      <c r="L1021" s="5"/>
      <c r="M1021" s="5"/>
      <c r="N1021" s="7"/>
      <c r="O1021" s="5" t="s">
        <v>554</v>
      </c>
      <c r="P1021" s="8">
        <v>1500</v>
      </c>
      <c r="Q1021" s="8">
        <f t="shared" si="23"/>
        <v>116046.29</v>
      </c>
    </row>
    <row r="1022" spans="1:17" x14ac:dyDescent="0.25">
      <c r="A1022" s="5"/>
      <c r="B1022" s="5"/>
      <c r="C1022" s="5"/>
      <c r="D1022" s="5"/>
      <c r="E1022" s="5"/>
      <c r="F1022" s="5"/>
      <c r="G1022" s="5"/>
      <c r="H1022" s="5" t="s">
        <v>596</v>
      </c>
      <c r="I1022" s="6">
        <v>44874</v>
      </c>
      <c r="J1022" s="5" t="s">
        <v>787</v>
      </c>
      <c r="K1022" s="5" t="s">
        <v>885</v>
      </c>
      <c r="L1022" s="5"/>
      <c r="M1022" s="5"/>
      <c r="N1022" s="7"/>
      <c r="O1022" s="5" t="s">
        <v>554</v>
      </c>
      <c r="P1022" s="8">
        <v>77.83</v>
      </c>
      <c r="Q1022" s="8">
        <f t="shared" si="23"/>
        <v>116124.12</v>
      </c>
    </row>
    <row r="1023" spans="1:17" x14ac:dyDescent="0.25">
      <c r="A1023" s="5"/>
      <c r="B1023" s="5"/>
      <c r="C1023" s="5"/>
      <c r="D1023" s="5"/>
      <c r="E1023" s="5"/>
      <c r="F1023" s="5"/>
      <c r="G1023" s="5"/>
      <c r="H1023" s="5" t="s">
        <v>596</v>
      </c>
      <c r="I1023" s="6">
        <v>44874</v>
      </c>
      <c r="J1023" s="5" t="s">
        <v>787</v>
      </c>
      <c r="K1023" s="5" t="s">
        <v>885</v>
      </c>
      <c r="L1023" s="5"/>
      <c r="M1023" s="5"/>
      <c r="N1023" s="7"/>
      <c r="O1023" s="5" t="s">
        <v>554</v>
      </c>
      <c r="P1023" s="8">
        <v>33.18</v>
      </c>
      <c r="Q1023" s="8">
        <f t="shared" si="23"/>
        <v>116157.3</v>
      </c>
    </row>
    <row r="1024" spans="1:17" x14ac:dyDescent="0.25">
      <c r="A1024" s="5"/>
      <c r="B1024" s="5"/>
      <c r="C1024" s="5"/>
      <c r="D1024" s="5"/>
      <c r="E1024" s="5"/>
      <c r="F1024" s="5"/>
      <c r="G1024" s="5"/>
      <c r="H1024" s="5" t="s">
        <v>596</v>
      </c>
      <c r="I1024" s="6">
        <v>44874</v>
      </c>
      <c r="J1024" s="5" t="s">
        <v>787</v>
      </c>
      <c r="K1024" s="5" t="s">
        <v>885</v>
      </c>
      <c r="L1024" s="5"/>
      <c r="M1024" s="5"/>
      <c r="N1024" s="7"/>
      <c r="O1024" s="5" t="s">
        <v>554</v>
      </c>
      <c r="P1024" s="8">
        <v>0</v>
      </c>
      <c r="Q1024" s="8">
        <f t="shared" si="23"/>
        <v>116157.3</v>
      </c>
    </row>
    <row r="1025" spans="1:17" x14ac:dyDescent="0.25">
      <c r="A1025" s="5"/>
      <c r="B1025" s="5"/>
      <c r="C1025" s="5"/>
      <c r="D1025" s="5"/>
      <c r="E1025" s="5"/>
      <c r="F1025" s="5"/>
      <c r="G1025" s="5"/>
      <c r="H1025" s="5" t="s">
        <v>596</v>
      </c>
      <c r="I1025" s="6">
        <v>44874</v>
      </c>
      <c r="J1025" s="5" t="s">
        <v>788</v>
      </c>
      <c r="K1025" s="5" t="s">
        <v>881</v>
      </c>
      <c r="L1025" s="5"/>
      <c r="M1025" s="5"/>
      <c r="N1025" s="7"/>
      <c r="O1025" s="5" t="s">
        <v>554</v>
      </c>
      <c r="P1025" s="8">
        <v>1400</v>
      </c>
      <c r="Q1025" s="8">
        <f t="shared" si="23"/>
        <v>117557.3</v>
      </c>
    </row>
    <row r="1026" spans="1:17" x14ac:dyDescent="0.25">
      <c r="A1026" s="5"/>
      <c r="B1026" s="5"/>
      <c r="C1026" s="5"/>
      <c r="D1026" s="5"/>
      <c r="E1026" s="5"/>
      <c r="F1026" s="5"/>
      <c r="G1026" s="5"/>
      <c r="H1026" s="5" t="s">
        <v>596</v>
      </c>
      <c r="I1026" s="6">
        <v>44874</v>
      </c>
      <c r="J1026" s="5" t="s">
        <v>788</v>
      </c>
      <c r="K1026" s="5" t="s">
        <v>881</v>
      </c>
      <c r="L1026" s="5"/>
      <c r="M1026" s="5"/>
      <c r="N1026" s="7"/>
      <c r="O1026" s="5" t="s">
        <v>554</v>
      </c>
      <c r="P1026" s="8">
        <v>72.13</v>
      </c>
      <c r="Q1026" s="8">
        <f t="shared" si="23"/>
        <v>117629.43</v>
      </c>
    </row>
    <row r="1027" spans="1:17" x14ac:dyDescent="0.25">
      <c r="A1027" s="5"/>
      <c r="B1027" s="5"/>
      <c r="C1027" s="5"/>
      <c r="D1027" s="5"/>
      <c r="E1027" s="5"/>
      <c r="F1027" s="5"/>
      <c r="G1027" s="5"/>
      <c r="H1027" s="5" t="s">
        <v>596</v>
      </c>
      <c r="I1027" s="6">
        <v>44874</v>
      </c>
      <c r="J1027" s="5" t="s">
        <v>788</v>
      </c>
      <c r="K1027" s="5" t="s">
        <v>881</v>
      </c>
      <c r="L1027" s="5"/>
      <c r="M1027" s="5"/>
      <c r="N1027" s="7"/>
      <c r="O1027" s="5" t="s">
        <v>554</v>
      </c>
      <c r="P1027" s="8">
        <v>30.97</v>
      </c>
      <c r="Q1027" s="8">
        <f t="shared" si="23"/>
        <v>117660.4</v>
      </c>
    </row>
    <row r="1028" spans="1:17" x14ac:dyDescent="0.25">
      <c r="A1028" s="5"/>
      <c r="B1028" s="5"/>
      <c r="C1028" s="5"/>
      <c r="D1028" s="5"/>
      <c r="E1028" s="5"/>
      <c r="F1028" s="5"/>
      <c r="G1028" s="5"/>
      <c r="H1028" s="5" t="s">
        <v>596</v>
      </c>
      <c r="I1028" s="6">
        <v>44874</v>
      </c>
      <c r="J1028" s="5" t="s">
        <v>788</v>
      </c>
      <c r="K1028" s="5" t="s">
        <v>881</v>
      </c>
      <c r="L1028" s="5"/>
      <c r="M1028" s="5"/>
      <c r="N1028" s="7"/>
      <c r="O1028" s="5" t="s">
        <v>554</v>
      </c>
      <c r="P1028" s="8">
        <v>0</v>
      </c>
      <c r="Q1028" s="8">
        <f t="shared" si="23"/>
        <v>117660.4</v>
      </c>
    </row>
    <row r="1029" spans="1:17" x14ac:dyDescent="0.25">
      <c r="A1029" s="5"/>
      <c r="B1029" s="5"/>
      <c r="C1029" s="5"/>
      <c r="D1029" s="5"/>
      <c r="E1029" s="5"/>
      <c r="F1029" s="5"/>
      <c r="G1029" s="5"/>
      <c r="H1029" s="5" t="s">
        <v>596</v>
      </c>
      <c r="I1029" s="6">
        <v>44874</v>
      </c>
      <c r="J1029" s="5" t="s">
        <v>789</v>
      </c>
      <c r="K1029" s="5" t="s">
        <v>880</v>
      </c>
      <c r="L1029" s="5"/>
      <c r="M1029" s="5"/>
      <c r="N1029" s="7"/>
      <c r="O1029" s="5" t="s">
        <v>554</v>
      </c>
      <c r="P1029" s="8">
        <v>605.87</v>
      </c>
      <c r="Q1029" s="8">
        <f t="shared" si="23"/>
        <v>118266.27</v>
      </c>
    </row>
    <row r="1030" spans="1:17" x14ac:dyDescent="0.25">
      <c r="A1030" s="5"/>
      <c r="B1030" s="5"/>
      <c r="C1030" s="5"/>
      <c r="D1030" s="5"/>
      <c r="E1030" s="5"/>
      <c r="F1030" s="5"/>
      <c r="G1030" s="5"/>
      <c r="H1030" s="5" t="s">
        <v>596</v>
      </c>
      <c r="I1030" s="6">
        <v>44874</v>
      </c>
      <c r="J1030" s="5" t="s">
        <v>789</v>
      </c>
      <c r="K1030" s="5" t="s">
        <v>880</v>
      </c>
      <c r="L1030" s="5"/>
      <c r="M1030" s="5"/>
      <c r="N1030" s="7"/>
      <c r="O1030" s="5" t="s">
        <v>554</v>
      </c>
      <c r="P1030" s="8">
        <v>26.86</v>
      </c>
      <c r="Q1030" s="8">
        <f t="shared" si="23"/>
        <v>118293.13</v>
      </c>
    </row>
    <row r="1031" spans="1:17" x14ac:dyDescent="0.25">
      <c r="A1031" s="5"/>
      <c r="B1031" s="5"/>
      <c r="C1031" s="5"/>
      <c r="D1031" s="5"/>
      <c r="E1031" s="5"/>
      <c r="F1031" s="5"/>
      <c r="G1031" s="5"/>
      <c r="H1031" s="5" t="s">
        <v>596</v>
      </c>
      <c r="I1031" s="6">
        <v>44874</v>
      </c>
      <c r="J1031" s="5" t="s">
        <v>789</v>
      </c>
      <c r="K1031" s="5" t="s">
        <v>880</v>
      </c>
      <c r="L1031" s="5"/>
      <c r="M1031" s="5"/>
      <c r="N1031" s="7"/>
      <c r="O1031" s="5" t="s">
        <v>554</v>
      </c>
      <c r="P1031" s="8">
        <v>13.4</v>
      </c>
      <c r="Q1031" s="8">
        <f t="shared" si="23"/>
        <v>118306.53</v>
      </c>
    </row>
    <row r="1032" spans="1:17" x14ac:dyDescent="0.25">
      <c r="A1032" s="5"/>
      <c r="B1032" s="5"/>
      <c r="C1032" s="5"/>
      <c r="D1032" s="5"/>
      <c r="E1032" s="5"/>
      <c r="F1032" s="5"/>
      <c r="G1032" s="5"/>
      <c r="H1032" s="5" t="s">
        <v>596</v>
      </c>
      <c r="I1032" s="6">
        <v>44874</v>
      </c>
      <c r="J1032" s="5" t="s">
        <v>789</v>
      </c>
      <c r="K1032" s="5" t="s">
        <v>880</v>
      </c>
      <c r="L1032" s="5"/>
      <c r="M1032" s="5"/>
      <c r="N1032" s="7"/>
      <c r="O1032" s="5" t="s">
        <v>554</v>
      </c>
      <c r="P1032" s="8">
        <v>0</v>
      </c>
      <c r="Q1032" s="8">
        <f t="shared" si="23"/>
        <v>118306.53</v>
      </c>
    </row>
    <row r="1033" spans="1:17" x14ac:dyDescent="0.25">
      <c r="A1033" s="5"/>
      <c r="B1033" s="5"/>
      <c r="C1033" s="5"/>
      <c r="D1033" s="5"/>
      <c r="E1033" s="5"/>
      <c r="F1033" s="5"/>
      <c r="G1033" s="5"/>
      <c r="H1033" s="5" t="s">
        <v>596</v>
      </c>
      <c r="I1033" s="6">
        <v>44874</v>
      </c>
      <c r="J1033" s="5" t="s">
        <v>790</v>
      </c>
      <c r="K1033" s="5" t="s">
        <v>886</v>
      </c>
      <c r="L1033" s="5"/>
      <c r="M1033" s="5"/>
      <c r="N1033" s="7"/>
      <c r="O1033" s="5" t="s">
        <v>554</v>
      </c>
      <c r="P1033" s="8">
        <v>1245.45</v>
      </c>
      <c r="Q1033" s="8">
        <f t="shared" si="23"/>
        <v>119551.98</v>
      </c>
    </row>
    <row r="1034" spans="1:17" x14ac:dyDescent="0.25">
      <c r="A1034" s="5"/>
      <c r="B1034" s="5"/>
      <c r="C1034" s="5"/>
      <c r="D1034" s="5"/>
      <c r="E1034" s="5"/>
      <c r="F1034" s="5"/>
      <c r="G1034" s="5"/>
      <c r="H1034" s="5" t="s">
        <v>596</v>
      </c>
      <c r="I1034" s="6">
        <v>44874</v>
      </c>
      <c r="J1034" s="5" t="s">
        <v>790</v>
      </c>
      <c r="K1034" s="5" t="s">
        <v>886</v>
      </c>
      <c r="L1034" s="5"/>
      <c r="M1034" s="5"/>
      <c r="N1034" s="7"/>
      <c r="O1034" s="5" t="s">
        <v>554</v>
      </c>
      <c r="P1034" s="8">
        <v>63.32</v>
      </c>
      <c r="Q1034" s="8">
        <f t="shared" si="23"/>
        <v>119615.3</v>
      </c>
    </row>
    <row r="1035" spans="1:17" x14ac:dyDescent="0.25">
      <c r="A1035" s="5"/>
      <c r="B1035" s="5"/>
      <c r="C1035" s="5"/>
      <c r="D1035" s="5"/>
      <c r="E1035" s="5"/>
      <c r="F1035" s="5"/>
      <c r="G1035" s="5"/>
      <c r="H1035" s="5" t="s">
        <v>596</v>
      </c>
      <c r="I1035" s="6">
        <v>44874</v>
      </c>
      <c r="J1035" s="5" t="s">
        <v>790</v>
      </c>
      <c r="K1035" s="5" t="s">
        <v>886</v>
      </c>
      <c r="L1035" s="5"/>
      <c r="M1035" s="5"/>
      <c r="N1035" s="7"/>
      <c r="O1035" s="5" t="s">
        <v>554</v>
      </c>
      <c r="P1035" s="8">
        <v>27.55</v>
      </c>
      <c r="Q1035" s="8">
        <f t="shared" si="23"/>
        <v>119642.85</v>
      </c>
    </row>
    <row r="1036" spans="1:17" x14ac:dyDescent="0.25">
      <c r="A1036" s="5"/>
      <c r="B1036" s="5"/>
      <c r="C1036" s="5"/>
      <c r="D1036" s="5"/>
      <c r="E1036" s="5"/>
      <c r="F1036" s="5"/>
      <c r="G1036" s="5"/>
      <c r="H1036" s="5" t="s">
        <v>596</v>
      </c>
      <c r="I1036" s="6">
        <v>44874</v>
      </c>
      <c r="J1036" s="5" t="s">
        <v>790</v>
      </c>
      <c r="K1036" s="5" t="s">
        <v>886</v>
      </c>
      <c r="L1036" s="5"/>
      <c r="M1036" s="5"/>
      <c r="N1036" s="7"/>
      <c r="O1036" s="5" t="s">
        <v>554</v>
      </c>
      <c r="P1036" s="8">
        <v>0</v>
      </c>
      <c r="Q1036" s="8">
        <f t="shared" si="23"/>
        <v>119642.85</v>
      </c>
    </row>
    <row r="1037" spans="1:17" x14ac:dyDescent="0.25">
      <c r="A1037" s="5"/>
      <c r="B1037" s="5"/>
      <c r="C1037" s="5"/>
      <c r="D1037" s="5"/>
      <c r="E1037" s="5"/>
      <c r="F1037" s="5"/>
      <c r="G1037" s="5"/>
      <c r="H1037" s="5" t="s">
        <v>596</v>
      </c>
      <c r="I1037" s="6">
        <v>44874</v>
      </c>
      <c r="J1037" s="5" t="s">
        <v>791</v>
      </c>
      <c r="K1037" s="5" t="s">
        <v>887</v>
      </c>
      <c r="L1037" s="5"/>
      <c r="M1037" s="5"/>
      <c r="N1037" s="7"/>
      <c r="O1037" s="5" t="s">
        <v>554</v>
      </c>
      <c r="P1037" s="8">
        <v>476.94</v>
      </c>
      <c r="Q1037" s="8">
        <f t="shared" si="23"/>
        <v>120119.79</v>
      </c>
    </row>
    <row r="1038" spans="1:17" x14ac:dyDescent="0.25">
      <c r="A1038" s="5"/>
      <c r="B1038" s="5"/>
      <c r="C1038" s="5"/>
      <c r="D1038" s="5"/>
      <c r="E1038" s="5"/>
      <c r="F1038" s="5"/>
      <c r="G1038" s="5"/>
      <c r="H1038" s="5" t="s">
        <v>596</v>
      </c>
      <c r="I1038" s="6">
        <v>44874</v>
      </c>
      <c r="J1038" s="5" t="s">
        <v>791</v>
      </c>
      <c r="K1038" s="5" t="s">
        <v>887</v>
      </c>
      <c r="L1038" s="5"/>
      <c r="M1038" s="5"/>
      <c r="N1038" s="7"/>
      <c r="O1038" s="5" t="s">
        <v>554</v>
      </c>
      <c r="P1038" s="8">
        <v>19.510000000000002</v>
      </c>
      <c r="Q1038" s="8">
        <f t="shared" si="23"/>
        <v>120139.3</v>
      </c>
    </row>
    <row r="1039" spans="1:17" x14ac:dyDescent="0.25">
      <c r="A1039" s="5"/>
      <c r="B1039" s="5"/>
      <c r="C1039" s="5"/>
      <c r="D1039" s="5"/>
      <c r="E1039" s="5"/>
      <c r="F1039" s="5"/>
      <c r="G1039" s="5"/>
      <c r="H1039" s="5" t="s">
        <v>596</v>
      </c>
      <c r="I1039" s="6">
        <v>44874</v>
      </c>
      <c r="J1039" s="5" t="s">
        <v>791</v>
      </c>
      <c r="K1039" s="5" t="s">
        <v>887</v>
      </c>
      <c r="L1039" s="5"/>
      <c r="M1039" s="5"/>
      <c r="N1039" s="7"/>
      <c r="O1039" s="5" t="s">
        <v>554</v>
      </c>
      <c r="P1039" s="8">
        <v>10.56</v>
      </c>
      <c r="Q1039" s="8">
        <f t="shared" si="23"/>
        <v>120149.86</v>
      </c>
    </row>
    <row r="1040" spans="1:17" x14ac:dyDescent="0.25">
      <c r="A1040" s="5"/>
      <c r="B1040" s="5"/>
      <c r="C1040" s="5"/>
      <c r="D1040" s="5"/>
      <c r="E1040" s="5"/>
      <c r="F1040" s="5"/>
      <c r="G1040" s="5"/>
      <c r="H1040" s="5" t="s">
        <v>596</v>
      </c>
      <c r="I1040" s="6">
        <v>44874</v>
      </c>
      <c r="J1040" s="5" t="s">
        <v>791</v>
      </c>
      <c r="K1040" s="5" t="s">
        <v>887</v>
      </c>
      <c r="L1040" s="5"/>
      <c r="M1040" s="5"/>
      <c r="N1040" s="7"/>
      <c r="O1040" s="5" t="s">
        <v>554</v>
      </c>
      <c r="P1040" s="8">
        <v>0</v>
      </c>
      <c r="Q1040" s="8">
        <f t="shared" si="23"/>
        <v>120149.86</v>
      </c>
    </row>
    <row r="1041" spans="1:17" x14ac:dyDescent="0.25">
      <c r="A1041" s="5"/>
      <c r="B1041" s="5"/>
      <c r="C1041" s="5"/>
      <c r="D1041" s="5"/>
      <c r="E1041" s="5"/>
      <c r="F1041" s="5"/>
      <c r="G1041" s="5"/>
      <c r="H1041" s="5" t="s">
        <v>596</v>
      </c>
      <c r="I1041" s="6">
        <v>44888</v>
      </c>
      <c r="J1041" s="5"/>
      <c r="K1041" s="5" t="s">
        <v>881</v>
      </c>
      <c r="L1041" s="5"/>
      <c r="M1041" s="5"/>
      <c r="N1041" s="7"/>
      <c r="O1041" s="5" t="s">
        <v>554</v>
      </c>
      <c r="P1041" s="8">
        <v>1400</v>
      </c>
      <c r="Q1041" s="8">
        <f t="shared" si="23"/>
        <v>121549.86</v>
      </c>
    </row>
    <row r="1042" spans="1:17" x14ac:dyDescent="0.25">
      <c r="A1042" s="5"/>
      <c r="B1042" s="5"/>
      <c r="C1042" s="5"/>
      <c r="D1042" s="5"/>
      <c r="E1042" s="5"/>
      <c r="F1042" s="5"/>
      <c r="G1042" s="5"/>
      <c r="H1042" s="5" t="s">
        <v>596</v>
      </c>
      <c r="I1042" s="6">
        <v>44888</v>
      </c>
      <c r="J1042" s="5"/>
      <c r="K1042" s="5" t="s">
        <v>881</v>
      </c>
      <c r="L1042" s="5"/>
      <c r="M1042" s="5"/>
      <c r="N1042" s="7"/>
      <c r="O1042" s="5" t="s">
        <v>554</v>
      </c>
      <c r="P1042" s="8">
        <v>72.13</v>
      </c>
      <c r="Q1042" s="8">
        <f t="shared" si="23"/>
        <v>121621.99</v>
      </c>
    </row>
    <row r="1043" spans="1:17" x14ac:dyDescent="0.25">
      <c r="A1043" s="5"/>
      <c r="B1043" s="5"/>
      <c r="C1043" s="5"/>
      <c r="D1043" s="5"/>
      <c r="E1043" s="5"/>
      <c r="F1043" s="5"/>
      <c r="G1043" s="5"/>
      <c r="H1043" s="5" t="s">
        <v>596</v>
      </c>
      <c r="I1043" s="6">
        <v>44888</v>
      </c>
      <c r="J1043" s="5"/>
      <c r="K1043" s="5" t="s">
        <v>881</v>
      </c>
      <c r="L1043" s="5"/>
      <c r="M1043" s="5"/>
      <c r="N1043" s="7"/>
      <c r="O1043" s="5" t="s">
        <v>554</v>
      </c>
      <c r="P1043" s="8">
        <v>30.97</v>
      </c>
      <c r="Q1043" s="8">
        <f t="shared" si="23"/>
        <v>121652.96</v>
      </c>
    </row>
    <row r="1044" spans="1:17" x14ac:dyDescent="0.25">
      <c r="A1044" s="5"/>
      <c r="B1044" s="5"/>
      <c r="C1044" s="5"/>
      <c r="D1044" s="5"/>
      <c r="E1044" s="5"/>
      <c r="F1044" s="5"/>
      <c r="G1044" s="5"/>
      <c r="H1044" s="5" t="s">
        <v>596</v>
      </c>
      <c r="I1044" s="6">
        <v>44888</v>
      </c>
      <c r="J1044" s="5"/>
      <c r="K1044" s="5" t="s">
        <v>881</v>
      </c>
      <c r="L1044" s="5"/>
      <c r="M1044" s="5"/>
      <c r="N1044" s="7"/>
      <c r="O1044" s="5" t="s">
        <v>554</v>
      </c>
      <c r="P1044" s="8">
        <v>0</v>
      </c>
      <c r="Q1044" s="8">
        <f t="shared" si="23"/>
        <v>121652.96</v>
      </c>
    </row>
    <row r="1045" spans="1:17" x14ac:dyDescent="0.25">
      <c r="A1045" s="5"/>
      <c r="B1045" s="5"/>
      <c r="C1045" s="5"/>
      <c r="D1045" s="5"/>
      <c r="E1045" s="5"/>
      <c r="F1045" s="5"/>
      <c r="G1045" s="5"/>
      <c r="H1045" s="5" t="s">
        <v>596</v>
      </c>
      <c r="I1045" s="6">
        <v>44889</v>
      </c>
      <c r="J1045" s="5" t="s">
        <v>792</v>
      </c>
      <c r="K1045" s="5" t="s">
        <v>877</v>
      </c>
      <c r="L1045" s="5"/>
      <c r="M1045" s="5"/>
      <c r="N1045" s="7"/>
      <c r="O1045" s="5" t="s">
        <v>554</v>
      </c>
      <c r="P1045" s="8">
        <v>1600</v>
      </c>
      <c r="Q1045" s="8">
        <f t="shared" si="23"/>
        <v>123252.96</v>
      </c>
    </row>
    <row r="1046" spans="1:17" x14ac:dyDescent="0.25">
      <c r="A1046" s="5"/>
      <c r="B1046" s="5"/>
      <c r="C1046" s="5"/>
      <c r="D1046" s="5"/>
      <c r="E1046" s="5"/>
      <c r="F1046" s="5"/>
      <c r="G1046" s="5"/>
      <c r="H1046" s="5" t="s">
        <v>596</v>
      </c>
      <c r="I1046" s="6">
        <v>44889</v>
      </c>
      <c r="J1046" s="5" t="s">
        <v>792</v>
      </c>
      <c r="K1046" s="5" t="s">
        <v>877</v>
      </c>
      <c r="L1046" s="5"/>
      <c r="M1046" s="5"/>
      <c r="N1046" s="7"/>
      <c r="O1046" s="5" t="s">
        <v>554</v>
      </c>
      <c r="P1046" s="8">
        <v>83.53</v>
      </c>
      <c r="Q1046" s="8">
        <f t="shared" si="23"/>
        <v>123336.49</v>
      </c>
    </row>
    <row r="1047" spans="1:17" x14ac:dyDescent="0.25">
      <c r="A1047" s="5"/>
      <c r="B1047" s="5"/>
      <c r="C1047" s="5"/>
      <c r="D1047" s="5"/>
      <c r="E1047" s="5"/>
      <c r="F1047" s="5"/>
      <c r="G1047" s="5"/>
      <c r="H1047" s="5" t="s">
        <v>596</v>
      </c>
      <c r="I1047" s="6">
        <v>44889</v>
      </c>
      <c r="J1047" s="5" t="s">
        <v>792</v>
      </c>
      <c r="K1047" s="5" t="s">
        <v>877</v>
      </c>
      <c r="L1047" s="5"/>
      <c r="M1047" s="5"/>
      <c r="N1047" s="7"/>
      <c r="O1047" s="5" t="s">
        <v>554</v>
      </c>
      <c r="P1047" s="8">
        <v>35.39</v>
      </c>
      <c r="Q1047" s="8">
        <f t="shared" si="23"/>
        <v>123371.88</v>
      </c>
    </row>
    <row r="1048" spans="1:17" x14ac:dyDescent="0.25">
      <c r="A1048" s="5"/>
      <c r="B1048" s="5"/>
      <c r="C1048" s="5"/>
      <c r="D1048" s="5"/>
      <c r="E1048" s="5"/>
      <c r="F1048" s="5"/>
      <c r="G1048" s="5"/>
      <c r="H1048" s="5" t="s">
        <v>596</v>
      </c>
      <c r="I1048" s="6">
        <v>44889</v>
      </c>
      <c r="J1048" s="5" t="s">
        <v>792</v>
      </c>
      <c r="K1048" s="5" t="s">
        <v>877</v>
      </c>
      <c r="L1048" s="5"/>
      <c r="M1048" s="5"/>
      <c r="N1048" s="7"/>
      <c r="O1048" s="5" t="s">
        <v>554</v>
      </c>
      <c r="P1048" s="8">
        <v>64</v>
      </c>
      <c r="Q1048" s="8">
        <f t="shared" si="23"/>
        <v>123435.88</v>
      </c>
    </row>
    <row r="1049" spans="1:17" x14ac:dyDescent="0.25">
      <c r="A1049" s="5"/>
      <c r="B1049" s="5"/>
      <c r="C1049" s="5"/>
      <c r="D1049" s="5"/>
      <c r="E1049" s="5"/>
      <c r="F1049" s="5"/>
      <c r="G1049" s="5"/>
      <c r="H1049" s="5" t="s">
        <v>596</v>
      </c>
      <c r="I1049" s="6">
        <v>44889</v>
      </c>
      <c r="J1049" s="5" t="s">
        <v>793</v>
      </c>
      <c r="K1049" s="5" t="s">
        <v>876</v>
      </c>
      <c r="L1049" s="5"/>
      <c r="M1049" s="5"/>
      <c r="N1049" s="7"/>
      <c r="O1049" s="5" t="s">
        <v>554</v>
      </c>
      <c r="P1049" s="8">
        <v>2000</v>
      </c>
      <c r="Q1049" s="8">
        <f t="shared" si="23"/>
        <v>125435.88</v>
      </c>
    </row>
    <row r="1050" spans="1:17" x14ac:dyDescent="0.25">
      <c r="A1050" s="5"/>
      <c r="B1050" s="5"/>
      <c r="C1050" s="5"/>
      <c r="D1050" s="5"/>
      <c r="E1050" s="5"/>
      <c r="F1050" s="5"/>
      <c r="G1050" s="5"/>
      <c r="H1050" s="5" t="s">
        <v>596</v>
      </c>
      <c r="I1050" s="6">
        <v>44889</v>
      </c>
      <c r="J1050" s="5" t="s">
        <v>793</v>
      </c>
      <c r="K1050" s="5" t="s">
        <v>876</v>
      </c>
      <c r="L1050" s="5"/>
      <c r="M1050" s="5"/>
      <c r="N1050" s="7"/>
      <c r="O1050" s="5" t="s">
        <v>554</v>
      </c>
      <c r="P1050" s="8">
        <v>106.33</v>
      </c>
      <c r="Q1050" s="8">
        <f t="shared" si="23"/>
        <v>125542.21</v>
      </c>
    </row>
    <row r="1051" spans="1:17" x14ac:dyDescent="0.25">
      <c r="A1051" s="5"/>
      <c r="B1051" s="5"/>
      <c r="C1051" s="5"/>
      <c r="D1051" s="5"/>
      <c r="E1051" s="5"/>
      <c r="F1051" s="5"/>
      <c r="G1051" s="5"/>
      <c r="H1051" s="5" t="s">
        <v>596</v>
      </c>
      <c r="I1051" s="6">
        <v>44889</v>
      </c>
      <c r="J1051" s="5" t="s">
        <v>793</v>
      </c>
      <c r="K1051" s="5" t="s">
        <v>876</v>
      </c>
      <c r="L1051" s="5"/>
      <c r="M1051" s="5"/>
      <c r="N1051" s="7"/>
      <c r="O1051" s="5" t="s">
        <v>554</v>
      </c>
      <c r="P1051" s="8">
        <v>44.24</v>
      </c>
      <c r="Q1051" s="8">
        <f t="shared" si="23"/>
        <v>125586.45</v>
      </c>
    </row>
    <row r="1052" spans="1:17" x14ac:dyDescent="0.25">
      <c r="A1052" s="5"/>
      <c r="B1052" s="5"/>
      <c r="C1052" s="5"/>
      <c r="D1052" s="5"/>
      <c r="E1052" s="5"/>
      <c r="F1052" s="5"/>
      <c r="G1052" s="5"/>
      <c r="H1052" s="5" t="s">
        <v>596</v>
      </c>
      <c r="I1052" s="6">
        <v>44889</v>
      </c>
      <c r="J1052" s="5" t="s">
        <v>793</v>
      </c>
      <c r="K1052" s="5" t="s">
        <v>876</v>
      </c>
      <c r="L1052" s="5"/>
      <c r="M1052" s="5"/>
      <c r="N1052" s="7"/>
      <c r="O1052" s="5" t="s">
        <v>554</v>
      </c>
      <c r="P1052" s="8">
        <v>80</v>
      </c>
      <c r="Q1052" s="8">
        <f t="shared" si="23"/>
        <v>125666.45</v>
      </c>
    </row>
    <row r="1053" spans="1:17" x14ac:dyDescent="0.25">
      <c r="A1053" s="5"/>
      <c r="B1053" s="5"/>
      <c r="C1053" s="5"/>
      <c r="D1053" s="5"/>
      <c r="E1053" s="5"/>
      <c r="F1053" s="5"/>
      <c r="G1053" s="5"/>
      <c r="H1053" s="5" t="s">
        <v>596</v>
      </c>
      <c r="I1053" s="6">
        <v>44889</v>
      </c>
      <c r="J1053" s="5" t="s">
        <v>794</v>
      </c>
      <c r="K1053" s="5" t="s">
        <v>884</v>
      </c>
      <c r="L1053" s="5"/>
      <c r="M1053" s="5"/>
      <c r="N1053" s="7"/>
      <c r="O1053" s="5" t="s">
        <v>554</v>
      </c>
      <c r="P1053" s="8">
        <v>769.2</v>
      </c>
      <c r="Q1053" s="8">
        <f t="shared" si="23"/>
        <v>126435.65</v>
      </c>
    </row>
    <row r="1054" spans="1:17" x14ac:dyDescent="0.25">
      <c r="A1054" s="5"/>
      <c r="B1054" s="5"/>
      <c r="C1054" s="5"/>
      <c r="D1054" s="5"/>
      <c r="E1054" s="5"/>
      <c r="F1054" s="5"/>
      <c r="G1054" s="5"/>
      <c r="H1054" s="5" t="s">
        <v>596</v>
      </c>
      <c r="I1054" s="6">
        <v>44889</v>
      </c>
      <c r="J1054" s="5" t="s">
        <v>794</v>
      </c>
      <c r="K1054" s="5" t="s">
        <v>884</v>
      </c>
      <c r="L1054" s="5"/>
      <c r="M1054" s="5"/>
      <c r="N1054" s="7"/>
      <c r="O1054" s="5" t="s">
        <v>554</v>
      </c>
      <c r="P1054" s="8">
        <v>36.17</v>
      </c>
      <c r="Q1054" s="8">
        <f t="shared" si="23"/>
        <v>126471.82</v>
      </c>
    </row>
    <row r="1055" spans="1:17" x14ac:dyDescent="0.25">
      <c r="A1055" s="5"/>
      <c r="B1055" s="5"/>
      <c r="C1055" s="5"/>
      <c r="D1055" s="5"/>
      <c r="E1055" s="5"/>
      <c r="F1055" s="5"/>
      <c r="G1055" s="5"/>
      <c r="H1055" s="5" t="s">
        <v>596</v>
      </c>
      <c r="I1055" s="6">
        <v>44889</v>
      </c>
      <c r="J1055" s="5" t="s">
        <v>794</v>
      </c>
      <c r="K1055" s="5" t="s">
        <v>884</v>
      </c>
      <c r="L1055" s="5"/>
      <c r="M1055" s="5"/>
      <c r="N1055" s="7"/>
      <c r="O1055" s="5" t="s">
        <v>554</v>
      </c>
      <c r="P1055" s="8">
        <v>17.010000000000002</v>
      </c>
      <c r="Q1055" s="8">
        <f t="shared" si="23"/>
        <v>126488.83</v>
      </c>
    </row>
    <row r="1056" spans="1:17" x14ac:dyDescent="0.25">
      <c r="A1056" s="5"/>
      <c r="B1056" s="5"/>
      <c r="C1056" s="5"/>
      <c r="D1056" s="5"/>
      <c r="E1056" s="5"/>
      <c r="F1056" s="5"/>
      <c r="G1056" s="5"/>
      <c r="H1056" s="5" t="s">
        <v>596</v>
      </c>
      <c r="I1056" s="6">
        <v>44889</v>
      </c>
      <c r="J1056" s="5" t="s">
        <v>794</v>
      </c>
      <c r="K1056" s="5" t="s">
        <v>884</v>
      </c>
      <c r="L1056" s="5"/>
      <c r="M1056" s="5"/>
      <c r="N1056" s="7"/>
      <c r="O1056" s="5" t="s">
        <v>554</v>
      </c>
      <c r="P1056" s="8">
        <v>0</v>
      </c>
      <c r="Q1056" s="8">
        <f t="shared" si="23"/>
        <v>126488.83</v>
      </c>
    </row>
    <row r="1057" spans="1:17" x14ac:dyDescent="0.25">
      <c r="A1057" s="5"/>
      <c r="B1057" s="5"/>
      <c r="C1057" s="5"/>
      <c r="D1057" s="5"/>
      <c r="E1057" s="5"/>
      <c r="F1057" s="5"/>
      <c r="G1057" s="5"/>
      <c r="H1057" s="5" t="s">
        <v>596</v>
      </c>
      <c r="I1057" s="6">
        <v>44889</v>
      </c>
      <c r="J1057" s="5" t="s">
        <v>795</v>
      </c>
      <c r="K1057" s="5" t="s">
        <v>885</v>
      </c>
      <c r="L1057" s="5"/>
      <c r="M1057" s="5"/>
      <c r="N1057" s="7"/>
      <c r="O1057" s="5" t="s">
        <v>554</v>
      </c>
      <c r="P1057" s="8">
        <v>1500</v>
      </c>
      <c r="Q1057" s="8">
        <f t="shared" si="23"/>
        <v>127988.83</v>
      </c>
    </row>
    <row r="1058" spans="1:17" x14ac:dyDescent="0.25">
      <c r="A1058" s="5"/>
      <c r="B1058" s="5"/>
      <c r="C1058" s="5"/>
      <c r="D1058" s="5"/>
      <c r="E1058" s="5"/>
      <c r="F1058" s="5"/>
      <c r="G1058" s="5"/>
      <c r="H1058" s="5" t="s">
        <v>596</v>
      </c>
      <c r="I1058" s="6">
        <v>44889</v>
      </c>
      <c r="J1058" s="5" t="s">
        <v>795</v>
      </c>
      <c r="K1058" s="5" t="s">
        <v>885</v>
      </c>
      <c r="L1058" s="5"/>
      <c r="M1058" s="5"/>
      <c r="N1058" s="7"/>
      <c r="O1058" s="5" t="s">
        <v>554</v>
      </c>
      <c r="P1058" s="8">
        <v>77.83</v>
      </c>
      <c r="Q1058" s="8">
        <f t="shared" si="23"/>
        <v>128066.66</v>
      </c>
    </row>
    <row r="1059" spans="1:17" x14ac:dyDescent="0.25">
      <c r="A1059" s="5"/>
      <c r="B1059" s="5"/>
      <c r="C1059" s="5"/>
      <c r="D1059" s="5"/>
      <c r="E1059" s="5"/>
      <c r="F1059" s="5"/>
      <c r="G1059" s="5"/>
      <c r="H1059" s="5" t="s">
        <v>596</v>
      </c>
      <c r="I1059" s="6">
        <v>44889</v>
      </c>
      <c r="J1059" s="5" t="s">
        <v>795</v>
      </c>
      <c r="K1059" s="5" t="s">
        <v>885</v>
      </c>
      <c r="L1059" s="5"/>
      <c r="M1059" s="5"/>
      <c r="N1059" s="7"/>
      <c r="O1059" s="5" t="s">
        <v>554</v>
      </c>
      <c r="P1059" s="8">
        <v>33.18</v>
      </c>
      <c r="Q1059" s="8">
        <f t="shared" si="23"/>
        <v>128099.84</v>
      </c>
    </row>
    <row r="1060" spans="1:17" x14ac:dyDescent="0.25">
      <c r="A1060" s="5"/>
      <c r="B1060" s="5"/>
      <c r="C1060" s="5"/>
      <c r="D1060" s="5"/>
      <c r="E1060" s="5"/>
      <c r="F1060" s="5"/>
      <c r="G1060" s="5"/>
      <c r="H1060" s="5" t="s">
        <v>596</v>
      </c>
      <c r="I1060" s="6">
        <v>44889</v>
      </c>
      <c r="J1060" s="5" t="s">
        <v>795</v>
      </c>
      <c r="K1060" s="5" t="s">
        <v>885</v>
      </c>
      <c r="L1060" s="5"/>
      <c r="M1060" s="5"/>
      <c r="N1060" s="7"/>
      <c r="O1060" s="5" t="s">
        <v>554</v>
      </c>
      <c r="P1060" s="8">
        <v>0</v>
      </c>
      <c r="Q1060" s="8">
        <f t="shared" si="23"/>
        <v>128099.84</v>
      </c>
    </row>
    <row r="1061" spans="1:17" x14ac:dyDescent="0.25">
      <c r="A1061" s="5"/>
      <c r="B1061" s="5"/>
      <c r="C1061" s="5"/>
      <c r="D1061" s="5"/>
      <c r="E1061" s="5"/>
      <c r="F1061" s="5"/>
      <c r="G1061" s="5"/>
      <c r="H1061" s="5" t="s">
        <v>596</v>
      </c>
      <c r="I1061" s="6">
        <v>44889</v>
      </c>
      <c r="J1061" s="5" t="s">
        <v>796</v>
      </c>
      <c r="K1061" s="5" t="s">
        <v>880</v>
      </c>
      <c r="L1061" s="5"/>
      <c r="M1061" s="5"/>
      <c r="N1061" s="7"/>
      <c r="O1061" s="5" t="s">
        <v>554</v>
      </c>
      <c r="P1061" s="8">
        <v>964.53</v>
      </c>
      <c r="Q1061" s="8">
        <f t="shared" si="23"/>
        <v>129064.37</v>
      </c>
    </row>
    <row r="1062" spans="1:17" x14ac:dyDescent="0.25">
      <c r="A1062" s="5"/>
      <c r="B1062" s="5"/>
      <c r="C1062" s="5"/>
      <c r="D1062" s="5"/>
      <c r="E1062" s="5"/>
      <c r="F1062" s="5"/>
      <c r="G1062" s="5"/>
      <c r="H1062" s="5" t="s">
        <v>596</v>
      </c>
      <c r="I1062" s="6">
        <v>44889</v>
      </c>
      <c r="J1062" s="5" t="s">
        <v>796</v>
      </c>
      <c r="K1062" s="5" t="s">
        <v>880</v>
      </c>
      <c r="L1062" s="5"/>
      <c r="M1062" s="5"/>
      <c r="N1062" s="7"/>
      <c r="O1062" s="5" t="s">
        <v>554</v>
      </c>
      <c r="P1062" s="8">
        <v>47.31</v>
      </c>
      <c r="Q1062" s="8">
        <f t="shared" si="23"/>
        <v>129111.67999999999</v>
      </c>
    </row>
    <row r="1063" spans="1:17" x14ac:dyDescent="0.25">
      <c r="A1063" s="5"/>
      <c r="B1063" s="5"/>
      <c r="C1063" s="5"/>
      <c r="D1063" s="5"/>
      <c r="E1063" s="5"/>
      <c r="F1063" s="5"/>
      <c r="G1063" s="5"/>
      <c r="H1063" s="5" t="s">
        <v>596</v>
      </c>
      <c r="I1063" s="6">
        <v>44889</v>
      </c>
      <c r="J1063" s="5" t="s">
        <v>796</v>
      </c>
      <c r="K1063" s="5" t="s">
        <v>880</v>
      </c>
      <c r="L1063" s="5"/>
      <c r="M1063" s="5"/>
      <c r="N1063" s="7"/>
      <c r="O1063" s="5" t="s">
        <v>554</v>
      </c>
      <c r="P1063" s="8">
        <v>21.34</v>
      </c>
      <c r="Q1063" s="8">
        <f t="shared" si="23"/>
        <v>129133.02</v>
      </c>
    </row>
    <row r="1064" spans="1:17" x14ac:dyDescent="0.25">
      <c r="A1064" s="5"/>
      <c r="B1064" s="5"/>
      <c r="C1064" s="5"/>
      <c r="D1064" s="5"/>
      <c r="E1064" s="5"/>
      <c r="F1064" s="5"/>
      <c r="G1064" s="5"/>
      <c r="H1064" s="5" t="s">
        <v>596</v>
      </c>
      <c r="I1064" s="6">
        <v>44889</v>
      </c>
      <c r="J1064" s="5" t="s">
        <v>796</v>
      </c>
      <c r="K1064" s="5" t="s">
        <v>880</v>
      </c>
      <c r="L1064" s="5"/>
      <c r="M1064" s="5"/>
      <c r="N1064" s="7"/>
      <c r="O1064" s="5" t="s">
        <v>554</v>
      </c>
      <c r="P1064" s="8">
        <v>0</v>
      </c>
      <c r="Q1064" s="8">
        <f t="shared" si="23"/>
        <v>129133.02</v>
      </c>
    </row>
    <row r="1065" spans="1:17" x14ac:dyDescent="0.25">
      <c r="A1065" s="5"/>
      <c r="B1065" s="5"/>
      <c r="C1065" s="5"/>
      <c r="D1065" s="5"/>
      <c r="E1065" s="5"/>
      <c r="F1065" s="5"/>
      <c r="G1065" s="5"/>
      <c r="H1065" s="5" t="s">
        <v>596</v>
      </c>
      <c r="I1065" s="6">
        <v>44889</v>
      </c>
      <c r="J1065" s="5" t="s">
        <v>797</v>
      </c>
      <c r="K1065" s="5" t="s">
        <v>886</v>
      </c>
      <c r="L1065" s="5"/>
      <c r="M1065" s="5"/>
      <c r="N1065" s="7"/>
      <c r="O1065" s="5" t="s">
        <v>554</v>
      </c>
      <c r="P1065" s="8">
        <v>1722.32</v>
      </c>
      <c r="Q1065" s="8">
        <f t="shared" si="23"/>
        <v>130855.34</v>
      </c>
    </row>
    <row r="1066" spans="1:17" x14ac:dyDescent="0.25">
      <c r="A1066" s="5"/>
      <c r="B1066" s="5"/>
      <c r="C1066" s="5"/>
      <c r="D1066" s="5"/>
      <c r="E1066" s="5"/>
      <c r="F1066" s="5"/>
      <c r="G1066" s="5"/>
      <c r="H1066" s="5" t="s">
        <v>596</v>
      </c>
      <c r="I1066" s="6">
        <v>44889</v>
      </c>
      <c r="J1066" s="5" t="s">
        <v>797</v>
      </c>
      <c r="K1066" s="5" t="s">
        <v>886</v>
      </c>
      <c r="L1066" s="5"/>
      <c r="M1066" s="5"/>
      <c r="N1066" s="7"/>
      <c r="O1066" s="5" t="s">
        <v>554</v>
      </c>
      <c r="P1066" s="8">
        <v>90.5</v>
      </c>
      <c r="Q1066" s="8">
        <f t="shared" si="23"/>
        <v>130945.84</v>
      </c>
    </row>
    <row r="1067" spans="1:17" x14ac:dyDescent="0.25">
      <c r="A1067" s="5"/>
      <c r="B1067" s="5"/>
      <c r="C1067" s="5"/>
      <c r="D1067" s="5"/>
      <c r="E1067" s="5"/>
      <c r="F1067" s="5"/>
      <c r="G1067" s="5"/>
      <c r="H1067" s="5" t="s">
        <v>596</v>
      </c>
      <c r="I1067" s="6">
        <v>44889</v>
      </c>
      <c r="J1067" s="5" t="s">
        <v>797</v>
      </c>
      <c r="K1067" s="5" t="s">
        <v>886</v>
      </c>
      <c r="L1067" s="5"/>
      <c r="M1067" s="5"/>
      <c r="N1067" s="7"/>
      <c r="O1067" s="5" t="s">
        <v>554</v>
      </c>
      <c r="P1067" s="8">
        <v>38.090000000000003</v>
      </c>
      <c r="Q1067" s="8">
        <f t="shared" si="23"/>
        <v>130983.93</v>
      </c>
    </row>
    <row r="1068" spans="1:17" x14ac:dyDescent="0.25">
      <c r="A1068" s="5"/>
      <c r="B1068" s="5"/>
      <c r="C1068" s="5"/>
      <c r="D1068" s="5"/>
      <c r="E1068" s="5"/>
      <c r="F1068" s="5"/>
      <c r="G1068" s="5"/>
      <c r="H1068" s="5" t="s">
        <v>596</v>
      </c>
      <c r="I1068" s="6">
        <v>44889</v>
      </c>
      <c r="J1068" s="5" t="s">
        <v>797</v>
      </c>
      <c r="K1068" s="5" t="s">
        <v>886</v>
      </c>
      <c r="L1068" s="5"/>
      <c r="M1068" s="5"/>
      <c r="N1068" s="7"/>
      <c r="O1068" s="5" t="s">
        <v>554</v>
      </c>
      <c r="P1068" s="8">
        <v>0</v>
      </c>
      <c r="Q1068" s="8">
        <f t="shared" si="23"/>
        <v>130983.93</v>
      </c>
    </row>
    <row r="1069" spans="1:17" x14ac:dyDescent="0.25">
      <c r="A1069" s="5"/>
      <c r="B1069" s="5"/>
      <c r="C1069" s="5"/>
      <c r="D1069" s="5"/>
      <c r="E1069" s="5"/>
      <c r="F1069" s="5"/>
      <c r="G1069" s="5"/>
      <c r="H1069" s="5" t="s">
        <v>596</v>
      </c>
      <c r="I1069" s="6">
        <v>44889</v>
      </c>
      <c r="J1069" s="5" t="s">
        <v>798</v>
      </c>
      <c r="K1069" s="5" t="s">
        <v>887</v>
      </c>
      <c r="L1069" s="5"/>
      <c r="M1069" s="5"/>
      <c r="N1069" s="7"/>
      <c r="O1069" s="5" t="s">
        <v>554</v>
      </c>
      <c r="P1069" s="8">
        <v>982.58</v>
      </c>
      <c r="Q1069" s="8">
        <f t="shared" si="23"/>
        <v>131966.51</v>
      </c>
    </row>
    <row r="1070" spans="1:17" x14ac:dyDescent="0.25">
      <c r="A1070" s="5"/>
      <c r="B1070" s="5"/>
      <c r="C1070" s="5"/>
      <c r="D1070" s="5"/>
      <c r="E1070" s="5"/>
      <c r="F1070" s="5"/>
      <c r="G1070" s="5"/>
      <c r="H1070" s="5" t="s">
        <v>596</v>
      </c>
      <c r="I1070" s="6">
        <v>44889</v>
      </c>
      <c r="J1070" s="5" t="s">
        <v>798</v>
      </c>
      <c r="K1070" s="5" t="s">
        <v>887</v>
      </c>
      <c r="L1070" s="5"/>
      <c r="M1070" s="5"/>
      <c r="N1070" s="7"/>
      <c r="O1070" s="5" t="s">
        <v>554</v>
      </c>
      <c r="P1070" s="8">
        <v>48.33</v>
      </c>
      <c r="Q1070" s="8">
        <f t="shared" si="23"/>
        <v>132014.84</v>
      </c>
    </row>
    <row r="1071" spans="1:17" x14ac:dyDescent="0.25">
      <c r="A1071" s="5"/>
      <c r="B1071" s="5"/>
      <c r="C1071" s="5"/>
      <c r="D1071" s="5"/>
      <c r="E1071" s="5"/>
      <c r="F1071" s="5"/>
      <c r="G1071" s="5"/>
      <c r="H1071" s="5" t="s">
        <v>596</v>
      </c>
      <c r="I1071" s="6">
        <v>44889</v>
      </c>
      <c r="J1071" s="5" t="s">
        <v>798</v>
      </c>
      <c r="K1071" s="5" t="s">
        <v>887</v>
      </c>
      <c r="L1071" s="5"/>
      <c r="M1071" s="5"/>
      <c r="N1071" s="7"/>
      <c r="O1071" s="5" t="s">
        <v>554</v>
      </c>
      <c r="P1071" s="8">
        <v>21.73</v>
      </c>
      <c r="Q1071" s="8">
        <f t="shared" si="23"/>
        <v>132036.57</v>
      </c>
    </row>
    <row r="1072" spans="1:17" x14ac:dyDescent="0.25">
      <c r="A1072" s="5"/>
      <c r="B1072" s="5"/>
      <c r="C1072" s="5"/>
      <c r="D1072" s="5"/>
      <c r="E1072" s="5"/>
      <c r="F1072" s="5"/>
      <c r="G1072" s="5"/>
      <c r="H1072" s="5" t="s">
        <v>596</v>
      </c>
      <c r="I1072" s="6">
        <v>44889</v>
      </c>
      <c r="J1072" s="5" t="s">
        <v>798</v>
      </c>
      <c r="K1072" s="5" t="s">
        <v>887</v>
      </c>
      <c r="L1072" s="5"/>
      <c r="M1072" s="5"/>
      <c r="N1072" s="7"/>
      <c r="O1072" s="5" t="s">
        <v>554</v>
      </c>
      <c r="P1072" s="8">
        <v>0</v>
      </c>
      <c r="Q1072" s="8">
        <f t="shared" si="23"/>
        <v>132036.57</v>
      </c>
    </row>
    <row r="1073" spans="1:17" x14ac:dyDescent="0.25">
      <c r="A1073" s="5"/>
      <c r="B1073" s="5"/>
      <c r="C1073" s="5"/>
      <c r="D1073" s="5"/>
      <c r="E1073" s="5"/>
      <c r="F1073" s="5"/>
      <c r="G1073" s="5"/>
      <c r="H1073" s="5" t="s">
        <v>596</v>
      </c>
      <c r="I1073" s="6">
        <v>44903</v>
      </c>
      <c r="J1073" s="5" t="s">
        <v>799</v>
      </c>
      <c r="K1073" s="5" t="s">
        <v>877</v>
      </c>
      <c r="L1073" s="5"/>
      <c r="M1073" s="5"/>
      <c r="N1073" s="7"/>
      <c r="O1073" s="5" t="s">
        <v>554</v>
      </c>
      <c r="P1073" s="8">
        <v>1600</v>
      </c>
      <c r="Q1073" s="8">
        <f t="shared" si="23"/>
        <v>133636.57</v>
      </c>
    </row>
    <row r="1074" spans="1:17" x14ac:dyDescent="0.25">
      <c r="A1074" s="5"/>
      <c r="B1074" s="5"/>
      <c r="C1074" s="5"/>
      <c r="D1074" s="5"/>
      <c r="E1074" s="5"/>
      <c r="F1074" s="5"/>
      <c r="G1074" s="5"/>
      <c r="H1074" s="5" t="s">
        <v>596</v>
      </c>
      <c r="I1074" s="6">
        <v>44903</v>
      </c>
      <c r="J1074" s="5" t="s">
        <v>799</v>
      </c>
      <c r="K1074" s="5" t="s">
        <v>877</v>
      </c>
      <c r="L1074" s="5"/>
      <c r="M1074" s="5"/>
      <c r="N1074" s="7"/>
      <c r="O1074" s="5" t="s">
        <v>554</v>
      </c>
      <c r="P1074" s="8">
        <v>83.53</v>
      </c>
      <c r="Q1074" s="8">
        <f t="shared" si="23"/>
        <v>133720.1</v>
      </c>
    </row>
    <row r="1075" spans="1:17" x14ac:dyDescent="0.25">
      <c r="A1075" s="5"/>
      <c r="B1075" s="5"/>
      <c r="C1075" s="5"/>
      <c r="D1075" s="5"/>
      <c r="E1075" s="5"/>
      <c r="F1075" s="5"/>
      <c r="G1075" s="5"/>
      <c r="H1075" s="5" t="s">
        <v>596</v>
      </c>
      <c r="I1075" s="6">
        <v>44903</v>
      </c>
      <c r="J1075" s="5" t="s">
        <v>799</v>
      </c>
      <c r="K1075" s="5" t="s">
        <v>877</v>
      </c>
      <c r="L1075" s="5"/>
      <c r="M1075" s="5"/>
      <c r="N1075" s="7"/>
      <c r="O1075" s="5" t="s">
        <v>554</v>
      </c>
      <c r="P1075" s="8">
        <v>35.39</v>
      </c>
      <c r="Q1075" s="8">
        <f t="shared" si="23"/>
        <v>133755.49</v>
      </c>
    </row>
    <row r="1076" spans="1:17" x14ac:dyDescent="0.25">
      <c r="A1076" s="5"/>
      <c r="B1076" s="5"/>
      <c r="C1076" s="5"/>
      <c r="D1076" s="5"/>
      <c r="E1076" s="5"/>
      <c r="F1076" s="5"/>
      <c r="G1076" s="5"/>
      <c r="H1076" s="5" t="s">
        <v>596</v>
      </c>
      <c r="I1076" s="6">
        <v>44903</v>
      </c>
      <c r="J1076" s="5" t="s">
        <v>799</v>
      </c>
      <c r="K1076" s="5" t="s">
        <v>877</v>
      </c>
      <c r="L1076" s="5"/>
      <c r="M1076" s="5"/>
      <c r="N1076" s="7"/>
      <c r="O1076" s="5" t="s">
        <v>554</v>
      </c>
      <c r="P1076" s="8">
        <v>64</v>
      </c>
      <c r="Q1076" s="8">
        <f t="shared" si="23"/>
        <v>133819.49</v>
      </c>
    </row>
    <row r="1077" spans="1:17" x14ac:dyDescent="0.25">
      <c r="A1077" s="5"/>
      <c r="B1077" s="5"/>
      <c r="C1077" s="5"/>
      <c r="D1077" s="5"/>
      <c r="E1077" s="5"/>
      <c r="F1077" s="5"/>
      <c r="G1077" s="5"/>
      <c r="H1077" s="5" t="s">
        <v>596</v>
      </c>
      <c r="I1077" s="6">
        <v>44903</v>
      </c>
      <c r="J1077" s="5" t="s">
        <v>800</v>
      </c>
      <c r="K1077" s="5" t="s">
        <v>876</v>
      </c>
      <c r="L1077" s="5"/>
      <c r="M1077" s="5"/>
      <c r="N1077" s="7"/>
      <c r="O1077" s="5" t="s">
        <v>554</v>
      </c>
      <c r="P1077" s="8">
        <v>2000</v>
      </c>
      <c r="Q1077" s="8">
        <f t="shared" si="23"/>
        <v>135819.49</v>
      </c>
    </row>
    <row r="1078" spans="1:17" x14ac:dyDescent="0.25">
      <c r="A1078" s="5"/>
      <c r="B1078" s="5"/>
      <c r="C1078" s="5"/>
      <c r="D1078" s="5"/>
      <c r="E1078" s="5"/>
      <c r="F1078" s="5"/>
      <c r="G1078" s="5"/>
      <c r="H1078" s="5" t="s">
        <v>596</v>
      </c>
      <c r="I1078" s="6">
        <v>44903</v>
      </c>
      <c r="J1078" s="5" t="s">
        <v>800</v>
      </c>
      <c r="K1078" s="5" t="s">
        <v>876</v>
      </c>
      <c r="L1078" s="5"/>
      <c r="M1078" s="5"/>
      <c r="N1078" s="7"/>
      <c r="O1078" s="5" t="s">
        <v>554</v>
      </c>
      <c r="P1078" s="8">
        <v>106.33</v>
      </c>
      <c r="Q1078" s="8">
        <f t="shared" si="23"/>
        <v>135925.82</v>
      </c>
    </row>
    <row r="1079" spans="1:17" x14ac:dyDescent="0.25">
      <c r="A1079" s="5"/>
      <c r="B1079" s="5"/>
      <c r="C1079" s="5"/>
      <c r="D1079" s="5"/>
      <c r="E1079" s="5"/>
      <c r="F1079" s="5"/>
      <c r="G1079" s="5"/>
      <c r="H1079" s="5" t="s">
        <v>596</v>
      </c>
      <c r="I1079" s="6">
        <v>44903</v>
      </c>
      <c r="J1079" s="5" t="s">
        <v>800</v>
      </c>
      <c r="K1079" s="5" t="s">
        <v>876</v>
      </c>
      <c r="L1079" s="5"/>
      <c r="M1079" s="5"/>
      <c r="N1079" s="7"/>
      <c r="O1079" s="5" t="s">
        <v>554</v>
      </c>
      <c r="P1079" s="8">
        <v>44.24</v>
      </c>
      <c r="Q1079" s="8">
        <f t="shared" si="23"/>
        <v>135970.06</v>
      </c>
    </row>
    <row r="1080" spans="1:17" x14ac:dyDescent="0.25">
      <c r="A1080" s="5"/>
      <c r="B1080" s="5"/>
      <c r="C1080" s="5"/>
      <c r="D1080" s="5"/>
      <c r="E1080" s="5"/>
      <c r="F1080" s="5"/>
      <c r="G1080" s="5"/>
      <c r="H1080" s="5" t="s">
        <v>596</v>
      </c>
      <c r="I1080" s="6">
        <v>44903</v>
      </c>
      <c r="J1080" s="5" t="s">
        <v>800</v>
      </c>
      <c r="K1080" s="5" t="s">
        <v>876</v>
      </c>
      <c r="L1080" s="5"/>
      <c r="M1080" s="5"/>
      <c r="N1080" s="7"/>
      <c r="O1080" s="5" t="s">
        <v>554</v>
      </c>
      <c r="P1080" s="8">
        <v>80</v>
      </c>
      <c r="Q1080" s="8">
        <f t="shared" si="23"/>
        <v>136050.06</v>
      </c>
    </row>
    <row r="1081" spans="1:17" x14ac:dyDescent="0.25">
      <c r="A1081" s="5"/>
      <c r="B1081" s="5"/>
      <c r="C1081" s="5"/>
      <c r="D1081" s="5"/>
      <c r="E1081" s="5"/>
      <c r="F1081" s="5"/>
      <c r="G1081" s="5"/>
      <c r="H1081" s="5" t="s">
        <v>596</v>
      </c>
      <c r="I1081" s="6">
        <v>44903</v>
      </c>
      <c r="J1081" s="5" t="s">
        <v>801</v>
      </c>
      <c r="K1081" s="5" t="s">
        <v>884</v>
      </c>
      <c r="L1081" s="5"/>
      <c r="M1081" s="5"/>
      <c r="N1081" s="7"/>
      <c r="O1081" s="5" t="s">
        <v>554</v>
      </c>
      <c r="P1081" s="8">
        <v>1232.7</v>
      </c>
      <c r="Q1081" s="8">
        <f t="shared" ref="Q1081:Q1136" si="24">ROUND(Q1080+P1081,5)</f>
        <v>137282.76</v>
      </c>
    </row>
    <row r="1082" spans="1:17" x14ac:dyDescent="0.25">
      <c r="A1082" s="5"/>
      <c r="B1082" s="5"/>
      <c r="C1082" s="5"/>
      <c r="D1082" s="5"/>
      <c r="E1082" s="5"/>
      <c r="F1082" s="5"/>
      <c r="G1082" s="5"/>
      <c r="H1082" s="5" t="s">
        <v>596</v>
      </c>
      <c r="I1082" s="6">
        <v>44903</v>
      </c>
      <c r="J1082" s="5" t="s">
        <v>801</v>
      </c>
      <c r="K1082" s="5" t="s">
        <v>884</v>
      </c>
      <c r="L1082" s="5"/>
      <c r="M1082" s="5"/>
      <c r="N1082" s="7"/>
      <c r="O1082" s="5" t="s">
        <v>554</v>
      </c>
      <c r="P1082" s="8">
        <v>62.59</v>
      </c>
      <c r="Q1082" s="8">
        <f t="shared" si="24"/>
        <v>137345.35</v>
      </c>
    </row>
    <row r="1083" spans="1:17" x14ac:dyDescent="0.25">
      <c r="A1083" s="5"/>
      <c r="B1083" s="5"/>
      <c r="C1083" s="5"/>
      <c r="D1083" s="5"/>
      <c r="E1083" s="5"/>
      <c r="F1083" s="5"/>
      <c r="G1083" s="5"/>
      <c r="H1083" s="5" t="s">
        <v>596</v>
      </c>
      <c r="I1083" s="6">
        <v>44903</v>
      </c>
      <c r="J1083" s="5" t="s">
        <v>801</v>
      </c>
      <c r="K1083" s="5" t="s">
        <v>884</v>
      </c>
      <c r="L1083" s="5"/>
      <c r="M1083" s="5"/>
      <c r="N1083" s="7"/>
      <c r="O1083" s="5" t="s">
        <v>554</v>
      </c>
      <c r="P1083" s="8">
        <v>27.27</v>
      </c>
      <c r="Q1083" s="8">
        <f t="shared" si="24"/>
        <v>137372.62</v>
      </c>
    </row>
    <row r="1084" spans="1:17" x14ac:dyDescent="0.25">
      <c r="A1084" s="5"/>
      <c r="B1084" s="5"/>
      <c r="C1084" s="5"/>
      <c r="D1084" s="5"/>
      <c r="E1084" s="5"/>
      <c r="F1084" s="5"/>
      <c r="G1084" s="5"/>
      <c r="H1084" s="5" t="s">
        <v>596</v>
      </c>
      <c r="I1084" s="6">
        <v>44903</v>
      </c>
      <c r="J1084" s="5" t="s">
        <v>801</v>
      </c>
      <c r="K1084" s="5" t="s">
        <v>884</v>
      </c>
      <c r="L1084" s="5"/>
      <c r="M1084" s="5"/>
      <c r="N1084" s="7"/>
      <c r="O1084" s="5" t="s">
        <v>554</v>
      </c>
      <c r="P1084" s="8">
        <v>0</v>
      </c>
      <c r="Q1084" s="8">
        <f t="shared" si="24"/>
        <v>137372.62</v>
      </c>
    </row>
    <row r="1085" spans="1:17" x14ac:dyDescent="0.25">
      <c r="A1085" s="5"/>
      <c r="B1085" s="5"/>
      <c r="C1085" s="5"/>
      <c r="D1085" s="5"/>
      <c r="E1085" s="5"/>
      <c r="F1085" s="5"/>
      <c r="G1085" s="5"/>
      <c r="H1085" s="5" t="s">
        <v>596</v>
      </c>
      <c r="I1085" s="6">
        <v>44903</v>
      </c>
      <c r="J1085" s="5" t="s">
        <v>802</v>
      </c>
      <c r="K1085" s="5" t="s">
        <v>885</v>
      </c>
      <c r="L1085" s="5"/>
      <c r="M1085" s="5"/>
      <c r="N1085" s="7"/>
      <c r="O1085" s="5" t="s">
        <v>554</v>
      </c>
      <c r="P1085" s="8">
        <v>1500</v>
      </c>
      <c r="Q1085" s="8">
        <f t="shared" si="24"/>
        <v>138872.62</v>
      </c>
    </row>
    <row r="1086" spans="1:17" x14ac:dyDescent="0.25">
      <c r="A1086" s="5"/>
      <c r="B1086" s="5"/>
      <c r="C1086" s="5"/>
      <c r="D1086" s="5"/>
      <c r="E1086" s="5"/>
      <c r="F1086" s="5"/>
      <c r="G1086" s="5"/>
      <c r="H1086" s="5" t="s">
        <v>596</v>
      </c>
      <c r="I1086" s="6">
        <v>44903</v>
      </c>
      <c r="J1086" s="5" t="s">
        <v>802</v>
      </c>
      <c r="K1086" s="5" t="s">
        <v>885</v>
      </c>
      <c r="L1086" s="5"/>
      <c r="M1086" s="5"/>
      <c r="N1086" s="7"/>
      <c r="O1086" s="5" t="s">
        <v>554</v>
      </c>
      <c r="P1086" s="8">
        <v>77.83</v>
      </c>
      <c r="Q1086" s="8">
        <f t="shared" si="24"/>
        <v>138950.45000000001</v>
      </c>
    </row>
    <row r="1087" spans="1:17" x14ac:dyDescent="0.25">
      <c r="A1087" s="5"/>
      <c r="B1087" s="5"/>
      <c r="C1087" s="5"/>
      <c r="D1087" s="5"/>
      <c r="E1087" s="5"/>
      <c r="F1087" s="5"/>
      <c r="G1087" s="5"/>
      <c r="H1087" s="5" t="s">
        <v>596</v>
      </c>
      <c r="I1087" s="6">
        <v>44903</v>
      </c>
      <c r="J1087" s="5" t="s">
        <v>802</v>
      </c>
      <c r="K1087" s="5" t="s">
        <v>885</v>
      </c>
      <c r="L1087" s="5"/>
      <c r="M1087" s="5"/>
      <c r="N1087" s="7"/>
      <c r="O1087" s="5" t="s">
        <v>554</v>
      </c>
      <c r="P1087" s="8">
        <v>33.18</v>
      </c>
      <c r="Q1087" s="8">
        <f t="shared" si="24"/>
        <v>138983.63</v>
      </c>
    </row>
    <row r="1088" spans="1:17" x14ac:dyDescent="0.25">
      <c r="A1088" s="5"/>
      <c r="B1088" s="5"/>
      <c r="C1088" s="5"/>
      <c r="D1088" s="5"/>
      <c r="E1088" s="5"/>
      <c r="F1088" s="5"/>
      <c r="G1088" s="5"/>
      <c r="H1088" s="5" t="s">
        <v>596</v>
      </c>
      <c r="I1088" s="6">
        <v>44903</v>
      </c>
      <c r="J1088" s="5" t="s">
        <v>802</v>
      </c>
      <c r="K1088" s="5" t="s">
        <v>885</v>
      </c>
      <c r="L1088" s="5"/>
      <c r="M1088" s="5"/>
      <c r="N1088" s="7"/>
      <c r="O1088" s="5" t="s">
        <v>554</v>
      </c>
      <c r="P1088" s="8">
        <v>0</v>
      </c>
      <c r="Q1088" s="8">
        <f t="shared" si="24"/>
        <v>138983.63</v>
      </c>
    </row>
    <row r="1089" spans="1:17" x14ac:dyDescent="0.25">
      <c r="A1089" s="5"/>
      <c r="B1089" s="5"/>
      <c r="C1089" s="5"/>
      <c r="D1089" s="5"/>
      <c r="E1089" s="5"/>
      <c r="F1089" s="5"/>
      <c r="G1089" s="5"/>
      <c r="H1089" s="5" t="s">
        <v>596</v>
      </c>
      <c r="I1089" s="6">
        <v>44903</v>
      </c>
      <c r="J1089" s="5" t="s">
        <v>803</v>
      </c>
      <c r="K1089" s="5" t="s">
        <v>880</v>
      </c>
      <c r="L1089" s="5"/>
      <c r="M1089" s="5"/>
      <c r="N1089" s="7"/>
      <c r="O1089" s="5" t="s">
        <v>554</v>
      </c>
      <c r="P1089" s="8">
        <v>965.07</v>
      </c>
      <c r="Q1089" s="8">
        <f t="shared" si="24"/>
        <v>139948.70000000001</v>
      </c>
    </row>
    <row r="1090" spans="1:17" x14ac:dyDescent="0.25">
      <c r="A1090" s="5"/>
      <c r="B1090" s="5"/>
      <c r="C1090" s="5"/>
      <c r="D1090" s="5"/>
      <c r="E1090" s="5"/>
      <c r="F1090" s="5"/>
      <c r="G1090" s="5"/>
      <c r="H1090" s="5" t="s">
        <v>596</v>
      </c>
      <c r="I1090" s="6">
        <v>44903</v>
      </c>
      <c r="J1090" s="5" t="s">
        <v>803</v>
      </c>
      <c r="K1090" s="5" t="s">
        <v>880</v>
      </c>
      <c r="L1090" s="5"/>
      <c r="M1090" s="5"/>
      <c r="N1090" s="7"/>
      <c r="O1090" s="5" t="s">
        <v>554</v>
      </c>
      <c r="P1090" s="8">
        <v>47.34</v>
      </c>
      <c r="Q1090" s="8">
        <f t="shared" si="24"/>
        <v>139996.04</v>
      </c>
    </row>
    <row r="1091" spans="1:17" x14ac:dyDescent="0.25">
      <c r="A1091" s="5"/>
      <c r="B1091" s="5"/>
      <c r="C1091" s="5"/>
      <c r="D1091" s="5"/>
      <c r="E1091" s="5"/>
      <c r="F1091" s="5"/>
      <c r="G1091" s="5"/>
      <c r="H1091" s="5" t="s">
        <v>596</v>
      </c>
      <c r="I1091" s="6">
        <v>44903</v>
      </c>
      <c r="J1091" s="5" t="s">
        <v>803</v>
      </c>
      <c r="K1091" s="5" t="s">
        <v>880</v>
      </c>
      <c r="L1091" s="5"/>
      <c r="M1091" s="5"/>
      <c r="N1091" s="7"/>
      <c r="O1091" s="5" t="s">
        <v>554</v>
      </c>
      <c r="P1091" s="8">
        <v>21.35</v>
      </c>
      <c r="Q1091" s="8">
        <f t="shared" si="24"/>
        <v>140017.39000000001</v>
      </c>
    </row>
    <row r="1092" spans="1:17" x14ac:dyDescent="0.25">
      <c r="A1092" s="5"/>
      <c r="B1092" s="5"/>
      <c r="C1092" s="5"/>
      <c r="D1092" s="5"/>
      <c r="E1092" s="5"/>
      <c r="F1092" s="5"/>
      <c r="G1092" s="5"/>
      <c r="H1092" s="5" t="s">
        <v>596</v>
      </c>
      <c r="I1092" s="6">
        <v>44903</v>
      </c>
      <c r="J1092" s="5" t="s">
        <v>803</v>
      </c>
      <c r="K1092" s="5" t="s">
        <v>880</v>
      </c>
      <c r="L1092" s="5"/>
      <c r="M1092" s="5"/>
      <c r="N1092" s="7"/>
      <c r="O1092" s="5" t="s">
        <v>554</v>
      </c>
      <c r="P1092" s="8">
        <v>0</v>
      </c>
      <c r="Q1092" s="8">
        <f t="shared" si="24"/>
        <v>140017.39000000001</v>
      </c>
    </row>
    <row r="1093" spans="1:17" x14ac:dyDescent="0.25">
      <c r="A1093" s="5"/>
      <c r="B1093" s="5"/>
      <c r="C1093" s="5"/>
      <c r="D1093" s="5"/>
      <c r="E1093" s="5"/>
      <c r="F1093" s="5"/>
      <c r="G1093" s="5"/>
      <c r="H1093" s="5" t="s">
        <v>596</v>
      </c>
      <c r="I1093" s="6">
        <v>44903</v>
      </c>
      <c r="J1093" s="5" t="s">
        <v>804</v>
      </c>
      <c r="K1093" s="5" t="s">
        <v>886</v>
      </c>
      <c r="L1093" s="5"/>
      <c r="M1093" s="5"/>
      <c r="N1093" s="7"/>
      <c r="O1093" s="5" t="s">
        <v>554</v>
      </c>
      <c r="P1093" s="8">
        <v>1445.93</v>
      </c>
      <c r="Q1093" s="8">
        <f t="shared" si="24"/>
        <v>141463.32</v>
      </c>
    </row>
    <row r="1094" spans="1:17" x14ac:dyDescent="0.25">
      <c r="A1094" s="5"/>
      <c r="B1094" s="5"/>
      <c r="C1094" s="5"/>
      <c r="D1094" s="5"/>
      <c r="E1094" s="5"/>
      <c r="F1094" s="5"/>
      <c r="G1094" s="5"/>
      <c r="H1094" s="5" t="s">
        <v>596</v>
      </c>
      <c r="I1094" s="6">
        <v>44903</v>
      </c>
      <c r="J1094" s="5" t="s">
        <v>804</v>
      </c>
      <c r="K1094" s="5" t="s">
        <v>886</v>
      </c>
      <c r="L1094" s="5"/>
      <c r="M1094" s="5"/>
      <c r="N1094" s="7"/>
      <c r="O1094" s="5" t="s">
        <v>554</v>
      </c>
      <c r="P1094" s="8">
        <v>74.75</v>
      </c>
      <c r="Q1094" s="8">
        <f t="shared" si="24"/>
        <v>141538.07</v>
      </c>
    </row>
    <row r="1095" spans="1:17" x14ac:dyDescent="0.25">
      <c r="A1095" s="5"/>
      <c r="B1095" s="5"/>
      <c r="C1095" s="5"/>
      <c r="D1095" s="5"/>
      <c r="E1095" s="5"/>
      <c r="F1095" s="5"/>
      <c r="G1095" s="5"/>
      <c r="H1095" s="5" t="s">
        <v>596</v>
      </c>
      <c r="I1095" s="6">
        <v>44903</v>
      </c>
      <c r="J1095" s="5" t="s">
        <v>804</v>
      </c>
      <c r="K1095" s="5" t="s">
        <v>886</v>
      </c>
      <c r="L1095" s="5"/>
      <c r="M1095" s="5"/>
      <c r="N1095" s="7"/>
      <c r="O1095" s="5" t="s">
        <v>554</v>
      </c>
      <c r="P1095" s="8">
        <v>31.99</v>
      </c>
      <c r="Q1095" s="8">
        <f t="shared" si="24"/>
        <v>141570.06</v>
      </c>
    </row>
    <row r="1096" spans="1:17" x14ac:dyDescent="0.25">
      <c r="A1096" s="5"/>
      <c r="B1096" s="5"/>
      <c r="C1096" s="5"/>
      <c r="D1096" s="5"/>
      <c r="E1096" s="5"/>
      <c r="F1096" s="5"/>
      <c r="G1096" s="5"/>
      <c r="H1096" s="5" t="s">
        <v>596</v>
      </c>
      <c r="I1096" s="6">
        <v>44903</v>
      </c>
      <c r="J1096" s="5" t="s">
        <v>804</v>
      </c>
      <c r="K1096" s="5" t="s">
        <v>886</v>
      </c>
      <c r="L1096" s="5"/>
      <c r="M1096" s="5"/>
      <c r="N1096" s="7"/>
      <c r="O1096" s="5" t="s">
        <v>554</v>
      </c>
      <c r="P1096" s="8">
        <v>0</v>
      </c>
      <c r="Q1096" s="8">
        <f t="shared" si="24"/>
        <v>141570.06</v>
      </c>
    </row>
    <row r="1097" spans="1:17" x14ac:dyDescent="0.25">
      <c r="A1097" s="5"/>
      <c r="B1097" s="5"/>
      <c r="C1097" s="5"/>
      <c r="D1097" s="5"/>
      <c r="E1097" s="5"/>
      <c r="F1097" s="5"/>
      <c r="G1097" s="5"/>
      <c r="H1097" s="5" t="s">
        <v>596</v>
      </c>
      <c r="I1097" s="6">
        <v>44903</v>
      </c>
      <c r="J1097" s="5"/>
      <c r="K1097" s="5" t="s">
        <v>887</v>
      </c>
      <c r="L1097" s="5"/>
      <c r="M1097" s="5"/>
      <c r="N1097" s="7"/>
      <c r="O1097" s="5" t="s">
        <v>554</v>
      </c>
      <c r="P1097" s="8">
        <v>601.25</v>
      </c>
      <c r="Q1097" s="8">
        <f t="shared" si="24"/>
        <v>142171.31</v>
      </c>
    </row>
    <row r="1098" spans="1:17" x14ac:dyDescent="0.25">
      <c r="A1098" s="5"/>
      <c r="B1098" s="5"/>
      <c r="C1098" s="5"/>
      <c r="D1098" s="5"/>
      <c r="E1098" s="5"/>
      <c r="F1098" s="5"/>
      <c r="G1098" s="5"/>
      <c r="H1098" s="5" t="s">
        <v>596</v>
      </c>
      <c r="I1098" s="6">
        <v>44903</v>
      </c>
      <c r="J1098" s="5"/>
      <c r="K1098" s="5" t="s">
        <v>887</v>
      </c>
      <c r="L1098" s="5"/>
      <c r="M1098" s="5"/>
      <c r="N1098" s="7"/>
      <c r="O1098" s="5" t="s">
        <v>554</v>
      </c>
      <c r="P1098" s="8">
        <v>26.6</v>
      </c>
      <c r="Q1098" s="8">
        <f t="shared" si="24"/>
        <v>142197.91</v>
      </c>
    </row>
    <row r="1099" spans="1:17" x14ac:dyDescent="0.25">
      <c r="A1099" s="5"/>
      <c r="B1099" s="5"/>
      <c r="C1099" s="5"/>
      <c r="D1099" s="5"/>
      <c r="E1099" s="5"/>
      <c r="F1099" s="5"/>
      <c r="G1099" s="5"/>
      <c r="H1099" s="5" t="s">
        <v>596</v>
      </c>
      <c r="I1099" s="6">
        <v>44903</v>
      </c>
      <c r="J1099" s="5"/>
      <c r="K1099" s="5" t="s">
        <v>887</v>
      </c>
      <c r="L1099" s="5"/>
      <c r="M1099" s="5"/>
      <c r="N1099" s="7"/>
      <c r="O1099" s="5" t="s">
        <v>554</v>
      </c>
      <c r="P1099" s="8">
        <v>13.3</v>
      </c>
      <c r="Q1099" s="8">
        <f t="shared" si="24"/>
        <v>142211.21</v>
      </c>
    </row>
    <row r="1100" spans="1:17" x14ac:dyDescent="0.25">
      <c r="A1100" s="5"/>
      <c r="B1100" s="5"/>
      <c r="C1100" s="5"/>
      <c r="D1100" s="5"/>
      <c r="E1100" s="5"/>
      <c r="F1100" s="5"/>
      <c r="G1100" s="5"/>
      <c r="H1100" s="5" t="s">
        <v>596</v>
      </c>
      <c r="I1100" s="6">
        <v>44903</v>
      </c>
      <c r="J1100" s="5"/>
      <c r="K1100" s="5" t="s">
        <v>887</v>
      </c>
      <c r="L1100" s="5"/>
      <c r="M1100" s="5"/>
      <c r="N1100" s="7"/>
      <c r="O1100" s="5" t="s">
        <v>554</v>
      </c>
      <c r="P1100" s="8">
        <v>0</v>
      </c>
      <c r="Q1100" s="8">
        <f t="shared" si="24"/>
        <v>142211.21</v>
      </c>
    </row>
    <row r="1101" spans="1:17" x14ac:dyDescent="0.25">
      <c r="A1101" s="5"/>
      <c r="B1101" s="5"/>
      <c r="C1101" s="5"/>
      <c r="D1101" s="5"/>
      <c r="E1101" s="5"/>
      <c r="F1101" s="5"/>
      <c r="G1101" s="5"/>
      <c r="H1101" s="5" t="s">
        <v>596</v>
      </c>
      <c r="I1101" s="6">
        <v>44903</v>
      </c>
      <c r="J1101" s="5"/>
      <c r="K1101" s="5" t="s">
        <v>881</v>
      </c>
      <c r="L1101" s="5"/>
      <c r="M1101" s="5"/>
      <c r="N1101" s="7"/>
      <c r="O1101" s="5" t="s">
        <v>554</v>
      </c>
      <c r="P1101" s="8">
        <v>1400</v>
      </c>
      <c r="Q1101" s="8">
        <f t="shared" si="24"/>
        <v>143611.21</v>
      </c>
    </row>
    <row r="1102" spans="1:17" x14ac:dyDescent="0.25">
      <c r="A1102" s="5"/>
      <c r="B1102" s="5"/>
      <c r="C1102" s="5"/>
      <c r="D1102" s="5"/>
      <c r="E1102" s="5"/>
      <c r="F1102" s="5"/>
      <c r="G1102" s="5"/>
      <c r="H1102" s="5" t="s">
        <v>596</v>
      </c>
      <c r="I1102" s="6">
        <v>44903</v>
      </c>
      <c r="J1102" s="5"/>
      <c r="K1102" s="5" t="s">
        <v>881</v>
      </c>
      <c r="L1102" s="5"/>
      <c r="M1102" s="5"/>
      <c r="N1102" s="7"/>
      <c r="O1102" s="5" t="s">
        <v>554</v>
      </c>
      <c r="P1102" s="8">
        <v>72.13</v>
      </c>
      <c r="Q1102" s="8">
        <f t="shared" si="24"/>
        <v>143683.34</v>
      </c>
    </row>
    <row r="1103" spans="1:17" x14ac:dyDescent="0.25">
      <c r="A1103" s="5"/>
      <c r="B1103" s="5"/>
      <c r="C1103" s="5"/>
      <c r="D1103" s="5"/>
      <c r="E1103" s="5"/>
      <c r="F1103" s="5"/>
      <c r="G1103" s="5"/>
      <c r="H1103" s="5" t="s">
        <v>596</v>
      </c>
      <c r="I1103" s="6">
        <v>44903</v>
      </c>
      <c r="J1103" s="5"/>
      <c r="K1103" s="5" t="s">
        <v>881</v>
      </c>
      <c r="L1103" s="5"/>
      <c r="M1103" s="5"/>
      <c r="N1103" s="7"/>
      <c r="O1103" s="5" t="s">
        <v>554</v>
      </c>
      <c r="P1103" s="8">
        <v>30.97</v>
      </c>
      <c r="Q1103" s="8">
        <f t="shared" si="24"/>
        <v>143714.31</v>
      </c>
    </row>
    <row r="1104" spans="1:17" x14ac:dyDescent="0.25">
      <c r="A1104" s="5"/>
      <c r="B1104" s="5"/>
      <c r="C1104" s="5"/>
      <c r="D1104" s="5"/>
      <c r="E1104" s="5"/>
      <c r="F1104" s="5"/>
      <c r="G1104" s="5"/>
      <c r="H1104" s="5" t="s">
        <v>596</v>
      </c>
      <c r="I1104" s="6">
        <v>44903</v>
      </c>
      <c r="J1104" s="5"/>
      <c r="K1104" s="5" t="s">
        <v>881</v>
      </c>
      <c r="L1104" s="5"/>
      <c r="M1104" s="5"/>
      <c r="N1104" s="7"/>
      <c r="O1104" s="5" t="s">
        <v>554</v>
      </c>
      <c r="P1104" s="8">
        <v>0</v>
      </c>
      <c r="Q1104" s="8">
        <f t="shared" si="24"/>
        <v>143714.31</v>
      </c>
    </row>
    <row r="1105" spans="1:17" x14ac:dyDescent="0.25">
      <c r="A1105" s="5"/>
      <c r="B1105" s="5"/>
      <c r="C1105" s="5"/>
      <c r="D1105" s="5"/>
      <c r="E1105" s="5"/>
      <c r="F1105" s="5"/>
      <c r="G1105" s="5"/>
      <c r="H1105" s="5" t="s">
        <v>596</v>
      </c>
      <c r="I1105" s="6">
        <v>44917</v>
      </c>
      <c r="J1105" s="5"/>
      <c r="K1105" s="5" t="s">
        <v>877</v>
      </c>
      <c r="L1105" s="5"/>
      <c r="M1105" s="5"/>
      <c r="N1105" s="7"/>
      <c r="O1105" s="5" t="s">
        <v>554</v>
      </c>
      <c r="P1105" s="8">
        <v>1600</v>
      </c>
      <c r="Q1105" s="8">
        <f t="shared" si="24"/>
        <v>145314.31</v>
      </c>
    </row>
    <row r="1106" spans="1:17" x14ac:dyDescent="0.25">
      <c r="A1106" s="5"/>
      <c r="B1106" s="5"/>
      <c r="C1106" s="5"/>
      <c r="D1106" s="5"/>
      <c r="E1106" s="5"/>
      <c r="F1106" s="5"/>
      <c r="G1106" s="5"/>
      <c r="H1106" s="5" t="s">
        <v>596</v>
      </c>
      <c r="I1106" s="6">
        <v>44917</v>
      </c>
      <c r="J1106" s="5"/>
      <c r="K1106" s="5" t="s">
        <v>877</v>
      </c>
      <c r="L1106" s="5"/>
      <c r="M1106" s="5"/>
      <c r="N1106" s="7"/>
      <c r="O1106" s="5" t="s">
        <v>554</v>
      </c>
      <c r="P1106" s="8">
        <v>83.53</v>
      </c>
      <c r="Q1106" s="8">
        <f t="shared" si="24"/>
        <v>145397.84</v>
      </c>
    </row>
    <row r="1107" spans="1:17" x14ac:dyDescent="0.25">
      <c r="A1107" s="5"/>
      <c r="B1107" s="5"/>
      <c r="C1107" s="5"/>
      <c r="D1107" s="5"/>
      <c r="E1107" s="5"/>
      <c r="F1107" s="5"/>
      <c r="G1107" s="5"/>
      <c r="H1107" s="5" t="s">
        <v>596</v>
      </c>
      <c r="I1107" s="6">
        <v>44917</v>
      </c>
      <c r="J1107" s="5"/>
      <c r="K1107" s="5" t="s">
        <v>877</v>
      </c>
      <c r="L1107" s="5"/>
      <c r="M1107" s="5"/>
      <c r="N1107" s="7"/>
      <c r="O1107" s="5" t="s">
        <v>554</v>
      </c>
      <c r="P1107" s="8">
        <v>35.39</v>
      </c>
      <c r="Q1107" s="8">
        <f t="shared" si="24"/>
        <v>145433.23000000001</v>
      </c>
    </row>
    <row r="1108" spans="1:17" x14ac:dyDescent="0.25">
      <c r="A1108" s="5"/>
      <c r="B1108" s="5"/>
      <c r="C1108" s="5"/>
      <c r="D1108" s="5"/>
      <c r="E1108" s="5"/>
      <c r="F1108" s="5"/>
      <c r="G1108" s="5"/>
      <c r="H1108" s="5" t="s">
        <v>596</v>
      </c>
      <c r="I1108" s="6">
        <v>44917</v>
      </c>
      <c r="J1108" s="5"/>
      <c r="K1108" s="5" t="s">
        <v>877</v>
      </c>
      <c r="L1108" s="5"/>
      <c r="M1108" s="5"/>
      <c r="N1108" s="7"/>
      <c r="O1108" s="5" t="s">
        <v>554</v>
      </c>
      <c r="P1108" s="8">
        <v>64</v>
      </c>
      <c r="Q1108" s="8">
        <f t="shared" si="24"/>
        <v>145497.23000000001</v>
      </c>
    </row>
    <row r="1109" spans="1:17" x14ac:dyDescent="0.25">
      <c r="A1109" s="5"/>
      <c r="B1109" s="5"/>
      <c r="C1109" s="5"/>
      <c r="D1109" s="5"/>
      <c r="E1109" s="5"/>
      <c r="F1109" s="5"/>
      <c r="G1109" s="5"/>
      <c r="H1109" s="5" t="s">
        <v>596</v>
      </c>
      <c r="I1109" s="6">
        <v>44917</v>
      </c>
      <c r="J1109" s="5"/>
      <c r="K1109" s="5" t="s">
        <v>876</v>
      </c>
      <c r="L1109" s="5"/>
      <c r="M1109" s="5"/>
      <c r="N1109" s="7"/>
      <c r="O1109" s="5" t="s">
        <v>554</v>
      </c>
      <c r="P1109" s="8">
        <v>2000</v>
      </c>
      <c r="Q1109" s="8">
        <f t="shared" si="24"/>
        <v>147497.23000000001</v>
      </c>
    </row>
    <row r="1110" spans="1:17" x14ac:dyDescent="0.25">
      <c r="A1110" s="5"/>
      <c r="B1110" s="5"/>
      <c r="C1110" s="5"/>
      <c r="D1110" s="5"/>
      <c r="E1110" s="5"/>
      <c r="F1110" s="5"/>
      <c r="G1110" s="5"/>
      <c r="H1110" s="5" t="s">
        <v>596</v>
      </c>
      <c r="I1110" s="6">
        <v>44917</v>
      </c>
      <c r="J1110" s="5"/>
      <c r="K1110" s="5" t="s">
        <v>876</v>
      </c>
      <c r="L1110" s="5"/>
      <c r="M1110" s="5"/>
      <c r="N1110" s="7"/>
      <c r="O1110" s="5" t="s">
        <v>554</v>
      </c>
      <c r="P1110" s="8">
        <v>106.33</v>
      </c>
      <c r="Q1110" s="8">
        <f t="shared" si="24"/>
        <v>147603.56</v>
      </c>
    </row>
    <row r="1111" spans="1:17" x14ac:dyDescent="0.25">
      <c r="A1111" s="5"/>
      <c r="B1111" s="5"/>
      <c r="C1111" s="5"/>
      <c r="D1111" s="5"/>
      <c r="E1111" s="5"/>
      <c r="F1111" s="5"/>
      <c r="G1111" s="5"/>
      <c r="H1111" s="5" t="s">
        <v>596</v>
      </c>
      <c r="I1111" s="6">
        <v>44917</v>
      </c>
      <c r="J1111" s="5"/>
      <c r="K1111" s="5" t="s">
        <v>876</v>
      </c>
      <c r="L1111" s="5"/>
      <c r="M1111" s="5"/>
      <c r="N1111" s="7"/>
      <c r="O1111" s="5" t="s">
        <v>554</v>
      </c>
      <c r="P1111" s="8">
        <v>44.24</v>
      </c>
      <c r="Q1111" s="8">
        <f t="shared" si="24"/>
        <v>147647.79999999999</v>
      </c>
    </row>
    <row r="1112" spans="1:17" x14ac:dyDescent="0.25">
      <c r="A1112" s="5"/>
      <c r="B1112" s="5"/>
      <c r="C1112" s="5"/>
      <c r="D1112" s="5"/>
      <c r="E1112" s="5"/>
      <c r="F1112" s="5"/>
      <c r="G1112" s="5"/>
      <c r="H1112" s="5" t="s">
        <v>596</v>
      </c>
      <c r="I1112" s="6">
        <v>44917</v>
      </c>
      <c r="J1112" s="5"/>
      <c r="K1112" s="5" t="s">
        <v>876</v>
      </c>
      <c r="L1112" s="5"/>
      <c r="M1112" s="5"/>
      <c r="N1112" s="7"/>
      <c r="O1112" s="5" t="s">
        <v>554</v>
      </c>
      <c r="P1112" s="8">
        <v>80</v>
      </c>
      <c r="Q1112" s="8">
        <f t="shared" si="24"/>
        <v>147727.79999999999</v>
      </c>
    </row>
    <row r="1113" spans="1:17" x14ac:dyDescent="0.25">
      <c r="A1113" s="5"/>
      <c r="B1113" s="5"/>
      <c r="C1113" s="5"/>
      <c r="D1113" s="5"/>
      <c r="E1113" s="5"/>
      <c r="F1113" s="5"/>
      <c r="G1113" s="5"/>
      <c r="H1113" s="5" t="s">
        <v>596</v>
      </c>
      <c r="I1113" s="6">
        <v>44917</v>
      </c>
      <c r="J1113" s="5"/>
      <c r="K1113" s="5" t="s">
        <v>884</v>
      </c>
      <c r="L1113" s="5"/>
      <c r="M1113" s="5"/>
      <c r="N1113" s="7"/>
      <c r="O1113" s="5" t="s">
        <v>554</v>
      </c>
      <c r="P1113" s="8">
        <v>1154.4000000000001</v>
      </c>
      <c r="Q1113" s="8">
        <f t="shared" si="24"/>
        <v>148882.20000000001</v>
      </c>
    </row>
    <row r="1114" spans="1:17" x14ac:dyDescent="0.25">
      <c r="A1114" s="5"/>
      <c r="B1114" s="5"/>
      <c r="C1114" s="5"/>
      <c r="D1114" s="5"/>
      <c r="E1114" s="5"/>
      <c r="F1114" s="5"/>
      <c r="G1114" s="5"/>
      <c r="H1114" s="5" t="s">
        <v>596</v>
      </c>
      <c r="I1114" s="6">
        <v>44917</v>
      </c>
      <c r="J1114" s="5"/>
      <c r="K1114" s="5" t="s">
        <v>884</v>
      </c>
      <c r="L1114" s="5"/>
      <c r="M1114" s="5"/>
      <c r="N1114" s="7"/>
      <c r="O1114" s="5" t="s">
        <v>554</v>
      </c>
      <c r="P1114" s="8">
        <v>58.13</v>
      </c>
      <c r="Q1114" s="8">
        <f t="shared" si="24"/>
        <v>148940.32999999999</v>
      </c>
    </row>
    <row r="1115" spans="1:17" x14ac:dyDescent="0.25">
      <c r="A1115" s="5"/>
      <c r="B1115" s="5"/>
      <c r="C1115" s="5"/>
      <c r="D1115" s="5"/>
      <c r="E1115" s="5"/>
      <c r="F1115" s="5"/>
      <c r="G1115" s="5"/>
      <c r="H1115" s="5" t="s">
        <v>596</v>
      </c>
      <c r="I1115" s="6">
        <v>44917</v>
      </c>
      <c r="J1115" s="5"/>
      <c r="K1115" s="5" t="s">
        <v>884</v>
      </c>
      <c r="L1115" s="5"/>
      <c r="M1115" s="5"/>
      <c r="N1115" s="7"/>
      <c r="O1115" s="5" t="s">
        <v>554</v>
      </c>
      <c r="P1115" s="8">
        <v>25.54</v>
      </c>
      <c r="Q1115" s="8">
        <f t="shared" si="24"/>
        <v>148965.87</v>
      </c>
    </row>
    <row r="1116" spans="1:17" x14ac:dyDescent="0.25">
      <c r="A1116" s="5"/>
      <c r="B1116" s="5"/>
      <c r="C1116" s="5"/>
      <c r="D1116" s="5"/>
      <c r="E1116" s="5"/>
      <c r="F1116" s="5"/>
      <c r="G1116" s="5"/>
      <c r="H1116" s="5" t="s">
        <v>596</v>
      </c>
      <c r="I1116" s="6">
        <v>44917</v>
      </c>
      <c r="J1116" s="5"/>
      <c r="K1116" s="5" t="s">
        <v>884</v>
      </c>
      <c r="L1116" s="5"/>
      <c r="M1116" s="5"/>
      <c r="N1116" s="7"/>
      <c r="O1116" s="5" t="s">
        <v>554</v>
      </c>
      <c r="P1116" s="8">
        <v>46.18</v>
      </c>
      <c r="Q1116" s="8">
        <f t="shared" si="24"/>
        <v>149012.04999999999</v>
      </c>
    </row>
    <row r="1117" spans="1:17" x14ac:dyDescent="0.25">
      <c r="A1117" s="5"/>
      <c r="B1117" s="5"/>
      <c r="C1117" s="5"/>
      <c r="D1117" s="5"/>
      <c r="E1117" s="5"/>
      <c r="F1117" s="5"/>
      <c r="G1117" s="5"/>
      <c r="H1117" s="5" t="s">
        <v>596</v>
      </c>
      <c r="I1117" s="6">
        <v>44917</v>
      </c>
      <c r="J1117" s="5"/>
      <c r="K1117" s="5" t="s">
        <v>885</v>
      </c>
      <c r="L1117" s="5"/>
      <c r="M1117" s="5"/>
      <c r="N1117" s="7"/>
      <c r="O1117" s="5" t="s">
        <v>554</v>
      </c>
      <c r="P1117" s="8">
        <v>1500</v>
      </c>
      <c r="Q1117" s="8">
        <f t="shared" si="24"/>
        <v>150512.04999999999</v>
      </c>
    </row>
    <row r="1118" spans="1:17" x14ac:dyDescent="0.25">
      <c r="A1118" s="5"/>
      <c r="B1118" s="5"/>
      <c r="C1118" s="5"/>
      <c r="D1118" s="5"/>
      <c r="E1118" s="5"/>
      <c r="F1118" s="5"/>
      <c r="G1118" s="5"/>
      <c r="H1118" s="5" t="s">
        <v>596</v>
      </c>
      <c r="I1118" s="6">
        <v>44917</v>
      </c>
      <c r="J1118" s="5"/>
      <c r="K1118" s="5" t="s">
        <v>885</v>
      </c>
      <c r="L1118" s="5"/>
      <c r="M1118" s="5"/>
      <c r="N1118" s="7"/>
      <c r="O1118" s="5" t="s">
        <v>554</v>
      </c>
      <c r="P1118" s="8">
        <v>77.83</v>
      </c>
      <c r="Q1118" s="8">
        <f t="shared" si="24"/>
        <v>150589.88</v>
      </c>
    </row>
    <row r="1119" spans="1:17" x14ac:dyDescent="0.25">
      <c r="A1119" s="5"/>
      <c r="B1119" s="5"/>
      <c r="C1119" s="5"/>
      <c r="D1119" s="5"/>
      <c r="E1119" s="5"/>
      <c r="F1119" s="5"/>
      <c r="G1119" s="5"/>
      <c r="H1119" s="5" t="s">
        <v>596</v>
      </c>
      <c r="I1119" s="6">
        <v>44917</v>
      </c>
      <c r="J1119" s="5"/>
      <c r="K1119" s="5" t="s">
        <v>885</v>
      </c>
      <c r="L1119" s="5"/>
      <c r="M1119" s="5"/>
      <c r="N1119" s="7"/>
      <c r="O1119" s="5" t="s">
        <v>554</v>
      </c>
      <c r="P1119" s="8">
        <v>33.18</v>
      </c>
      <c r="Q1119" s="8">
        <f t="shared" si="24"/>
        <v>150623.06</v>
      </c>
    </row>
    <row r="1120" spans="1:17" x14ac:dyDescent="0.25">
      <c r="A1120" s="5"/>
      <c r="B1120" s="5"/>
      <c r="C1120" s="5"/>
      <c r="D1120" s="5"/>
      <c r="E1120" s="5"/>
      <c r="F1120" s="5"/>
      <c r="G1120" s="5"/>
      <c r="H1120" s="5" t="s">
        <v>596</v>
      </c>
      <c r="I1120" s="6">
        <v>44917</v>
      </c>
      <c r="J1120" s="5"/>
      <c r="K1120" s="5" t="s">
        <v>885</v>
      </c>
      <c r="L1120" s="5"/>
      <c r="M1120" s="5"/>
      <c r="N1120" s="7"/>
      <c r="O1120" s="5" t="s">
        <v>554</v>
      </c>
      <c r="P1120" s="8">
        <v>60</v>
      </c>
      <c r="Q1120" s="8">
        <f t="shared" si="24"/>
        <v>150683.06</v>
      </c>
    </row>
    <row r="1121" spans="1:17" x14ac:dyDescent="0.25">
      <c r="A1121" s="5"/>
      <c r="B1121" s="5"/>
      <c r="C1121" s="5"/>
      <c r="D1121" s="5"/>
      <c r="E1121" s="5"/>
      <c r="F1121" s="5"/>
      <c r="G1121" s="5"/>
      <c r="H1121" s="5" t="s">
        <v>596</v>
      </c>
      <c r="I1121" s="6">
        <v>44917</v>
      </c>
      <c r="J1121" s="5"/>
      <c r="K1121" s="5" t="s">
        <v>881</v>
      </c>
      <c r="L1121" s="5"/>
      <c r="M1121" s="5"/>
      <c r="N1121" s="7"/>
      <c r="O1121" s="5" t="s">
        <v>554</v>
      </c>
      <c r="P1121" s="8">
        <v>1400</v>
      </c>
      <c r="Q1121" s="8">
        <f t="shared" si="24"/>
        <v>152083.06</v>
      </c>
    </row>
    <row r="1122" spans="1:17" x14ac:dyDescent="0.25">
      <c r="A1122" s="5"/>
      <c r="B1122" s="5"/>
      <c r="C1122" s="5"/>
      <c r="D1122" s="5"/>
      <c r="E1122" s="5"/>
      <c r="F1122" s="5"/>
      <c r="G1122" s="5"/>
      <c r="H1122" s="5" t="s">
        <v>596</v>
      </c>
      <c r="I1122" s="6">
        <v>44917</v>
      </c>
      <c r="J1122" s="5"/>
      <c r="K1122" s="5" t="s">
        <v>881</v>
      </c>
      <c r="L1122" s="5"/>
      <c r="M1122" s="5"/>
      <c r="N1122" s="7"/>
      <c r="O1122" s="5" t="s">
        <v>554</v>
      </c>
      <c r="P1122" s="8">
        <v>72.13</v>
      </c>
      <c r="Q1122" s="8">
        <f t="shared" si="24"/>
        <v>152155.19</v>
      </c>
    </row>
    <row r="1123" spans="1:17" x14ac:dyDescent="0.25">
      <c r="A1123" s="5"/>
      <c r="B1123" s="5"/>
      <c r="C1123" s="5"/>
      <c r="D1123" s="5"/>
      <c r="E1123" s="5"/>
      <c r="F1123" s="5"/>
      <c r="G1123" s="5"/>
      <c r="H1123" s="5" t="s">
        <v>596</v>
      </c>
      <c r="I1123" s="6">
        <v>44917</v>
      </c>
      <c r="J1123" s="5"/>
      <c r="K1123" s="5" t="s">
        <v>881</v>
      </c>
      <c r="L1123" s="5"/>
      <c r="M1123" s="5"/>
      <c r="N1123" s="7"/>
      <c r="O1123" s="5" t="s">
        <v>554</v>
      </c>
      <c r="P1123" s="8">
        <v>30.97</v>
      </c>
      <c r="Q1123" s="8">
        <f t="shared" si="24"/>
        <v>152186.16</v>
      </c>
    </row>
    <row r="1124" spans="1:17" x14ac:dyDescent="0.25">
      <c r="A1124" s="5"/>
      <c r="B1124" s="5"/>
      <c r="C1124" s="5"/>
      <c r="D1124" s="5"/>
      <c r="E1124" s="5"/>
      <c r="F1124" s="5"/>
      <c r="G1124" s="5"/>
      <c r="H1124" s="5" t="s">
        <v>596</v>
      </c>
      <c r="I1124" s="6">
        <v>44917</v>
      </c>
      <c r="J1124" s="5"/>
      <c r="K1124" s="5" t="s">
        <v>881</v>
      </c>
      <c r="L1124" s="5"/>
      <c r="M1124" s="5"/>
      <c r="N1124" s="7"/>
      <c r="O1124" s="5" t="s">
        <v>554</v>
      </c>
      <c r="P1124" s="8">
        <v>56</v>
      </c>
      <c r="Q1124" s="8">
        <f t="shared" si="24"/>
        <v>152242.16</v>
      </c>
    </row>
    <row r="1125" spans="1:17" x14ac:dyDescent="0.25">
      <c r="A1125" s="5"/>
      <c r="B1125" s="5"/>
      <c r="C1125" s="5"/>
      <c r="D1125" s="5"/>
      <c r="E1125" s="5"/>
      <c r="F1125" s="5"/>
      <c r="G1125" s="5"/>
      <c r="H1125" s="5" t="s">
        <v>596</v>
      </c>
      <c r="I1125" s="6">
        <v>44917</v>
      </c>
      <c r="J1125" s="5"/>
      <c r="K1125" s="5" t="s">
        <v>880</v>
      </c>
      <c r="L1125" s="5"/>
      <c r="M1125" s="5"/>
      <c r="N1125" s="7"/>
      <c r="O1125" s="5" t="s">
        <v>554</v>
      </c>
      <c r="P1125" s="8">
        <v>1139.2</v>
      </c>
      <c r="Q1125" s="8">
        <f t="shared" si="24"/>
        <v>153381.35999999999</v>
      </c>
    </row>
    <row r="1126" spans="1:17" x14ac:dyDescent="0.25">
      <c r="A1126" s="5"/>
      <c r="B1126" s="5"/>
      <c r="C1126" s="5"/>
      <c r="D1126" s="5"/>
      <c r="E1126" s="5"/>
      <c r="F1126" s="5"/>
      <c r="G1126" s="5"/>
      <c r="H1126" s="5" t="s">
        <v>596</v>
      </c>
      <c r="I1126" s="6">
        <v>44917</v>
      </c>
      <c r="J1126" s="5"/>
      <c r="K1126" s="5" t="s">
        <v>880</v>
      </c>
      <c r="L1126" s="5"/>
      <c r="M1126" s="5"/>
      <c r="N1126" s="7"/>
      <c r="O1126" s="5" t="s">
        <v>554</v>
      </c>
      <c r="P1126" s="8">
        <v>57.26</v>
      </c>
      <c r="Q1126" s="8">
        <f t="shared" si="24"/>
        <v>153438.62</v>
      </c>
    </row>
    <row r="1127" spans="1:17" x14ac:dyDescent="0.25">
      <c r="A1127" s="5"/>
      <c r="B1127" s="5"/>
      <c r="C1127" s="5"/>
      <c r="D1127" s="5"/>
      <c r="E1127" s="5"/>
      <c r="F1127" s="5"/>
      <c r="G1127" s="5"/>
      <c r="H1127" s="5" t="s">
        <v>596</v>
      </c>
      <c r="I1127" s="6">
        <v>44917</v>
      </c>
      <c r="J1127" s="5"/>
      <c r="K1127" s="5" t="s">
        <v>880</v>
      </c>
      <c r="L1127" s="5"/>
      <c r="M1127" s="5"/>
      <c r="N1127" s="7"/>
      <c r="O1127" s="5" t="s">
        <v>554</v>
      </c>
      <c r="P1127" s="8">
        <v>25.2</v>
      </c>
      <c r="Q1127" s="8">
        <f t="shared" si="24"/>
        <v>153463.82</v>
      </c>
    </row>
    <row r="1128" spans="1:17" x14ac:dyDescent="0.25">
      <c r="A1128" s="5"/>
      <c r="B1128" s="5"/>
      <c r="C1128" s="5"/>
      <c r="D1128" s="5"/>
      <c r="E1128" s="5"/>
      <c r="F1128" s="5"/>
      <c r="G1128" s="5"/>
      <c r="H1128" s="5" t="s">
        <v>596</v>
      </c>
      <c r="I1128" s="6">
        <v>44917</v>
      </c>
      <c r="J1128" s="5"/>
      <c r="K1128" s="5" t="s">
        <v>880</v>
      </c>
      <c r="L1128" s="5"/>
      <c r="M1128" s="5"/>
      <c r="N1128" s="7"/>
      <c r="O1128" s="5" t="s">
        <v>554</v>
      </c>
      <c r="P1128" s="8">
        <v>45.57</v>
      </c>
      <c r="Q1128" s="8">
        <f t="shared" si="24"/>
        <v>153509.39000000001</v>
      </c>
    </row>
    <row r="1129" spans="1:17" x14ac:dyDescent="0.25">
      <c r="A1129" s="5"/>
      <c r="B1129" s="5"/>
      <c r="C1129" s="5"/>
      <c r="D1129" s="5"/>
      <c r="E1129" s="5"/>
      <c r="F1129" s="5"/>
      <c r="G1129" s="5"/>
      <c r="H1129" s="5" t="s">
        <v>596</v>
      </c>
      <c r="I1129" s="6">
        <v>44917</v>
      </c>
      <c r="J1129" s="5"/>
      <c r="K1129" s="5" t="s">
        <v>887</v>
      </c>
      <c r="L1129" s="5"/>
      <c r="M1129" s="5"/>
      <c r="N1129" s="7"/>
      <c r="O1129" s="5" t="s">
        <v>554</v>
      </c>
      <c r="P1129" s="8">
        <v>224.25</v>
      </c>
      <c r="Q1129" s="8">
        <f t="shared" si="24"/>
        <v>153733.64000000001</v>
      </c>
    </row>
    <row r="1130" spans="1:17" x14ac:dyDescent="0.25">
      <c r="A1130" s="5"/>
      <c r="B1130" s="5"/>
      <c r="C1130" s="5"/>
      <c r="D1130" s="5"/>
      <c r="E1130" s="5"/>
      <c r="F1130" s="5"/>
      <c r="G1130" s="5"/>
      <c r="H1130" s="5" t="s">
        <v>596</v>
      </c>
      <c r="I1130" s="6">
        <v>44917</v>
      </c>
      <c r="J1130" s="5"/>
      <c r="K1130" s="5" t="s">
        <v>887</v>
      </c>
      <c r="L1130" s="5"/>
      <c r="M1130" s="5"/>
      <c r="N1130" s="7"/>
      <c r="O1130" s="5" t="s">
        <v>554</v>
      </c>
      <c r="P1130" s="8">
        <v>5.1100000000000003</v>
      </c>
      <c r="Q1130" s="8">
        <f t="shared" si="24"/>
        <v>153738.75</v>
      </c>
    </row>
    <row r="1131" spans="1:17" x14ac:dyDescent="0.25">
      <c r="A1131" s="5"/>
      <c r="B1131" s="5"/>
      <c r="C1131" s="5"/>
      <c r="D1131" s="5"/>
      <c r="E1131" s="5"/>
      <c r="F1131" s="5"/>
      <c r="G1131" s="5"/>
      <c r="H1131" s="5" t="s">
        <v>596</v>
      </c>
      <c r="I1131" s="6">
        <v>44917</v>
      </c>
      <c r="J1131" s="5"/>
      <c r="K1131" s="5" t="s">
        <v>887</v>
      </c>
      <c r="L1131" s="5"/>
      <c r="M1131" s="5"/>
      <c r="N1131" s="7"/>
      <c r="O1131" s="5" t="s">
        <v>554</v>
      </c>
      <c r="P1131" s="8">
        <v>4.96</v>
      </c>
      <c r="Q1131" s="8">
        <f t="shared" si="24"/>
        <v>153743.71</v>
      </c>
    </row>
    <row r="1132" spans="1:17" x14ac:dyDescent="0.25">
      <c r="A1132" s="5"/>
      <c r="B1132" s="5"/>
      <c r="C1132" s="5"/>
      <c r="D1132" s="5"/>
      <c r="E1132" s="5"/>
      <c r="F1132" s="5"/>
      <c r="G1132" s="5"/>
      <c r="H1132" s="5" t="s">
        <v>596</v>
      </c>
      <c r="I1132" s="6">
        <v>44917</v>
      </c>
      <c r="J1132" s="5"/>
      <c r="K1132" s="5" t="s">
        <v>887</v>
      </c>
      <c r="L1132" s="5"/>
      <c r="M1132" s="5"/>
      <c r="N1132" s="7"/>
      <c r="O1132" s="5" t="s">
        <v>554</v>
      </c>
      <c r="P1132" s="8">
        <v>8.9700000000000006</v>
      </c>
      <c r="Q1132" s="8">
        <f t="shared" si="24"/>
        <v>153752.68</v>
      </c>
    </row>
    <row r="1133" spans="1:17" x14ac:dyDescent="0.25">
      <c r="A1133" s="5"/>
      <c r="B1133" s="5"/>
      <c r="C1133" s="5"/>
      <c r="D1133" s="5"/>
      <c r="E1133" s="5"/>
      <c r="F1133" s="5"/>
      <c r="G1133" s="5"/>
      <c r="H1133" s="5" t="s">
        <v>596</v>
      </c>
      <c r="I1133" s="6">
        <v>44917</v>
      </c>
      <c r="J1133" s="5"/>
      <c r="K1133" s="5" t="s">
        <v>886</v>
      </c>
      <c r="L1133" s="5"/>
      <c r="M1133" s="5"/>
      <c r="N1133" s="7"/>
      <c r="O1133" s="5" t="s">
        <v>554</v>
      </c>
      <c r="P1133" s="8">
        <v>1750.68</v>
      </c>
      <c r="Q1133" s="8">
        <f t="shared" si="24"/>
        <v>155503.35999999999</v>
      </c>
    </row>
    <row r="1134" spans="1:17" x14ac:dyDescent="0.25">
      <c r="A1134" s="5"/>
      <c r="B1134" s="5"/>
      <c r="C1134" s="5"/>
      <c r="D1134" s="5"/>
      <c r="E1134" s="5"/>
      <c r="F1134" s="5"/>
      <c r="G1134" s="5"/>
      <c r="H1134" s="5" t="s">
        <v>596</v>
      </c>
      <c r="I1134" s="6">
        <v>44917</v>
      </c>
      <c r="J1134" s="5"/>
      <c r="K1134" s="5" t="s">
        <v>886</v>
      </c>
      <c r="L1134" s="5"/>
      <c r="M1134" s="5"/>
      <c r="N1134" s="7"/>
      <c r="O1134" s="5" t="s">
        <v>554</v>
      </c>
      <c r="P1134" s="8">
        <v>92.12</v>
      </c>
      <c r="Q1134" s="8">
        <f t="shared" si="24"/>
        <v>155595.48000000001</v>
      </c>
    </row>
    <row r="1135" spans="1:17" x14ac:dyDescent="0.25">
      <c r="A1135" s="5"/>
      <c r="B1135" s="5"/>
      <c r="C1135" s="5"/>
      <c r="D1135" s="5"/>
      <c r="E1135" s="5"/>
      <c r="F1135" s="5"/>
      <c r="G1135" s="5"/>
      <c r="H1135" s="5" t="s">
        <v>596</v>
      </c>
      <c r="I1135" s="6">
        <v>44917</v>
      </c>
      <c r="J1135" s="5"/>
      <c r="K1135" s="5" t="s">
        <v>886</v>
      </c>
      <c r="L1135" s="5"/>
      <c r="M1135" s="5"/>
      <c r="N1135" s="7"/>
      <c r="O1135" s="5" t="s">
        <v>554</v>
      </c>
      <c r="P1135" s="8">
        <v>38.72</v>
      </c>
      <c r="Q1135" s="8">
        <f t="shared" si="24"/>
        <v>155634.20000000001</v>
      </c>
    </row>
    <row r="1136" spans="1:17" ht="15.75" thickBot="1" x14ac:dyDescent="0.3">
      <c r="A1136" s="5"/>
      <c r="B1136" s="5"/>
      <c r="C1136" s="5"/>
      <c r="D1136" s="5"/>
      <c r="E1136" s="5"/>
      <c r="F1136" s="5"/>
      <c r="G1136" s="5"/>
      <c r="H1136" s="5" t="s">
        <v>596</v>
      </c>
      <c r="I1136" s="6">
        <v>44917</v>
      </c>
      <c r="J1136" s="5"/>
      <c r="K1136" s="5" t="s">
        <v>886</v>
      </c>
      <c r="L1136" s="5"/>
      <c r="M1136" s="5"/>
      <c r="N1136" s="7"/>
      <c r="O1136" s="5" t="s">
        <v>554</v>
      </c>
      <c r="P1136" s="9">
        <v>70.03</v>
      </c>
      <c r="Q1136" s="9">
        <f t="shared" si="24"/>
        <v>155704.23000000001</v>
      </c>
    </row>
    <row r="1137" spans="1:17" x14ac:dyDescent="0.25">
      <c r="A1137" s="5"/>
      <c r="B1137" s="5"/>
      <c r="C1137" s="5"/>
      <c r="D1137" s="5"/>
      <c r="E1137" s="5" t="s">
        <v>765</v>
      </c>
      <c r="F1137" s="5"/>
      <c r="G1137" s="5"/>
      <c r="H1137" s="5"/>
      <c r="I1137" s="6"/>
      <c r="J1137" s="5"/>
      <c r="K1137" s="5"/>
      <c r="L1137" s="5"/>
      <c r="M1137" s="5"/>
      <c r="N1137" s="5"/>
      <c r="O1137" s="5"/>
      <c r="P1137" s="8">
        <f>ROUND(SUM(P696:P1136),5)</f>
        <v>155704.23000000001</v>
      </c>
      <c r="Q1137" s="8">
        <f>Q1136</f>
        <v>155704.23000000001</v>
      </c>
    </row>
    <row r="1138" spans="1:17" x14ac:dyDescent="0.25">
      <c r="A1138" s="2"/>
      <c r="B1138" s="2"/>
      <c r="C1138" s="2"/>
      <c r="D1138" s="2"/>
      <c r="E1138" s="2" t="s">
        <v>766</v>
      </c>
      <c r="F1138" s="2"/>
      <c r="G1138" s="2"/>
      <c r="H1138" s="2"/>
      <c r="I1138" s="3"/>
      <c r="J1138" s="2"/>
      <c r="K1138" s="2"/>
      <c r="L1138" s="2"/>
      <c r="M1138" s="2"/>
      <c r="N1138" s="2"/>
      <c r="O1138" s="2"/>
      <c r="P1138" s="4"/>
      <c r="Q1138" s="4"/>
    </row>
    <row r="1139" spans="1:17" x14ac:dyDescent="0.25">
      <c r="A1139" s="5"/>
      <c r="B1139" s="5"/>
      <c r="C1139" s="5"/>
      <c r="D1139" s="5"/>
      <c r="E1139" s="5"/>
      <c r="F1139" s="5"/>
      <c r="G1139" s="5"/>
      <c r="H1139" s="5" t="s">
        <v>862</v>
      </c>
      <c r="I1139" s="6">
        <v>44878</v>
      </c>
      <c r="J1139" s="5"/>
      <c r="K1139" s="5" t="s">
        <v>813</v>
      </c>
      <c r="L1139" s="5"/>
      <c r="M1139" s="5"/>
      <c r="N1139" s="7"/>
      <c r="O1139" s="5" t="s">
        <v>554</v>
      </c>
      <c r="P1139" s="8">
        <v>8000</v>
      </c>
      <c r="Q1139" s="8">
        <f>ROUND(Q1138+P1139,5)</f>
        <v>8000</v>
      </c>
    </row>
    <row r="1140" spans="1:17" ht="15.75" thickBot="1" x14ac:dyDescent="0.3">
      <c r="A1140" s="5"/>
      <c r="B1140" s="5"/>
      <c r="C1140" s="5"/>
      <c r="D1140" s="5"/>
      <c r="E1140" s="5"/>
      <c r="F1140" s="5"/>
      <c r="G1140" s="5"/>
      <c r="H1140" s="5" t="s">
        <v>862</v>
      </c>
      <c r="I1140" s="6">
        <v>44908</v>
      </c>
      <c r="J1140" s="5"/>
      <c r="K1140" s="5" t="s">
        <v>813</v>
      </c>
      <c r="L1140" s="5"/>
      <c r="M1140" s="5"/>
      <c r="N1140" s="7"/>
      <c r="O1140" s="5" t="s">
        <v>554</v>
      </c>
      <c r="P1140" s="9">
        <v>8000</v>
      </c>
      <c r="Q1140" s="9">
        <f>ROUND(Q1139+P1140,5)</f>
        <v>16000</v>
      </c>
    </row>
    <row r="1141" spans="1:17" x14ac:dyDescent="0.25">
      <c r="A1141" s="5"/>
      <c r="B1141" s="5"/>
      <c r="C1141" s="5"/>
      <c r="D1141" s="5"/>
      <c r="E1141" s="5" t="s">
        <v>767</v>
      </c>
      <c r="F1141" s="5"/>
      <c r="G1141" s="5"/>
      <c r="H1141" s="5"/>
      <c r="I1141" s="6"/>
      <c r="J1141" s="5"/>
      <c r="K1141" s="5"/>
      <c r="L1141" s="5"/>
      <c r="M1141" s="5"/>
      <c r="N1141" s="5"/>
      <c r="O1141" s="5"/>
      <c r="P1141" s="8">
        <f>ROUND(SUM(P1138:P1140),5)</f>
        <v>16000</v>
      </c>
      <c r="Q1141" s="8">
        <f>Q1140</f>
        <v>16000</v>
      </c>
    </row>
    <row r="1142" spans="1:17" x14ac:dyDescent="0.25">
      <c r="A1142" s="2"/>
      <c r="B1142" s="2"/>
      <c r="C1142" s="2"/>
      <c r="D1142" s="2"/>
      <c r="E1142" s="2" t="s">
        <v>768</v>
      </c>
      <c r="F1142" s="2"/>
      <c r="G1142" s="2"/>
      <c r="H1142" s="2"/>
      <c r="I1142" s="3"/>
      <c r="J1142" s="2"/>
      <c r="K1142" s="2"/>
      <c r="L1142" s="2"/>
      <c r="M1142" s="2"/>
      <c r="N1142" s="2"/>
      <c r="O1142" s="2"/>
      <c r="P1142" s="4"/>
      <c r="Q1142" s="4"/>
    </row>
    <row r="1143" spans="1:17" x14ac:dyDescent="0.25">
      <c r="A1143" s="5"/>
      <c r="B1143" s="5"/>
      <c r="C1143" s="5"/>
      <c r="D1143" s="5"/>
      <c r="E1143" s="5"/>
      <c r="F1143" s="5"/>
      <c r="G1143" s="5"/>
      <c r="H1143" s="5" t="s">
        <v>863</v>
      </c>
      <c r="I1143" s="6">
        <v>44733</v>
      </c>
      <c r="J1143" s="5" t="s">
        <v>606</v>
      </c>
      <c r="K1143" s="5" t="s">
        <v>711</v>
      </c>
      <c r="L1143" s="5" t="s">
        <v>821</v>
      </c>
      <c r="M1143" s="5"/>
      <c r="N1143" s="7"/>
      <c r="O1143" s="5" t="s">
        <v>556</v>
      </c>
      <c r="P1143" s="8">
        <v>9843.77</v>
      </c>
      <c r="Q1143" s="8">
        <f>ROUND(Q1142+P1143,5)</f>
        <v>9843.77</v>
      </c>
    </row>
    <row r="1144" spans="1:17" x14ac:dyDescent="0.25">
      <c r="A1144" s="5"/>
      <c r="B1144" s="5"/>
      <c r="C1144" s="5"/>
      <c r="D1144" s="5"/>
      <c r="E1144" s="5"/>
      <c r="F1144" s="5"/>
      <c r="G1144" s="5"/>
      <c r="H1144" s="5" t="s">
        <v>863</v>
      </c>
      <c r="I1144" s="6">
        <v>44741</v>
      </c>
      <c r="J1144" s="5"/>
      <c r="K1144" s="5" t="s">
        <v>814</v>
      </c>
      <c r="L1144" s="5"/>
      <c r="M1144" s="5"/>
      <c r="N1144" s="7"/>
      <c r="O1144" s="5" t="s">
        <v>556</v>
      </c>
      <c r="P1144" s="8">
        <v>6831.65</v>
      </c>
      <c r="Q1144" s="8">
        <f>ROUND(Q1143+P1144,5)</f>
        <v>16675.419999999998</v>
      </c>
    </row>
    <row r="1145" spans="1:17" ht="15.75" thickBot="1" x14ac:dyDescent="0.3">
      <c r="A1145" s="5"/>
      <c r="B1145" s="5"/>
      <c r="C1145" s="5"/>
      <c r="D1145" s="5"/>
      <c r="E1145" s="5"/>
      <c r="F1145" s="5"/>
      <c r="G1145" s="5"/>
      <c r="H1145" s="5" t="s">
        <v>863</v>
      </c>
      <c r="I1145" s="6">
        <v>44777</v>
      </c>
      <c r="J1145" s="5"/>
      <c r="K1145" s="5" t="s">
        <v>814</v>
      </c>
      <c r="L1145" s="5"/>
      <c r="M1145" s="5"/>
      <c r="N1145" s="7"/>
      <c r="O1145" s="5" t="s">
        <v>556</v>
      </c>
      <c r="P1145" s="9">
        <v>1750</v>
      </c>
      <c r="Q1145" s="9">
        <f>ROUND(Q1144+P1145,5)</f>
        <v>18425.419999999998</v>
      </c>
    </row>
    <row r="1146" spans="1:17" x14ac:dyDescent="0.25">
      <c r="A1146" s="5"/>
      <c r="B1146" s="5"/>
      <c r="C1146" s="5"/>
      <c r="D1146" s="5"/>
      <c r="E1146" s="5" t="s">
        <v>769</v>
      </c>
      <c r="F1146" s="5"/>
      <c r="G1146" s="5"/>
      <c r="H1146" s="5"/>
      <c r="I1146" s="6"/>
      <c r="J1146" s="5"/>
      <c r="K1146" s="5"/>
      <c r="L1146" s="5"/>
      <c r="M1146" s="5"/>
      <c r="N1146" s="5"/>
      <c r="O1146" s="5"/>
      <c r="P1146" s="8">
        <f>ROUND(SUM(P1142:P1145),5)</f>
        <v>18425.419999999998</v>
      </c>
      <c r="Q1146" s="8">
        <f>Q1145</f>
        <v>18425.419999999998</v>
      </c>
    </row>
    <row r="1147" spans="1:17" x14ac:dyDescent="0.25">
      <c r="A1147" s="2"/>
      <c r="B1147" s="2"/>
      <c r="C1147" s="2"/>
      <c r="D1147" s="2"/>
      <c r="E1147" s="2" t="s">
        <v>770</v>
      </c>
      <c r="F1147" s="2"/>
      <c r="G1147" s="2"/>
      <c r="H1147" s="2"/>
      <c r="I1147" s="3"/>
      <c r="J1147" s="2"/>
      <c r="K1147" s="2"/>
      <c r="L1147" s="2"/>
      <c r="M1147" s="2"/>
      <c r="N1147" s="2"/>
      <c r="O1147" s="2"/>
      <c r="P1147" s="4"/>
      <c r="Q1147" s="4"/>
    </row>
    <row r="1148" spans="1:17" x14ac:dyDescent="0.25">
      <c r="A1148" s="5"/>
      <c r="B1148" s="5"/>
      <c r="C1148" s="5"/>
      <c r="D1148" s="5"/>
      <c r="E1148" s="5"/>
      <c r="F1148" s="5"/>
      <c r="G1148" s="5"/>
      <c r="H1148" s="5" t="s">
        <v>864</v>
      </c>
      <c r="I1148" s="6">
        <v>44652</v>
      </c>
      <c r="J1148" s="5" t="s">
        <v>805</v>
      </c>
      <c r="K1148" s="5" t="s">
        <v>815</v>
      </c>
      <c r="L1148" s="5"/>
      <c r="M1148" s="5"/>
      <c r="N1148" s="7"/>
      <c r="O1148" s="5" t="s">
        <v>554</v>
      </c>
      <c r="P1148" s="8">
        <v>3318.58</v>
      </c>
      <c r="Q1148" s="8">
        <f t="shared" ref="Q1148:Q1156" si="25">ROUND(Q1147+P1148,5)</f>
        <v>3318.58</v>
      </c>
    </row>
    <row r="1149" spans="1:17" x14ac:dyDescent="0.25">
      <c r="A1149" s="5"/>
      <c r="B1149" s="5"/>
      <c r="C1149" s="5"/>
      <c r="D1149" s="5"/>
      <c r="E1149" s="5"/>
      <c r="F1149" s="5"/>
      <c r="G1149" s="5"/>
      <c r="H1149" s="5" t="s">
        <v>864</v>
      </c>
      <c r="I1149" s="6">
        <v>44682</v>
      </c>
      <c r="J1149" s="5" t="s">
        <v>806</v>
      </c>
      <c r="K1149" s="5" t="s">
        <v>815</v>
      </c>
      <c r="L1149" s="5"/>
      <c r="M1149" s="5"/>
      <c r="N1149" s="7"/>
      <c r="O1149" s="5" t="s">
        <v>554</v>
      </c>
      <c r="P1149" s="8">
        <v>3318.58</v>
      </c>
      <c r="Q1149" s="8">
        <f t="shared" si="25"/>
        <v>6637.16</v>
      </c>
    </row>
    <row r="1150" spans="1:17" x14ac:dyDescent="0.25">
      <c r="A1150" s="5"/>
      <c r="B1150" s="5"/>
      <c r="C1150" s="5"/>
      <c r="D1150" s="5"/>
      <c r="E1150" s="5"/>
      <c r="F1150" s="5"/>
      <c r="G1150" s="5"/>
      <c r="H1150" s="5" t="s">
        <v>864</v>
      </c>
      <c r="I1150" s="6">
        <v>44713</v>
      </c>
      <c r="J1150" s="5" t="s">
        <v>807</v>
      </c>
      <c r="K1150" s="5" t="s">
        <v>815</v>
      </c>
      <c r="L1150" s="5"/>
      <c r="M1150" s="5"/>
      <c r="N1150" s="7"/>
      <c r="O1150" s="5" t="s">
        <v>554</v>
      </c>
      <c r="P1150" s="8">
        <v>3318.58</v>
      </c>
      <c r="Q1150" s="8">
        <f t="shared" si="25"/>
        <v>9955.74</v>
      </c>
    </row>
    <row r="1151" spans="1:17" x14ac:dyDescent="0.25">
      <c r="A1151" s="5"/>
      <c r="B1151" s="5"/>
      <c r="C1151" s="5"/>
      <c r="D1151" s="5"/>
      <c r="E1151" s="5"/>
      <c r="F1151" s="5"/>
      <c r="G1151" s="5"/>
      <c r="H1151" s="5" t="s">
        <v>864</v>
      </c>
      <c r="I1151" s="6">
        <v>44743</v>
      </c>
      <c r="J1151" s="5" t="s">
        <v>808</v>
      </c>
      <c r="K1151" s="5" t="s">
        <v>815</v>
      </c>
      <c r="L1151" s="5"/>
      <c r="M1151" s="5"/>
      <c r="N1151" s="7"/>
      <c r="O1151" s="5" t="s">
        <v>554</v>
      </c>
      <c r="P1151" s="8">
        <v>3318.58</v>
      </c>
      <c r="Q1151" s="8">
        <f t="shared" si="25"/>
        <v>13274.32</v>
      </c>
    </row>
    <row r="1152" spans="1:17" x14ac:dyDescent="0.25">
      <c r="A1152" s="5"/>
      <c r="B1152" s="5"/>
      <c r="C1152" s="5"/>
      <c r="D1152" s="5"/>
      <c r="E1152" s="5"/>
      <c r="F1152" s="5"/>
      <c r="G1152" s="5"/>
      <c r="H1152" s="5" t="s">
        <v>864</v>
      </c>
      <c r="I1152" s="6">
        <v>44774</v>
      </c>
      <c r="J1152" s="5" t="s">
        <v>809</v>
      </c>
      <c r="K1152" s="5" t="s">
        <v>815</v>
      </c>
      <c r="L1152" s="5"/>
      <c r="M1152" s="5"/>
      <c r="N1152" s="7"/>
      <c r="O1152" s="5" t="s">
        <v>554</v>
      </c>
      <c r="P1152" s="8">
        <v>3318.58</v>
      </c>
      <c r="Q1152" s="8">
        <f t="shared" si="25"/>
        <v>16592.900000000001</v>
      </c>
    </row>
    <row r="1153" spans="1:17" x14ac:dyDescent="0.25">
      <c r="A1153" s="5"/>
      <c r="B1153" s="5"/>
      <c r="C1153" s="5"/>
      <c r="D1153" s="5"/>
      <c r="E1153" s="5"/>
      <c r="F1153" s="5"/>
      <c r="G1153" s="5"/>
      <c r="H1153" s="5" t="s">
        <v>864</v>
      </c>
      <c r="I1153" s="6">
        <v>44805</v>
      </c>
      <c r="J1153" s="5" t="s">
        <v>810</v>
      </c>
      <c r="K1153" s="5" t="s">
        <v>815</v>
      </c>
      <c r="L1153" s="5"/>
      <c r="M1153" s="5"/>
      <c r="N1153" s="7"/>
      <c r="O1153" s="5" t="s">
        <v>554</v>
      </c>
      <c r="P1153" s="8">
        <v>3318.58</v>
      </c>
      <c r="Q1153" s="8">
        <f t="shared" si="25"/>
        <v>19911.48</v>
      </c>
    </row>
    <row r="1154" spans="1:17" x14ac:dyDescent="0.25">
      <c r="A1154" s="5"/>
      <c r="B1154" s="5"/>
      <c r="C1154" s="5"/>
      <c r="D1154" s="5"/>
      <c r="E1154" s="5"/>
      <c r="F1154" s="5"/>
      <c r="G1154" s="5"/>
      <c r="H1154" s="5" t="s">
        <v>864</v>
      </c>
      <c r="I1154" s="6">
        <v>44835</v>
      </c>
      <c r="J1154" s="5"/>
      <c r="K1154" s="5" t="s">
        <v>815</v>
      </c>
      <c r="L1154" s="5"/>
      <c r="M1154" s="5"/>
      <c r="N1154" s="7"/>
      <c r="O1154" s="5" t="s">
        <v>554</v>
      </c>
      <c r="P1154" s="8">
        <v>3318.58</v>
      </c>
      <c r="Q1154" s="8">
        <f t="shared" si="25"/>
        <v>23230.06</v>
      </c>
    </row>
    <row r="1155" spans="1:17" x14ac:dyDescent="0.25">
      <c r="A1155" s="5"/>
      <c r="B1155" s="5"/>
      <c r="C1155" s="5"/>
      <c r="D1155" s="5"/>
      <c r="E1155" s="5"/>
      <c r="F1155" s="5"/>
      <c r="G1155" s="5"/>
      <c r="H1155" s="5" t="s">
        <v>864</v>
      </c>
      <c r="I1155" s="6">
        <v>44866</v>
      </c>
      <c r="J1155" s="5" t="s">
        <v>811</v>
      </c>
      <c r="K1155" s="5" t="s">
        <v>815</v>
      </c>
      <c r="L1155" s="5"/>
      <c r="M1155" s="5"/>
      <c r="N1155" s="7"/>
      <c r="O1155" s="5" t="s">
        <v>554</v>
      </c>
      <c r="P1155" s="8">
        <v>3318.58</v>
      </c>
      <c r="Q1155" s="8">
        <f t="shared" si="25"/>
        <v>26548.639999999999</v>
      </c>
    </row>
    <row r="1156" spans="1:17" ht="15.75" thickBot="1" x14ac:dyDescent="0.3">
      <c r="A1156" s="5"/>
      <c r="B1156" s="5"/>
      <c r="C1156" s="5"/>
      <c r="D1156" s="5"/>
      <c r="E1156" s="5"/>
      <c r="F1156" s="5"/>
      <c r="G1156" s="5"/>
      <c r="H1156" s="5" t="s">
        <v>864</v>
      </c>
      <c r="I1156" s="6">
        <v>44896</v>
      </c>
      <c r="J1156" s="5" t="s">
        <v>812</v>
      </c>
      <c r="K1156" s="5" t="s">
        <v>815</v>
      </c>
      <c r="L1156" s="5"/>
      <c r="M1156" s="5"/>
      <c r="N1156" s="7"/>
      <c r="O1156" s="5" t="s">
        <v>554</v>
      </c>
      <c r="P1156" s="9">
        <v>3318.58</v>
      </c>
      <c r="Q1156" s="9">
        <f t="shared" si="25"/>
        <v>29867.22</v>
      </c>
    </row>
    <row r="1157" spans="1:17" x14ac:dyDescent="0.25">
      <c r="A1157" s="5"/>
      <c r="B1157" s="5"/>
      <c r="C1157" s="5"/>
      <c r="D1157" s="5"/>
      <c r="E1157" s="5" t="s">
        <v>771</v>
      </c>
      <c r="F1157" s="5"/>
      <c r="G1157" s="5"/>
      <c r="H1157" s="5"/>
      <c r="I1157" s="6"/>
      <c r="J1157" s="5"/>
      <c r="K1157" s="5"/>
      <c r="L1157" s="5"/>
      <c r="M1157" s="5"/>
      <c r="N1157" s="5"/>
      <c r="O1157" s="5"/>
      <c r="P1157" s="8">
        <f>ROUND(SUM(P1147:P1156),5)</f>
        <v>29867.22</v>
      </c>
      <c r="Q1157" s="8">
        <f>Q1156</f>
        <v>29867.22</v>
      </c>
    </row>
    <row r="1158" spans="1:17" x14ac:dyDescent="0.25">
      <c r="A1158" s="2"/>
      <c r="B1158" s="2"/>
      <c r="C1158" s="2"/>
      <c r="D1158" s="2"/>
      <c r="E1158" s="2" t="s">
        <v>772</v>
      </c>
      <c r="F1158" s="2"/>
      <c r="G1158" s="2"/>
      <c r="H1158" s="2"/>
      <c r="I1158" s="3"/>
      <c r="J1158" s="2"/>
      <c r="K1158" s="2"/>
      <c r="L1158" s="2"/>
      <c r="M1158" s="2"/>
      <c r="N1158" s="2"/>
      <c r="O1158" s="2"/>
      <c r="P1158" s="4"/>
      <c r="Q1158" s="4"/>
    </row>
    <row r="1159" spans="1:17" x14ac:dyDescent="0.25">
      <c r="A1159" s="5"/>
      <c r="B1159" s="5"/>
      <c r="C1159" s="5"/>
      <c r="D1159" s="5"/>
      <c r="E1159" s="5"/>
      <c r="F1159" s="5"/>
      <c r="G1159" s="5"/>
      <c r="H1159" s="5" t="s">
        <v>865</v>
      </c>
      <c r="I1159" s="6">
        <v>44705</v>
      </c>
      <c r="J1159" s="5"/>
      <c r="K1159" s="5" t="s">
        <v>816</v>
      </c>
      <c r="L1159" s="5"/>
      <c r="M1159" s="5"/>
      <c r="N1159" s="7"/>
      <c r="O1159" s="5" t="s">
        <v>555</v>
      </c>
      <c r="P1159" s="8">
        <v>921.86</v>
      </c>
      <c r="Q1159" s="8">
        <f>ROUND(Q1158+P1159,5)</f>
        <v>921.86</v>
      </c>
    </row>
    <row r="1160" spans="1:17" x14ac:dyDescent="0.25">
      <c r="A1160" s="5"/>
      <c r="B1160" s="5"/>
      <c r="C1160" s="5"/>
      <c r="D1160" s="5"/>
      <c r="E1160" s="5"/>
      <c r="F1160" s="5"/>
      <c r="G1160" s="5"/>
      <c r="H1160" s="5" t="s">
        <v>865</v>
      </c>
      <c r="I1160" s="6">
        <v>44833</v>
      </c>
      <c r="J1160" s="5"/>
      <c r="K1160" s="5" t="s">
        <v>447</v>
      </c>
      <c r="L1160" s="5"/>
      <c r="M1160" s="5"/>
      <c r="N1160" s="7"/>
      <c r="O1160" s="5" t="s">
        <v>556</v>
      </c>
      <c r="P1160" s="8">
        <v>4163.8900000000003</v>
      </c>
      <c r="Q1160" s="8">
        <f>ROUND(Q1159+P1160,5)</f>
        <v>5085.75</v>
      </c>
    </row>
    <row r="1161" spans="1:17" ht="15.75" thickBot="1" x14ac:dyDescent="0.3">
      <c r="A1161" s="5"/>
      <c r="B1161" s="5"/>
      <c r="C1161" s="5"/>
      <c r="D1161" s="5"/>
      <c r="E1161" s="5"/>
      <c r="F1161" s="5"/>
      <c r="G1161" s="5"/>
      <c r="H1161" s="5" t="s">
        <v>865</v>
      </c>
      <c r="I1161" s="6">
        <v>44903</v>
      </c>
      <c r="J1161" s="5"/>
      <c r="K1161" s="5" t="s">
        <v>816</v>
      </c>
      <c r="L1161" s="5" t="s">
        <v>822</v>
      </c>
      <c r="M1161" s="5"/>
      <c r="N1161" s="7"/>
      <c r="O1161" s="5" t="s">
        <v>556</v>
      </c>
      <c r="P1161" s="9">
        <v>395</v>
      </c>
      <c r="Q1161" s="9">
        <f>ROUND(Q1160+P1161,5)</f>
        <v>5480.75</v>
      </c>
    </row>
    <row r="1162" spans="1:17" x14ac:dyDescent="0.25">
      <c r="A1162" s="5"/>
      <c r="B1162" s="5"/>
      <c r="C1162" s="5"/>
      <c r="D1162" s="5"/>
      <c r="E1162" s="5" t="s">
        <v>773</v>
      </c>
      <c r="F1162" s="5"/>
      <c r="G1162" s="5"/>
      <c r="H1162" s="5"/>
      <c r="I1162" s="6"/>
      <c r="J1162" s="5"/>
      <c r="K1162" s="5"/>
      <c r="L1162" s="5"/>
      <c r="M1162" s="5"/>
      <c r="N1162" s="5"/>
      <c r="O1162" s="5"/>
      <c r="P1162" s="8">
        <f>ROUND(SUM(P1158:P1161),5)</f>
        <v>5480.75</v>
      </c>
      <c r="Q1162" s="8">
        <f>Q1161</f>
        <v>5480.75</v>
      </c>
    </row>
    <row r="1163" spans="1:17" x14ac:dyDescent="0.25">
      <c r="A1163" s="2"/>
      <c r="B1163" s="2"/>
      <c r="C1163" s="2"/>
      <c r="D1163" s="2"/>
      <c r="E1163" s="2" t="s">
        <v>774</v>
      </c>
      <c r="F1163" s="2"/>
      <c r="G1163" s="2"/>
      <c r="H1163" s="2"/>
      <c r="I1163" s="3"/>
      <c r="J1163" s="2"/>
      <c r="K1163" s="2"/>
      <c r="L1163" s="2"/>
      <c r="M1163" s="2"/>
      <c r="N1163" s="2"/>
      <c r="O1163" s="2"/>
      <c r="P1163" s="4"/>
      <c r="Q1163" s="4"/>
    </row>
    <row r="1164" spans="1:17" x14ac:dyDescent="0.25">
      <c r="A1164" s="5"/>
      <c r="B1164" s="5"/>
      <c r="C1164" s="5"/>
      <c r="D1164" s="5"/>
      <c r="E1164" s="5"/>
      <c r="F1164" s="5"/>
      <c r="G1164" s="5"/>
      <c r="H1164" s="5" t="s">
        <v>866</v>
      </c>
      <c r="I1164" s="6">
        <v>44670</v>
      </c>
      <c r="J1164" s="5" t="s">
        <v>623</v>
      </c>
      <c r="K1164" s="5" t="s">
        <v>876</v>
      </c>
      <c r="L1164" s="5"/>
      <c r="M1164" s="5"/>
      <c r="N1164" s="7"/>
      <c r="O1164" s="5" t="s">
        <v>554</v>
      </c>
      <c r="P1164" s="8">
        <v>48.67</v>
      </c>
      <c r="Q1164" s="8">
        <f>ROUND(Q1163+P1164,5)</f>
        <v>48.67</v>
      </c>
    </row>
    <row r="1165" spans="1:17" x14ac:dyDescent="0.25">
      <c r="A1165" s="5"/>
      <c r="B1165" s="5"/>
      <c r="C1165" s="5"/>
      <c r="D1165" s="5"/>
      <c r="E1165" s="5"/>
      <c r="F1165" s="5"/>
      <c r="G1165" s="5"/>
      <c r="H1165" s="5" t="s">
        <v>866</v>
      </c>
      <c r="I1165" s="6">
        <v>44672</v>
      </c>
      <c r="J1165" s="5"/>
      <c r="K1165" s="5" t="s">
        <v>817</v>
      </c>
      <c r="L1165" s="5"/>
      <c r="M1165" s="5"/>
      <c r="N1165" s="7"/>
      <c r="O1165" s="5" t="s">
        <v>554</v>
      </c>
      <c r="P1165" s="8">
        <v>177.2</v>
      </c>
      <c r="Q1165" s="8">
        <f>ROUND(Q1164+P1165,5)</f>
        <v>225.87</v>
      </c>
    </row>
    <row r="1166" spans="1:17" x14ac:dyDescent="0.25">
      <c r="A1166" s="5"/>
      <c r="B1166" s="5"/>
      <c r="C1166" s="5"/>
      <c r="D1166" s="5"/>
      <c r="E1166" s="5"/>
      <c r="F1166" s="5"/>
      <c r="G1166" s="5"/>
      <c r="H1166" s="5" t="s">
        <v>866</v>
      </c>
      <c r="I1166" s="6">
        <v>44786</v>
      </c>
      <c r="J1166" s="5"/>
      <c r="K1166" s="5" t="s">
        <v>817</v>
      </c>
      <c r="L1166" s="5"/>
      <c r="M1166" s="5"/>
      <c r="N1166" s="7"/>
      <c r="O1166" s="5" t="s">
        <v>556</v>
      </c>
      <c r="P1166" s="8">
        <v>181.51</v>
      </c>
      <c r="Q1166" s="8">
        <f>ROUND(Q1165+P1166,5)</f>
        <v>407.38</v>
      </c>
    </row>
    <row r="1167" spans="1:17" x14ac:dyDescent="0.25">
      <c r="A1167" s="5"/>
      <c r="B1167" s="5"/>
      <c r="C1167" s="5"/>
      <c r="D1167" s="5"/>
      <c r="E1167" s="5"/>
      <c r="F1167" s="5"/>
      <c r="G1167" s="5"/>
      <c r="H1167" s="5" t="s">
        <v>866</v>
      </c>
      <c r="I1167" s="6">
        <v>44833</v>
      </c>
      <c r="J1167" s="5"/>
      <c r="K1167" s="5" t="s">
        <v>447</v>
      </c>
      <c r="L1167" s="5"/>
      <c r="M1167" s="5"/>
      <c r="N1167" s="7"/>
      <c r="O1167" s="5" t="s">
        <v>556</v>
      </c>
      <c r="P1167" s="8">
        <v>945.29</v>
      </c>
      <c r="Q1167" s="8">
        <f>ROUND(Q1166+P1167,5)</f>
        <v>1352.67</v>
      </c>
    </row>
    <row r="1168" spans="1:17" ht="15.75" thickBot="1" x14ac:dyDescent="0.3">
      <c r="A1168" s="5"/>
      <c r="B1168" s="5"/>
      <c r="C1168" s="5"/>
      <c r="D1168" s="5"/>
      <c r="E1168" s="5"/>
      <c r="F1168" s="5"/>
      <c r="G1168" s="5"/>
      <c r="H1168" s="5" t="s">
        <v>866</v>
      </c>
      <c r="I1168" s="6">
        <v>44878</v>
      </c>
      <c r="J1168" s="5"/>
      <c r="K1168" s="5" t="s">
        <v>817</v>
      </c>
      <c r="L1168" s="5"/>
      <c r="M1168" s="5"/>
      <c r="N1168" s="7"/>
      <c r="O1168" s="5" t="s">
        <v>556</v>
      </c>
      <c r="P1168" s="9">
        <v>189.92</v>
      </c>
      <c r="Q1168" s="9">
        <f>ROUND(Q1167+P1168,5)</f>
        <v>1542.59</v>
      </c>
    </row>
    <row r="1169" spans="1:17" x14ac:dyDescent="0.25">
      <c r="A1169" s="5"/>
      <c r="B1169" s="5"/>
      <c r="C1169" s="5"/>
      <c r="D1169" s="5"/>
      <c r="E1169" s="5" t="s">
        <v>775</v>
      </c>
      <c r="F1169" s="5"/>
      <c r="G1169" s="5"/>
      <c r="H1169" s="5"/>
      <c r="I1169" s="6"/>
      <c r="J1169" s="5"/>
      <c r="K1169" s="5"/>
      <c r="L1169" s="5"/>
      <c r="M1169" s="5"/>
      <c r="N1169" s="5"/>
      <c r="O1169" s="5"/>
      <c r="P1169" s="8">
        <f>ROUND(SUM(P1163:P1168),5)</f>
        <v>1542.59</v>
      </c>
      <c r="Q1169" s="8">
        <f>Q1168</f>
        <v>1542.59</v>
      </c>
    </row>
    <row r="1170" spans="1:17" x14ac:dyDescent="0.25">
      <c r="A1170" s="2"/>
      <c r="B1170" s="2"/>
      <c r="C1170" s="2"/>
      <c r="D1170" s="2"/>
      <c r="E1170" s="2" t="s">
        <v>776</v>
      </c>
      <c r="F1170" s="2"/>
      <c r="G1170" s="2"/>
      <c r="H1170" s="2"/>
      <c r="I1170" s="3"/>
      <c r="J1170" s="2"/>
      <c r="K1170" s="2"/>
      <c r="L1170" s="2"/>
      <c r="M1170" s="2"/>
      <c r="N1170" s="2"/>
      <c r="O1170" s="2"/>
      <c r="P1170" s="4"/>
      <c r="Q1170" s="4"/>
    </row>
    <row r="1171" spans="1:17" x14ac:dyDescent="0.25">
      <c r="A1171" s="5"/>
      <c r="B1171" s="5"/>
      <c r="C1171" s="5"/>
      <c r="D1171" s="5"/>
      <c r="E1171" s="5"/>
      <c r="F1171" s="5"/>
      <c r="G1171" s="5"/>
      <c r="H1171" s="5" t="s">
        <v>867</v>
      </c>
      <c r="I1171" s="6">
        <v>44672</v>
      </c>
      <c r="J1171" s="5"/>
      <c r="K1171" s="5" t="s">
        <v>817</v>
      </c>
      <c r="L1171" s="5"/>
      <c r="M1171" s="5"/>
      <c r="N1171" s="7"/>
      <c r="O1171" s="5" t="s">
        <v>554</v>
      </c>
      <c r="P1171" s="8">
        <v>100</v>
      </c>
      <c r="Q1171" s="8">
        <f>ROUND(Q1170+P1171,5)</f>
        <v>100</v>
      </c>
    </row>
    <row r="1172" spans="1:17" x14ac:dyDescent="0.25">
      <c r="A1172" s="5"/>
      <c r="B1172" s="5"/>
      <c r="C1172" s="5"/>
      <c r="D1172" s="5"/>
      <c r="E1172" s="5"/>
      <c r="F1172" s="5"/>
      <c r="G1172" s="5"/>
      <c r="H1172" s="5" t="s">
        <v>867</v>
      </c>
      <c r="I1172" s="6">
        <v>44774</v>
      </c>
      <c r="J1172" s="5"/>
      <c r="K1172" s="5" t="s">
        <v>817</v>
      </c>
      <c r="L1172" s="5"/>
      <c r="M1172" s="5"/>
      <c r="N1172" s="7"/>
      <c r="O1172" s="5" t="s">
        <v>556</v>
      </c>
      <c r="P1172" s="8">
        <v>409</v>
      </c>
      <c r="Q1172" s="8">
        <f>ROUND(Q1171+P1172,5)</f>
        <v>509</v>
      </c>
    </row>
    <row r="1173" spans="1:17" ht="15.75" thickBot="1" x14ac:dyDescent="0.3">
      <c r="A1173" s="5"/>
      <c r="B1173" s="5"/>
      <c r="C1173" s="5"/>
      <c r="D1173" s="5"/>
      <c r="E1173" s="5"/>
      <c r="F1173" s="5"/>
      <c r="G1173" s="5"/>
      <c r="H1173" s="5" t="s">
        <v>867</v>
      </c>
      <c r="I1173" s="6">
        <v>44835</v>
      </c>
      <c r="J1173" s="5"/>
      <c r="K1173" s="5" t="s">
        <v>817</v>
      </c>
      <c r="L1173" s="5"/>
      <c r="M1173" s="5"/>
      <c r="N1173" s="7"/>
      <c r="O1173" s="5" t="s">
        <v>556</v>
      </c>
      <c r="P1173" s="9">
        <v>185.91</v>
      </c>
      <c r="Q1173" s="9">
        <f>ROUND(Q1172+P1173,5)</f>
        <v>694.91</v>
      </c>
    </row>
    <row r="1174" spans="1:17" x14ac:dyDescent="0.25">
      <c r="A1174" s="5"/>
      <c r="B1174" s="5"/>
      <c r="C1174" s="5"/>
      <c r="D1174" s="5"/>
      <c r="E1174" s="5" t="s">
        <v>777</v>
      </c>
      <c r="F1174" s="5"/>
      <c r="G1174" s="5"/>
      <c r="H1174" s="5"/>
      <c r="I1174" s="6"/>
      <c r="J1174" s="5"/>
      <c r="K1174" s="5"/>
      <c r="L1174" s="5"/>
      <c r="M1174" s="5"/>
      <c r="N1174" s="5"/>
      <c r="O1174" s="5"/>
      <c r="P1174" s="8">
        <f>ROUND(SUM(P1170:P1173),5)</f>
        <v>694.91</v>
      </c>
      <c r="Q1174" s="8">
        <f>Q1173</f>
        <v>694.91</v>
      </c>
    </row>
    <row r="1175" spans="1:17" x14ac:dyDescent="0.25">
      <c r="A1175" s="2"/>
      <c r="B1175" s="2"/>
      <c r="C1175" s="2"/>
      <c r="D1175" s="2"/>
      <c r="E1175" s="2" t="s">
        <v>778</v>
      </c>
      <c r="F1175" s="2"/>
      <c r="G1175" s="2"/>
      <c r="H1175" s="2"/>
      <c r="I1175" s="3"/>
      <c r="J1175" s="2"/>
      <c r="K1175" s="2"/>
      <c r="L1175" s="2"/>
      <c r="M1175" s="2"/>
      <c r="N1175" s="2"/>
      <c r="O1175" s="2"/>
      <c r="P1175" s="4"/>
      <c r="Q1175" s="4"/>
    </row>
    <row r="1176" spans="1:17" x14ac:dyDescent="0.25">
      <c r="A1176" s="5"/>
      <c r="B1176" s="5"/>
      <c r="C1176" s="5"/>
      <c r="D1176" s="5"/>
      <c r="E1176" s="5"/>
      <c r="F1176" s="5"/>
      <c r="G1176" s="5"/>
      <c r="H1176" s="5" t="s">
        <v>868</v>
      </c>
      <c r="I1176" s="6">
        <v>44671</v>
      </c>
      <c r="J1176" s="5"/>
      <c r="K1176" s="5" t="s">
        <v>818</v>
      </c>
      <c r="L1176" s="5"/>
      <c r="M1176" s="5"/>
      <c r="N1176" s="7"/>
      <c r="O1176" s="5" t="s">
        <v>554</v>
      </c>
      <c r="P1176" s="8">
        <v>151.88</v>
      </c>
      <c r="Q1176" s="8">
        <f t="shared" ref="Q1176:Q1195" si="26">ROUND(Q1175+P1176,5)</f>
        <v>151.88</v>
      </c>
    </row>
    <row r="1177" spans="1:17" x14ac:dyDescent="0.25">
      <c r="A1177" s="5"/>
      <c r="B1177" s="5"/>
      <c r="C1177" s="5"/>
      <c r="D1177" s="5"/>
      <c r="E1177" s="5"/>
      <c r="F1177" s="5"/>
      <c r="G1177" s="5"/>
      <c r="H1177" s="5" t="s">
        <v>868</v>
      </c>
      <c r="I1177" s="6">
        <v>44680</v>
      </c>
      <c r="J1177" s="5"/>
      <c r="K1177" s="5" t="s">
        <v>819</v>
      </c>
      <c r="L1177" s="5"/>
      <c r="M1177" s="5"/>
      <c r="N1177" s="7"/>
      <c r="O1177" s="5" t="s">
        <v>554</v>
      </c>
      <c r="P1177" s="8">
        <v>238.55</v>
      </c>
      <c r="Q1177" s="8">
        <f t="shared" si="26"/>
        <v>390.43</v>
      </c>
    </row>
    <row r="1178" spans="1:17" x14ac:dyDescent="0.25">
      <c r="A1178" s="5"/>
      <c r="B1178" s="5"/>
      <c r="C1178" s="5"/>
      <c r="D1178" s="5"/>
      <c r="E1178" s="5"/>
      <c r="F1178" s="5"/>
      <c r="G1178" s="5"/>
      <c r="H1178" s="5" t="s">
        <v>868</v>
      </c>
      <c r="I1178" s="6">
        <v>44692</v>
      </c>
      <c r="J1178" s="5"/>
      <c r="K1178" s="5" t="s">
        <v>819</v>
      </c>
      <c r="L1178" s="5"/>
      <c r="M1178" s="5"/>
      <c r="N1178" s="7"/>
      <c r="O1178" s="5" t="s">
        <v>556</v>
      </c>
      <c r="P1178" s="8">
        <v>199.16</v>
      </c>
      <c r="Q1178" s="8">
        <f t="shared" si="26"/>
        <v>589.59</v>
      </c>
    </row>
    <row r="1179" spans="1:17" x14ac:dyDescent="0.25">
      <c r="A1179" s="5"/>
      <c r="B1179" s="5"/>
      <c r="C1179" s="5"/>
      <c r="D1179" s="5"/>
      <c r="E1179" s="5"/>
      <c r="F1179" s="5"/>
      <c r="G1179" s="5"/>
      <c r="H1179" s="5" t="s">
        <v>868</v>
      </c>
      <c r="I1179" s="6">
        <v>44692</v>
      </c>
      <c r="J1179" s="5"/>
      <c r="K1179" s="5" t="s">
        <v>818</v>
      </c>
      <c r="L1179" s="5"/>
      <c r="M1179" s="5"/>
      <c r="N1179" s="7"/>
      <c r="O1179" s="5" t="s">
        <v>556</v>
      </c>
      <c r="P1179" s="8">
        <v>139.12</v>
      </c>
      <c r="Q1179" s="8">
        <f t="shared" si="26"/>
        <v>728.71</v>
      </c>
    </row>
    <row r="1180" spans="1:17" x14ac:dyDescent="0.25">
      <c r="A1180" s="5"/>
      <c r="B1180" s="5"/>
      <c r="C1180" s="5"/>
      <c r="D1180" s="5"/>
      <c r="E1180" s="5"/>
      <c r="F1180" s="5"/>
      <c r="G1180" s="5"/>
      <c r="H1180" s="5" t="s">
        <v>868</v>
      </c>
      <c r="I1180" s="6">
        <v>44748</v>
      </c>
      <c r="J1180" s="5"/>
      <c r="K1180" s="5" t="s">
        <v>819</v>
      </c>
      <c r="L1180" s="5"/>
      <c r="M1180" s="5"/>
      <c r="N1180" s="7"/>
      <c r="O1180" s="5" t="s">
        <v>556</v>
      </c>
      <c r="P1180" s="8">
        <v>66.8</v>
      </c>
      <c r="Q1180" s="8">
        <f t="shared" si="26"/>
        <v>795.51</v>
      </c>
    </row>
    <row r="1181" spans="1:17" x14ac:dyDescent="0.25">
      <c r="A1181" s="5"/>
      <c r="B1181" s="5"/>
      <c r="C1181" s="5"/>
      <c r="D1181" s="5"/>
      <c r="E1181" s="5"/>
      <c r="F1181" s="5"/>
      <c r="G1181" s="5"/>
      <c r="H1181" s="5" t="s">
        <v>868</v>
      </c>
      <c r="I1181" s="6">
        <v>44771</v>
      </c>
      <c r="J1181" s="5"/>
      <c r="K1181" s="5" t="s">
        <v>819</v>
      </c>
      <c r="L1181" s="5"/>
      <c r="M1181" s="5"/>
      <c r="N1181" s="7"/>
      <c r="O1181" s="5" t="s">
        <v>554</v>
      </c>
      <c r="P1181" s="8">
        <v>72.87</v>
      </c>
      <c r="Q1181" s="8">
        <f t="shared" si="26"/>
        <v>868.38</v>
      </c>
    </row>
    <row r="1182" spans="1:17" x14ac:dyDescent="0.25">
      <c r="A1182" s="5"/>
      <c r="B1182" s="5"/>
      <c r="C1182" s="5"/>
      <c r="D1182" s="5"/>
      <c r="E1182" s="5"/>
      <c r="F1182" s="5"/>
      <c r="G1182" s="5"/>
      <c r="H1182" s="5" t="s">
        <v>868</v>
      </c>
      <c r="I1182" s="6">
        <v>44771</v>
      </c>
      <c r="J1182" s="5"/>
      <c r="K1182" s="5" t="s">
        <v>818</v>
      </c>
      <c r="L1182" s="5"/>
      <c r="M1182" s="5"/>
      <c r="N1182" s="7"/>
      <c r="O1182" s="5" t="s">
        <v>554</v>
      </c>
      <c r="P1182" s="8">
        <v>275.20999999999998</v>
      </c>
      <c r="Q1182" s="8">
        <f t="shared" si="26"/>
        <v>1143.5899999999999</v>
      </c>
    </row>
    <row r="1183" spans="1:17" x14ac:dyDescent="0.25">
      <c r="A1183" s="5"/>
      <c r="B1183" s="5"/>
      <c r="C1183" s="5"/>
      <c r="D1183" s="5"/>
      <c r="E1183" s="5"/>
      <c r="F1183" s="5"/>
      <c r="G1183" s="5"/>
      <c r="H1183" s="5" t="s">
        <v>868</v>
      </c>
      <c r="I1183" s="6">
        <v>44773</v>
      </c>
      <c r="J1183" s="5"/>
      <c r="K1183" s="5" t="s">
        <v>819</v>
      </c>
      <c r="L1183" s="5"/>
      <c r="M1183" s="5"/>
      <c r="N1183" s="7"/>
      <c r="O1183" s="5" t="s">
        <v>556</v>
      </c>
      <c r="P1183" s="8">
        <v>75.45</v>
      </c>
      <c r="Q1183" s="8">
        <f t="shared" si="26"/>
        <v>1219.04</v>
      </c>
    </row>
    <row r="1184" spans="1:17" x14ac:dyDescent="0.25">
      <c r="A1184" s="5"/>
      <c r="B1184" s="5"/>
      <c r="C1184" s="5"/>
      <c r="D1184" s="5"/>
      <c r="E1184" s="5"/>
      <c r="F1184" s="5"/>
      <c r="G1184" s="5"/>
      <c r="H1184" s="5" t="s">
        <v>868</v>
      </c>
      <c r="I1184" s="6">
        <v>44784</v>
      </c>
      <c r="J1184" s="5"/>
      <c r="K1184" s="5" t="s">
        <v>820</v>
      </c>
      <c r="L1184" s="5" t="s">
        <v>823</v>
      </c>
      <c r="M1184" s="5"/>
      <c r="N1184" s="7"/>
      <c r="O1184" s="5" t="s">
        <v>556</v>
      </c>
      <c r="P1184" s="8">
        <v>189.16</v>
      </c>
      <c r="Q1184" s="8">
        <f t="shared" si="26"/>
        <v>1408.2</v>
      </c>
    </row>
    <row r="1185" spans="1:17" x14ac:dyDescent="0.25">
      <c r="A1185" s="5"/>
      <c r="B1185" s="5"/>
      <c r="C1185" s="5"/>
      <c r="D1185" s="5"/>
      <c r="E1185" s="5"/>
      <c r="F1185" s="5"/>
      <c r="G1185" s="5"/>
      <c r="H1185" s="5" t="s">
        <v>868</v>
      </c>
      <c r="I1185" s="6">
        <v>44799</v>
      </c>
      <c r="J1185" s="5"/>
      <c r="K1185" s="5" t="s">
        <v>819</v>
      </c>
      <c r="L1185" s="5"/>
      <c r="M1185" s="5"/>
      <c r="N1185" s="7"/>
      <c r="O1185" s="5" t="s">
        <v>554</v>
      </c>
      <c r="P1185" s="8">
        <v>75.45</v>
      </c>
      <c r="Q1185" s="8">
        <f t="shared" si="26"/>
        <v>1483.65</v>
      </c>
    </row>
    <row r="1186" spans="1:17" x14ac:dyDescent="0.25">
      <c r="A1186" s="5"/>
      <c r="B1186" s="5"/>
      <c r="C1186" s="5"/>
      <c r="D1186" s="5"/>
      <c r="E1186" s="5"/>
      <c r="F1186" s="5"/>
      <c r="G1186" s="5"/>
      <c r="H1186" s="5" t="s">
        <v>868</v>
      </c>
      <c r="I1186" s="6">
        <v>44799</v>
      </c>
      <c r="J1186" s="5"/>
      <c r="K1186" s="5" t="s">
        <v>820</v>
      </c>
      <c r="L1186" s="5" t="s">
        <v>824</v>
      </c>
      <c r="M1186" s="5"/>
      <c r="N1186" s="7"/>
      <c r="O1186" s="5" t="s">
        <v>554</v>
      </c>
      <c r="P1186" s="8">
        <v>189.16</v>
      </c>
      <c r="Q1186" s="8">
        <f t="shared" si="26"/>
        <v>1672.81</v>
      </c>
    </row>
    <row r="1187" spans="1:17" x14ac:dyDescent="0.25">
      <c r="A1187" s="5"/>
      <c r="B1187" s="5"/>
      <c r="C1187" s="5"/>
      <c r="D1187" s="5"/>
      <c r="E1187" s="5"/>
      <c r="F1187" s="5"/>
      <c r="G1187" s="5"/>
      <c r="H1187" s="5" t="s">
        <v>868</v>
      </c>
      <c r="I1187" s="6">
        <v>44817</v>
      </c>
      <c r="J1187" s="5"/>
      <c r="K1187" s="5" t="s">
        <v>820</v>
      </c>
      <c r="L1187" s="5" t="s">
        <v>825</v>
      </c>
      <c r="M1187" s="5"/>
      <c r="N1187" s="7"/>
      <c r="O1187" s="5" t="s">
        <v>556</v>
      </c>
      <c r="P1187" s="8">
        <v>182.59</v>
      </c>
      <c r="Q1187" s="8">
        <f t="shared" si="26"/>
        <v>1855.4</v>
      </c>
    </row>
    <row r="1188" spans="1:17" x14ac:dyDescent="0.25">
      <c r="A1188" s="5"/>
      <c r="B1188" s="5"/>
      <c r="C1188" s="5"/>
      <c r="D1188" s="5"/>
      <c r="E1188" s="5"/>
      <c r="F1188" s="5"/>
      <c r="G1188" s="5"/>
      <c r="H1188" s="5" t="s">
        <v>868</v>
      </c>
      <c r="I1188" s="6">
        <v>44831</v>
      </c>
      <c r="J1188" s="5"/>
      <c r="K1188" s="5" t="s">
        <v>819</v>
      </c>
      <c r="L1188" s="5"/>
      <c r="M1188" s="5"/>
      <c r="N1188" s="7"/>
      <c r="O1188" s="5" t="s">
        <v>556</v>
      </c>
      <c r="P1188" s="8">
        <v>74.91</v>
      </c>
      <c r="Q1188" s="8">
        <f t="shared" si="26"/>
        <v>1930.31</v>
      </c>
    </row>
    <row r="1189" spans="1:17" x14ac:dyDescent="0.25">
      <c r="A1189" s="5"/>
      <c r="B1189" s="5"/>
      <c r="C1189" s="5"/>
      <c r="D1189" s="5"/>
      <c r="E1189" s="5"/>
      <c r="F1189" s="5"/>
      <c r="G1189" s="5"/>
      <c r="H1189" s="5" t="s">
        <v>868</v>
      </c>
      <c r="I1189" s="6">
        <v>44831</v>
      </c>
      <c r="J1189" s="5"/>
      <c r="K1189" s="5" t="s">
        <v>820</v>
      </c>
      <c r="L1189" s="5" t="s">
        <v>824</v>
      </c>
      <c r="M1189" s="5"/>
      <c r="N1189" s="7"/>
      <c r="O1189" s="5" t="s">
        <v>554</v>
      </c>
      <c r="P1189" s="8">
        <v>182.59</v>
      </c>
      <c r="Q1189" s="8">
        <f t="shared" si="26"/>
        <v>2112.9</v>
      </c>
    </row>
    <row r="1190" spans="1:17" x14ac:dyDescent="0.25">
      <c r="A1190" s="5"/>
      <c r="B1190" s="5"/>
      <c r="C1190" s="5"/>
      <c r="D1190" s="5"/>
      <c r="E1190" s="5"/>
      <c r="F1190" s="5"/>
      <c r="G1190" s="5"/>
      <c r="H1190" s="5" t="s">
        <v>868</v>
      </c>
      <c r="I1190" s="6">
        <v>44847</v>
      </c>
      <c r="J1190" s="5"/>
      <c r="K1190" s="5" t="s">
        <v>819</v>
      </c>
      <c r="L1190" s="5"/>
      <c r="M1190" s="5"/>
      <c r="N1190" s="7"/>
      <c r="O1190" s="5" t="s">
        <v>556</v>
      </c>
      <c r="P1190" s="8">
        <v>82.5</v>
      </c>
      <c r="Q1190" s="8">
        <f t="shared" si="26"/>
        <v>2195.4</v>
      </c>
    </row>
    <row r="1191" spans="1:17" x14ac:dyDescent="0.25">
      <c r="A1191" s="5"/>
      <c r="B1191" s="5"/>
      <c r="C1191" s="5"/>
      <c r="D1191" s="5"/>
      <c r="E1191" s="5"/>
      <c r="F1191" s="5"/>
      <c r="G1191" s="5"/>
      <c r="H1191" s="5" t="s">
        <v>868</v>
      </c>
      <c r="I1191" s="6">
        <v>44847</v>
      </c>
      <c r="J1191" s="5"/>
      <c r="K1191" s="5" t="s">
        <v>820</v>
      </c>
      <c r="L1191" s="5"/>
      <c r="M1191" s="5"/>
      <c r="N1191" s="7"/>
      <c r="O1191" s="5" t="s">
        <v>556</v>
      </c>
      <c r="P1191" s="8">
        <v>143.09</v>
      </c>
      <c r="Q1191" s="8">
        <f t="shared" si="26"/>
        <v>2338.4899999999998</v>
      </c>
    </row>
    <row r="1192" spans="1:17" x14ac:dyDescent="0.25">
      <c r="A1192" s="5"/>
      <c r="B1192" s="5"/>
      <c r="C1192" s="5"/>
      <c r="D1192" s="5"/>
      <c r="E1192" s="5"/>
      <c r="F1192" s="5"/>
      <c r="G1192" s="5"/>
      <c r="H1192" s="5" t="s">
        <v>868</v>
      </c>
      <c r="I1192" s="6">
        <v>44874</v>
      </c>
      <c r="J1192" s="5"/>
      <c r="K1192" s="5" t="s">
        <v>819</v>
      </c>
      <c r="L1192" s="5"/>
      <c r="M1192" s="5"/>
      <c r="N1192" s="7"/>
      <c r="O1192" s="5" t="s">
        <v>556</v>
      </c>
      <c r="P1192" s="8">
        <v>171.88</v>
      </c>
      <c r="Q1192" s="8">
        <f t="shared" si="26"/>
        <v>2510.37</v>
      </c>
    </row>
    <row r="1193" spans="1:17" x14ac:dyDescent="0.25">
      <c r="A1193" s="5"/>
      <c r="B1193" s="5"/>
      <c r="C1193" s="5"/>
      <c r="D1193" s="5"/>
      <c r="E1193" s="5"/>
      <c r="F1193" s="5"/>
      <c r="G1193" s="5"/>
      <c r="H1193" s="5" t="s">
        <v>868</v>
      </c>
      <c r="I1193" s="6">
        <v>44875</v>
      </c>
      <c r="J1193" s="5"/>
      <c r="K1193" s="5" t="s">
        <v>820</v>
      </c>
      <c r="L1193" s="5"/>
      <c r="M1193" s="5"/>
      <c r="N1193" s="7"/>
      <c r="O1193" s="5" t="s">
        <v>556</v>
      </c>
      <c r="P1193" s="8">
        <v>140.19999999999999</v>
      </c>
      <c r="Q1193" s="8">
        <f t="shared" si="26"/>
        <v>2650.57</v>
      </c>
    </row>
    <row r="1194" spans="1:17" x14ac:dyDescent="0.25">
      <c r="A1194" s="5"/>
      <c r="B1194" s="5"/>
      <c r="C1194" s="5"/>
      <c r="D1194" s="5"/>
      <c r="E1194" s="5"/>
      <c r="F1194" s="5"/>
      <c r="G1194" s="5"/>
      <c r="H1194" s="5" t="s">
        <v>868</v>
      </c>
      <c r="I1194" s="6">
        <v>44924</v>
      </c>
      <c r="J1194" s="5"/>
      <c r="K1194" s="5" t="s">
        <v>819</v>
      </c>
      <c r="L1194" s="5"/>
      <c r="M1194" s="5"/>
      <c r="N1194" s="7"/>
      <c r="O1194" s="5" t="s">
        <v>554</v>
      </c>
      <c r="P1194" s="8">
        <v>567.03</v>
      </c>
      <c r="Q1194" s="8">
        <f t="shared" si="26"/>
        <v>3217.6</v>
      </c>
    </row>
    <row r="1195" spans="1:17" ht="15.75" thickBot="1" x14ac:dyDescent="0.3">
      <c r="A1195" s="5"/>
      <c r="B1195" s="5"/>
      <c r="C1195" s="5"/>
      <c r="D1195" s="5"/>
      <c r="E1195" s="5"/>
      <c r="F1195" s="5"/>
      <c r="G1195" s="5"/>
      <c r="H1195" s="5" t="s">
        <v>868</v>
      </c>
      <c r="I1195" s="6">
        <v>44924</v>
      </c>
      <c r="J1195" s="5"/>
      <c r="K1195" s="5" t="s">
        <v>820</v>
      </c>
      <c r="L1195" s="5" t="s">
        <v>824</v>
      </c>
      <c r="M1195" s="5"/>
      <c r="N1195" s="7"/>
      <c r="O1195" s="5" t="s">
        <v>554</v>
      </c>
      <c r="P1195" s="8">
        <v>178.31</v>
      </c>
      <c r="Q1195" s="8">
        <f t="shared" si="26"/>
        <v>3395.91</v>
      </c>
    </row>
    <row r="1196" spans="1:17" ht="15.75" thickBot="1" x14ac:dyDescent="0.3">
      <c r="A1196" s="5"/>
      <c r="B1196" s="5"/>
      <c r="C1196" s="5"/>
      <c r="D1196" s="5"/>
      <c r="E1196" s="5" t="s">
        <v>779</v>
      </c>
      <c r="F1196" s="5"/>
      <c r="G1196" s="5"/>
      <c r="H1196" s="5"/>
      <c r="I1196" s="6"/>
      <c r="J1196" s="5"/>
      <c r="K1196" s="5"/>
      <c r="L1196" s="5"/>
      <c r="M1196" s="5"/>
      <c r="N1196" s="5"/>
      <c r="O1196" s="5"/>
      <c r="P1196" s="11">
        <f>ROUND(SUM(P1175:P1195),5)</f>
        <v>3395.91</v>
      </c>
      <c r="Q1196" s="11">
        <f>Q1195</f>
        <v>3395.91</v>
      </c>
    </row>
    <row r="1197" spans="1:17" ht="15.75" thickBot="1" x14ac:dyDescent="0.3">
      <c r="A1197" s="5"/>
      <c r="B1197" s="5"/>
      <c r="C1197" s="5"/>
      <c r="D1197" s="5" t="s">
        <v>780</v>
      </c>
      <c r="E1197" s="5"/>
      <c r="F1197" s="5"/>
      <c r="G1197" s="5"/>
      <c r="H1197" s="5"/>
      <c r="I1197" s="6"/>
      <c r="J1197" s="5"/>
      <c r="K1197" s="5"/>
      <c r="L1197" s="5"/>
      <c r="M1197" s="5"/>
      <c r="N1197" s="5"/>
      <c r="O1197" s="5"/>
      <c r="P1197" s="11">
        <f>ROUND(P533+P546+P550+P555+P579+P595+P599+P604+P607+P617+P626+P638+P641+P652+P666+P695+P1137+P1141+P1146+P1157+P1162+P1169+P1174+P1196,5)</f>
        <v>372013.32</v>
      </c>
      <c r="Q1197" s="11">
        <f>ROUND(Q533+Q546+Q550+Q555+Q579+Q595+Q599+Q604+Q607+Q617+Q626+Q638+Q641+Q652+Q666+Q695+Q1137+Q1141+Q1146+Q1157+Q1162+Q1169+Q1174+Q1196,5)</f>
        <v>372013.32</v>
      </c>
    </row>
    <row r="1198" spans="1:17" ht="15.75" thickBot="1" x14ac:dyDescent="0.3">
      <c r="A1198" s="5"/>
      <c r="B1198" s="5" t="s">
        <v>781</v>
      </c>
      <c r="C1198" s="5"/>
      <c r="D1198" s="5"/>
      <c r="E1198" s="5"/>
      <c r="F1198" s="5"/>
      <c r="G1198" s="5"/>
      <c r="H1198" s="5"/>
      <c r="I1198" s="6"/>
      <c r="J1198" s="5"/>
      <c r="K1198" s="5"/>
      <c r="L1198" s="5"/>
      <c r="M1198" s="5"/>
      <c r="N1198" s="5"/>
      <c r="O1198" s="5"/>
      <c r="P1198" s="11">
        <f>ROUND(P528-P1197,5)</f>
        <v>-676258.73</v>
      </c>
      <c r="Q1198" s="11">
        <f>ROUND(Q528-Q1197,5)</f>
        <v>389652.61</v>
      </c>
    </row>
    <row r="1199" spans="1:17" s="13" customFormat="1" ht="12" thickBot="1" x14ac:dyDescent="0.25">
      <c r="A1199" s="2" t="s">
        <v>782</v>
      </c>
      <c r="B1199" s="2"/>
      <c r="C1199" s="2"/>
      <c r="D1199" s="2"/>
      <c r="E1199" s="2"/>
      <c r="F1199" s="2"/>
      <c r="G1199" s="2"/>
      <c r="H1199" s="2"/>
      <c r="I1199" s="3"/>
      <c r="J1199" s="2"/>
      <c r="K1199" s="2"/>
      <c r="L1199" s="2"/>
      <c r="M1199" s="2"/>
      <c r="N1199" s="2"/>
      <c r="O1199" s="2"/>
      <c r="P1199" s="12">
        <f>P1198</f>
        <v>-676258.73</v>
      </c>
      <c r="Q1199" s="12">
        <f>Q1198</f>
        <v>389652.61</v>
      </c>
    </row>
    <row r="1200" spans="1:17" ht="15.75" thickTop="1"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5F14C-701E-41E0-BE1F-EDB05B6CD02B}">
  <dimension ref="A1:E413"/>
  <sheetViews>
    <sheetView topLeftCell="A378" workbookViewId="0">
      <selection activeCell="H19" sqref="H19"/>
    </sheetView>
  </sheetViews>
  <sheetFormatPr defaultRowHeight="15" x14ac:dyDescent="0.25"/>
  <cols>
    <col min="3" max="3" width="11.7109375" bestFit="1" customWidth="1"/>
    <col min="4" max="4" width="27.85546875" bestFit="1" customWidth="1"/>
  </cols>
  <sheetData>
    <row r="1" spans="1:5" ht="15.75" thickBot="1" x14ac:dyDescent="0.3">
      <c r="A1" s="15" t="s">
        <v>0</v>
      </c>
      <c r="B1" s="15" t="s">
        <v>1</v>
      </c>
      <c r="C1" s="15" t="s">
        <v>2</v>
      </c>
      <c r="D1" s="15" t="s">
        <v>3</v>
      </c>
      <c r="E1" s="15" t="s">
        <v>8</v>
      </c>
    </row>
    <row r="2" spans="1:5" ht="15.75" thickTop="1" x14ac:dyDescent="0.25">
      <c r="A2" s="5" t="s">
        <v>23</v>
      </c>
      <c r="B2" s="6">
        <v>44656</v>
      </c>
      <c r="C2" s="5" t="s">
        <v>29</v>
      </c>
      <c r="D2" s="5" t="s">
        <v>405</v>
      </c>
      <c r="E2" s="8">
        <v>21750</v>
      </c>
    </row>
    <row r="3" spans="1:5" x14ac:dyDescent="0.25">
      <c r="A3" s="5" t="s">
        <v>23</v>
      </c>
      <c r="B3" s="6">
        <v>44662</v>
      </c>
      <c r="C3" s="5" t="s">
        <v>30</v>
      </c>
      <c r="D3" s="5" t="s">
        <v>406</v>
      </c>
      <c r="E3" s="8">
        <v>2700</v>
      </c>
    </row>
    <row r="4" spans="1:5" x14ac:dyDescent="0.25">
      <c r="A4" s="5" t="s">
        <v>23</v>
      </c>
      <c r="B4" s="6">
        <v>44662</v>
      </c>
      <c r="C4" s="5" t="s">
        <v>31</v>
      </c>
      <c r="D4" s="5" t="s">
        <v>407</v>
      </c>
      <c r="E4" s="8">
        <v>1750</v>
      </c>
    </row>
    <row r="5" spans="1:5" x14ac:dyDescent="0.25">
      <c r="A5" s="5" t="s">
        <v>23</v>
      </c>
      <c r="B5" s="6">
        <v>44678</v>
      </c>
      <c r="C5" s="5" t="s">
        <v>32</v>
      </c>
      <c r="D5" s="5" t="s">
        <v>408</v>
      </c>
      <c r="E5" s="8">
        <v>17000</v>
      </c>
    </row>
    <row r="6" spans="1:5" x14ac:dyDescent="0.25">
      <c r="A6" s="5" t="s">
        <v>23</v>
      </c>
      <c r="B6" s="6">
        <v>44678</v>
      </c>
      <c r="C6" s="5" t="s">
        <v>32</v>
      </c>
      <c r="D6" s="5" t="s">
        <v>408</v>
      </c>
      <c r="E6" s="8">
        <v>4000</v>
      </c>
    </row>
    <row r="7" spans="1:5" x14ac:dyDescent="0.25">
      <c r="A7" s="5" t="s">
        <v>23</v>
      </c>
      <c r="B7" s="6">
        <v>44680</v>
      </c>
      <c r="C7" s="5" t="s">
        <v>33</v>
      </c>
      <c r="D7" s="5" t="s">
        <v>409</v>
      </c>
      <c r="E7" s="8">
        <v>9500</v>
      </c>
    </row>
    <row r="8" spans="1:5" x14ac:dyDescent="0.25">
      <c r="A8" s="5" t="s">
        <v>23</v>
      </c>
      <c r="B8" s="6">
        <v>44680</v>
      </c>
      <c r="C8" s="5" t="s">
        <v>34</v>
      </c>
      <c r="D8" s="5" t="s">
        <v>410</v>
      </c>
      <c r="E8" s="8">
        <v>7286.18</v>
      </c>
    </row>
    <row r="9" spans="1:5" x14ac:dyDescent="0.25">
      <c r="A9" s="5" t="s">
        <v>23</v>
      </c>
      <c r="B9" s="6">
        <v>44680</v>
      </c>
      <c r="C9" s="5" t="s">
        <v>34</v>
      </c>
      <c r="D9" s="5" t="s">
        <v>410</v>
      </c>
      <c r="E9" s="8">
        <v>-728.62</v>
      </c>
    </row>
    <row r="10" spans="1:5" x14ac:dyDescent="0.25">
      <c r="A10" s="5" t="s">
        <v>23</v>
      </c>
      <c r="B10" s="6">
        <v>44712</v>
      </c>
      <c r="C10" s="5" t="s">
        <v>35</v>
      </c>
      <c r="D10" s="5" t="s">
        <v>411</v>
      </c>
      <c r="E10" s="8">
        <v>975</v>
      </c>
    </row>
    <row r="11" spans="1:5" x14ac:dyDescent="0.25">
      <c r="A11" s="5" t="s">
        <v>23</v>
      </c>
      <c r="B11" s="6">
        <v>44715</v>
      </c>
      <c r="C11" s="5" t="s">
        <v>36</v>
      </c>
      <c r="D11" s="5" t="s">
        <v>412</v>
      </c>
      <c r="E11" s="8">
        <v>1495.7</v>
      </c>
    </row>
    <row r="12" spans="1:5" x14ac:dyDescent="0.25">
      <c r="A12" s="5" t="s">
        <v>23</v>
      </c>
      <c r="B12" s="6">
        <v>44718</v>
      </c>
      <c r="C12" s="5" t="s">
        <v>37</v>
      </c>
      <c r="D12" s="5" t="s">
        <v>413</v>
      </c>
      <c r="E12" s="8">
        <v>636</v>
      </c>
    </row>
    <row r="13" spans="1:5" x14ac:dyDescent="0.25">
      <c r="A13" s="5" t="s">
        <v>23</v>
      </c>
      <c r="B13" s="6">
        <v>44718</v>
      </c>
      <c r="C13" s="5" t="s">
        <v>38</v>
      </c>
      <c r="D13" s="5" t="s">
        <v>413</v>
      </c>
      <c r="E13" s="8">
        <v>632.54999999999995</v>
      </c>
    </row>
    <row r="14" spans="1:5" x14ac:dyDescent="0.25">
      <c r="A14" s="5" t="s">
        <v>23</v>
      </c>
      <c r="B14" s="6">
        <v>44718</v>
      </c>
      <c r="C14" s="5" t="s">
        <v>39</v>
      </c>
      <c r="D14" s="5" t="s">
        <v>413</v>
      </c>
      <c r="E14" s="8">
        <v>619.6</v>
      </c>
    </row>
    <row r="15" spans="1:5" x14ac:dyDescent="0.25">
      <c r="A15" s="5" t="s">
        <v>23</v>
      </c>
      <c r="B15" s="6">
        <v>44718</v>
      </c>
      <c r="C15" s="5" t="s">
        <v>40</v>
      </c>
      <c r="D15" s="5" t="s">
        <v>413</v>
      </c>
      <c r="E15" s="8">
        <v>732.23</v>
      </c>
    </row>
    <row r="16" spans="1:5" x14ac:dyDescent="0.25">
      <c r="A16" s="5" t="s">
        <v>23</v>
      </c>
      <c r="B16" s="6">
        <v>44719</v>
      </c>
      <c r="C16" s="5" t="s">
        <v>41</v>
      </c>
      <c r="D16" s="5" t="s">
        <v>412</v>
      </c>
      <c r="E16" s="8">
        <v>200</v>
      </c>
    </row>
    <row r="17" spans="1:5" x14ac:dyDescent="0.25">
      <c r="A17" s="5" t="s">
        <v>23</v>
      </c>
      <c r="B17" s="6">
        <v>44719</v>
      </c>
      <c r="C17" s="5" t="s">
        <v>42</v>
      </c>
      <c r="D17" s="5" t="s">
        <v>413</v>
      </c>
      <c r="E17" s="8">
        <v>390.96</v>
      </c>
    </row>
    <row r="18" spans="1:5" x14ac:dyDescent="0.25">
      <c r="A18" s="5" t="s">
        <v>23</v>
      </c>
      <c r="B18" s="6">
        <v>44719</v>
      </c>
      <c r="C18" s="5" t="s">
        <v>43</v>
      </c>
      <c r="D18" s="5" t="s">
        <v>413</v>
      </c>
      <c r="E18" s="8">
        <v>128.25</v>
      </c>
    </row>
    <row r="19" spans="1:5" x14ac:dyDescent="0.25">
      <c r="A19" s="5" t="s">
        <v>23</v>
      </c>
      <c r="B19" s="6">
        <v>44719</v>
      </c>
      <c r="C19" s="5" t="s">
        <v>44</v>
      </c>
      <c r="D19" s="5" t="s">
        <v>412</v>
      </c>
      <c r="E19" s="8">
        <v>200</v>
      </c>
    </row>
    <row r="20" spans="1:5" x14ac:dyDescent="0.25">
      <c r="A20" s="5" t="s">
        <v>23</v>
      </c>
      <c r="B20" s="6">
        <v>44720</v>
      </c>
      <c r="C20" s="5" t="s">
        <v>45</v>
      </c>
      <c r="D20" s="5" t="s">
        <v>413</v>
      </c>
      <c r="E20" s="8">
        <v>128.25</v>
      </c>
    </row>
    <row r="21" spans="1:5" x14ac:dyDescent="0.25">
      <c r="A21" s="5" t="s">
        <v>23</v>
      </c>
      <c r="B21" s="6">
        <v>44722</v>
      </c>
      <c r="C21" s="5" t="s">
        <v>46</v>
      </c>
      <c r="D21" s="5" t="s">
        <v>413</v>
      </c>
      <c r="E21" s="8">
        <v>897.75</v>
      </c>
    </row>
    <row r="22" spans="1:5" x14ac:dyDescent="0.25">
      <c r="A22" s="5" t="s">
        <v>23</v>
      </c>
      <c r="B22" s="6">
        <v>44725</v>
      </c>
      <c r="C22" s="5" t="s">
        <v>47</v>
      </c>
      <c r="D22" s="5" t="s">
        <v>414</v>
      </c>
      <c r="E22" s="8">
        <v>8200</v>
      </c>
    </row>
    <row r="23" spans="1:5" x14ac:dyDescent="0.25">
      <c r="A23" s="5" t="s">
        <v>23</v>
      </c>
      <c r="B23" s="6">
        <v>44725</v>
      </c>
      <c r="C23" s="5" t="s">
        <v>48</v>
      </c>
      <c r="D23" s="5" t="s">
        <v>413</v>
      </c>
      <c r="E23" s="8">
        <v>813.02</v>
      </c>
    </row>
    <row r="24" spans="1:5" x14ac:dyDescent="0.25">
      <c r="A24" s="5" t="s">
        <v>23</v>
      </c>
      <c r="B24" s="6">
        <v>44725</v>
      </c>
      <c r="C24" s="5" t="s">
        <v>49</v>
      </c>
      <c r="D24" s="5" t="s">
        <v>412</v>
      </c>
      <c r="E24" s="8">
        <v>240</v>
      </c>
    </row>
    <row r="25" spans="1:5" x14ac:dyDescent="0.25">
      <c r="A25" s="5" t="s">
        <v>23</v>
      </c>
      <c r="B25" s="6">
        <v>44726</v>
      </c>
      <c r="C25" s="5" t="s">
        <v>50</v>
      </c>
      <c r="D25" s="5" t="s">
        <v>413</v>
      </c>
      <c r="E25" s="8">
        <v>395.41</v>
      </c>
    </row>
    <row r="26" spans="1:5" x14ac:dyDescent="0.25">
      <c r="A26" s="5" t="s">
        <v>23</v>
      </c>
      <c r="B26" s="6">
        <v>44726</v>
      </c>
      <c r="C26" s="5" t="s">
        <v>51</v>
      </c>
      <c r="D26" s="5" t="s">
        <v>413</v>
      </c>
      <c r="E26" s="8">
        <v>547.55999999999995</v>
      </c>
    </row>
    <row r="27" spans="1:5" x14ac:dyDescent="0.25">
      <c r="A27" s="5" t="s">
        <v>23</v>
      </c>
      <c r="B27" s="6">
        <v>44727</v>
      </c>
      <c r="C27" s="5" t="s">
        <v>52</v>
      </c>
      <c r="D27" s="5" t="s">
        <v>413</v>
      </c>
      <c r="E27" s="8">
        <v>576.84</v>
      </c>
    </row>
    <row r="28" spans="1:5" x14ac:dyDescent="0.25">
      <c r="A28" s="5" t="s">
        <v>23</v>
      </c>
      <c r="B28" s="6">
        <v>44727</v>
      </c>
      <c r="C28" s="5" t="s">
        <v>53</v>
      </c>
      <c r="D28" s="5" t="s">
        <v>413</v>
      </c>
      <c r="E28" s="8">
        <v>979.75</v>
      </c>
    </row>
    <row r="29" spans="1:5" x14ac:dyDescent="0.25">
      <c r="A29" s="5" t="s">
        <v>23</v>
      </c>
      <c r="B29" s="6">
        <v>44727</v>
      </c>
      <c r="C29" s="5" t="s">
        <v>54</v>
      </c>
      <c r="D29" s="5" t="s">
        <v>413</v>
      </c>
      <c r="E29" s="8">
        <v>844.12</v>
      </c>
    </row>
    <row r="30" spans="1:5" x14ac:dyDescent="0.25">
      <c r="A30" s="5" t="s">
        <v>23</v>
      </c>
      <c r="B30" s="6">
        <v>44728</v>
      </c>
      <c r="C30" s="5" t="s">
        <v>55</v>
      </c>
      <c r="D30" s="5" t="s">
        <v>413</v>
      </c>
      <c r="E30" s="8">
        <v>743.52</v>
      </c>
    </row>
    <row r="31" spans="1:5" x14ac:dyDescent="0.25">
      <c r="A31" s="5" t="s">
        <v>23</v>
      </c>
      <c r="B31" s="6">
        <v>44728</v>
      </c>
      <c r="C31" s="5" t="s">
        <v>56</v>
      </c>
      <c r="D31" s="5" t="s">
        <v>413</v>
      </c>
      <c r="E31" s="8">
        <v>352.75</v>
      </c>
    </row>
    <row r="32" spans="1:5" x14ac:dyDescent="0.25">
      <c r="A32" s="5" t="s">
        <v>23</v>
      </c>
      <c r="B32" s="6">
        <v>44732</v>
      </c>
      <c r="C32" s="5" t="s">
        <v>57</v>
      </c>
      <c r="D32" s="5" t="s">
        <v>413</v>
      </c>
      <c r="E32" s="8">
        <v>645.54</v>
      </c>
    </row>
    <row r="33" spans="1:5" x14ac:dyDescent="0.25">
      <c r="A33" s="5" t="s">
        <v>23</v>
      </c>
      <c r="B33" s="6">
        <v>44733</v>
      </c>
      <c r="C33" s="5" t="s">
        <v>58</v>
      </c>
      <c r="D33" s="5" t="s">
        <v>412</v>
      </c>
      <c r="E33" s="8">
        <v>250</v>
      </c>
    </row>
    <row r="34" spans="1:5" x14ac:dyDescent="0.25">
      <c r="A34" s="5" t="s">
        <v>23</v>
      </c>
      <c r="B34" s="6">
        <v>44733</v>
      </c>
      <c r="C34" s="5" t="s">
        <v>59</v>
      </c>
      <c r="D34" s="5" t="s">
        <v>412</v>
      </c>
      <c r="E34" s="8">
        <v>250</v>
      </c>
    </row>
    <row r="35" spans="1:5" x14ac:dyDescent="0.25">
      <c r="A35" s="5" t="s">
        <v>23</v>
      </c>
      <c r="B35" s="6">
        <v>44733</v>
      </c>
      <c r="C35" s="5" t="s">
        <v>60</v>
      </c>
      <c r="D35" s="5" t="s">
        <v>413</v>
      </c>
      <c r="E35" s="8">
        <v>526.66</v>
      </c>
    </row>
    <row r="36" spans="1:5" x14ac:dyDescent="0.25">
      <c r="A36" s="5" t="s">
        <v>23</v>
      </c>
      <c r="B36" s="6">
        <v>44733</v>
      </c>
      <c r="C36" s="5" t="s">
        <v>61</v>
      </c>
      <c r="D36" s="5" t="s">
        <v>412</v>
      </c>
      <c r="E36" s="8">
        <v>250</v>
      </c>
    </row>
    <row r="37" spans="1:5" x14ac:dyDescent="0.25">
      <c r="A37" s="5" t="s">
        <v>23</v>
      </c>
      <c r="B37" s="6">
        <v>44733</v>
      </c>
      <c r="C37" s="5" t="s">
        <v>62</v>
      </c>
      <c r="D37" s="5" t="s">
        <v>412</v>
      </c>
      <c r="E37" s="8">
        <v>250</v>
      </c>
    </row>
    <row r="38" spans="1:5" x14ac:dyDescent="0.25">
      <c r="A38" s="5" t="s">
        <v>23</v>
      </c>
      <c r="B38" s="6">
        <v>44736</v>
      </c>
      <c r="C38" s="5" t="s">
        <v>63</v>
      </c>
      <c r="D38" s="5" t="s">
        <v>412</v>
      </c>
      <c r="E38" s="8">
        <v>140</v>
      </c>
    </row>
    <row r="39" spans="1:5" x14ac:dyDescent="0.25">
      <c r="A39" s="5" t="s">
        <v>23</v>
      </c>
      <c r="B39" s="6">
        <v>44736</v>
      </c>
      <c r="C39" s="5" t="s">
        <v>64</v>
      </c>
      <c r="D39" s="5" t="s">
        <v>412</v>
      </c>
      <c r="E39" s="8">
        <v>1839.95</v>
      </c>
    </row>
    <row r="40" spans="1:5" x14ac:dyDescent="0.25">
      <c r="A40" s="5" t="s">
        <v>23</v>
      </c>
      <c r="B40" s="6">
        <v>44736</v>
      </c>
      <c r="C40" s="5" t="s">
        <v>65</v>
      </c>
      <c r="D40" s="5" t="s">
        <v>413</v>
      </c>
      <c r="E40" s="8">
        <v>765.56</v>
      </c>
    </row>
    <row r="41" spans="1:5" x14ac:dyDescent="0.25">
      <c r="A41" s="5" t="s">
        <v>23</v>
      </c>
      <c r="B41" s="6">
        <v>44736</v>
      </c>
      <c r="C41" s="5" t="s">
        <v>66</v>
      </c>
      <c r="D41" s="5" t="s">
        <v>413</v>
      </c>
      <c r="E41" s="8">
        <v>632.54999999999995</v>
      </c>
    </row>
    <row r="42" spans="1:5" x14ac:dyDescent="0.25">
      <c r="A42" s="5" t="s">
        <v>23</v>
      </c>
      <c r="B42" s="6">
        <v>44736</v>
      </c>
      <c r="C42" s="5" t="s">
        <v>67</v>
      </c>
      <c r="D42" s="5" t="s">
        <v>412</v>
      </c>
      <c r="E42" s="8">
        <v>140</v>
      </c>
    </row>
    <row r="43" spans="1:5" x14ac:dyDescent="0.25">
      <c r="A43" s="5" t="s">
        <v>23</v>
      </c>
      <c r="B43" s="6">
        <v>44736</v>
      </c>
      <c r="C43" s="5" t="s">
        <v>68</v>
      </c>
      <c r="D43" s="5" t="s">
        <v>412</v>
      </c>
      <c r="E43" s="8">
        <v>1839.95</v>
      </c>
    </row>
    <row r="44" spans="1:5" x14ac:dyDescent="0.25">
      <c r="A44" s="5" t="s">
        <v>23</v>
      </c>
      <c r="B44" s="6">
        <v>44739</v>
      </c>
      <c r="C44" s="5" t="s">
        <v>69</v>
      </c>
      <c r="D44" s="5" t="s">
        <v>412</v>
      </c>
      <c r="E44" s="8">
        <v>889.84</v>
      </c>
    </row>
    <row r="45" spans="1:5" x14ac:dyDescent="0.25">
      <c r="A45" s="5" t="s">
        <v>23</v>
      </c>
      <c r="B45" s="6">
        <v>44739</v>
      </c>
      <c r="C45" s="5" t="s">
        <v>70</v>
      </c>
      <c r="D45" s="5" t="s">
        <v>412</v>
      </c>
      <c r="E45" s="8">
        <v>889.84</v>
      </c>
    </row>
    <row r="46" spans="1:5" x14ac:dyDescent="0.25">
      <c r="A46" s="5" t="s">
        <v>23</v>
      </c>
      <c r="B46" s="6">
        <v>44741</v>
      </c>
      <c r="C46" s="5" t="s">
        <v>71</v>
      </c>
      <c r="D46" s="5" t="s">
        <v>412</v>
      </c>
      <c r="E46" s="8">
        <v>1300</v>
      </c>
    </row>
    <row r="47" spans="1:5" x14ac:dyDescent="0.25">
      <c r="A47" s="5" t="s">
        <v>23</v>
      </c>
      <c r="B47" s="6">
        <v>44741</v>
      </c>
      <c r="C47" s="5" t="s">
        <v>72</v>
      </c>
      <c r="D47" s="5" t="s">
        <v>412</v>
      </c>
      <c r="E47" s="8">
        <v>1300</v>
      </c>
    </row>
    <row r="48" spans="1:5" x14ac:dyDescent="0.25">
      <c r="A48" s="5" t="s">
        <v>23</v>
      </c>
      <c r="B48" s="6">
        <v>44743</v>
      </c>
      <c r="C48" s="5" t="s">
        <v>73</v>
      </c>
      <c r="D48" s="5" t="s">
        <v>415</v>
      </c>
      <c r="E48" s="8">
        <v>2500</v>
      </c>
    </row>
    <row r="49" spans="1:5" x14ac:dyDescent="0.25">
      <c r="A49" s="5" t="s">
        <v>23</v>
      </c>
      <c r="B49" s="6">
        <v>44743</v>
      </c>
      <c r="C49" s="5" t="s">
        <v>73</v>
      </c>
      <c r="D49" s="5" t="s">
        <v>415</v>
      </c>
      <c r="E49" s="8">
        <v>58</v>
      </c>
    </row>
    <row r="50" spans="1:5" x14ac:dyDescent="0.25">
      <c r="A50" s="5" t="s">
        <v>23</v>
      </c>
      <c r="B50" s="6">
        <v>44743</v>
      </c>
      <c r="C50" s="5" t="s">
        <v>74</v>
      </c>
      <c r="D50" s="5" t="s">
        <v>416</v>
      </c>
      <c r="E50" s="8">
        <v>0</v>
      </c>
    </row>
    <row r="51" spans="1:5" x14ac:dyDescent="0.25">
      <c r="A51" s="5" t="s">
        <v>23</v>
      </c>
      <c r="B51" s="6">
        <v>44743</v>
      </c>
      <c r="C51" s="5" t="s">
        <v>74</v>
      </c>
      <c r="D51" s="5" t="s">
        <v>416</v>
      </c>
      <c r="E51" s="8">
        <v>0</v>
      </c>
    </row>
    <row r="52" spans="1:5" x14ac:dyDescent="0.25">
      <c r="A52" s="5" t="s">
        <v>23</v>
      </c>
      <c r="B52" s="6">
        <v>44743</v>
      </c>
      <c r="C52" s="5" t="s">
        <v>74</v>
      </c>
      <c r="D52" s="5" t="s">
        <v>416</v>
      </c>
      <c r="E52" s="8">
        <v>2000</v>
      </c>
    </row>
    <row r="53" spans="1:5" x14ac:dyDescent="0.25">
      <c r="A53" s="5" t="s">
        <v>23</v>
      </c>
      <c r="B53" s="6">
        <v>44743</v>
      </c>
      <c r="C53" s="5" t="s">
        <v>75</v>
      </c>
      <c r="D53" s="5" t="s">
        <v>413</v>
      </c>
      <c r="E53" s="8">
        <v>562.54999999999995</v>
      </c>
    </row>
    <row r="54" spans="1:5" x14ac:dyDescent="0.25">
      <c r="A54" s="5" t="s">
        <v>23</v>
      </c>
      <c r="B54" s="6">
        <v>44743</v>
      </c>
      <c r="C54" s="5" t="s">
        <v>76</v>
      </c>
      <c r="D54" s="5" t="s">
        <v>413</v>
      </c>
      <c r="E54" s="8">
        <v>1044.08</v>
      </c>
    </row>
    <row r="55" spans="1:5" x14ac:dyDescent="0.25">
      <c r="A55" s="5" t="s">
        <v>23</v>
      </c>
      <c r="B55" s="6">
        <v>44743</v>
      </c>
      <c r="C55" s="5" t="s">
        <v>77</v>
      </c>
      <c r="D55" s="5" t="s">
        <v>413</v>
      </c>
      <c r="E55" s="8">
        <v>854.78</v>
      </c>
    </row>
    <row r="56" spans="1:5" x14ac:dyDescent="0.25">
      <c r="A56" s="5" t="s">
        <v>23</v>
      </c>
      <c r="B56" s="6">
        <v>44743</v>
      </c>
      <c r="C56" s="5" t="s">
        <v>78</v>
      </c>
      <c r="D56" s="5" t="s">
        <v>413</v>
      </c>
      <c r="E56" s="8">
        <v>732.14</v>
      </c>
    </row>
    <row r="57" spans="1:5" x14ac:dyDescent="0.25">
      <c r="A57" s="5" t="s">
        <v>23</v>
      </c>
      <c r="B57" s="6">
        <v>44743</v>
      </c>
      <c r="C57" s="5" t="s">
        <v>79</v>
      </c>
      <c r="D57" s="5" t="s">
        <v>413</v>
      </c>
      <c r="E57" s="8">
        <v>666.41</v>
      </c>
    </row>
    <row r="58" spans="1:5" x14ac:dyDescent="0.25">
      <c r="A58" s="5" t="s">
        <v>23</v>
      </c>
      <c r="B58" s="6">
        <v>44743</v>
      </c>
      <c r="C58" s="5" t="s">
        <v>80</v>
      </c>
      <c r="D58" s="5" t="s">
        <v>413</v>
      </c>
      <c r="E58" s="8">
        <v>423.12</v>
      </c>
    </row>
    <row r="59" spans="1:5" x14ac:dyDescent="0.25">
      <c r="A59" s="5" t="s">
        <v>23</v>
      </c>
      <c r="B59" s="6">
        <v>44743</v>
      </c>
      <c r="C59" s="5" t="s">
        <v>81</v>
      </c>
      <c r="D59" s="5" t="s">
        <v>413</v>
      </c>
      <c r="E59" s="8">
        <v>616.29999999999995</v>
      </c>
    </row>
    <row r="60" spans="1:5" x14ac:dyDescent="0.25">
      <c r="A60" s="5" t="s">
        <v>23</v>
      </c>
      <c r="B60" s="6">
        <v>44743</v>
      </c>
      <c r="C60" s="5" t="s">
        <v>82</v>
      </c>
      <c r="D60" s="5" t="s">
        <v>413</v>
      </c>
      <c r="E60" s="8">
        <v>443.8</v>
      </c>
    </row>
    <row r="61" spans="1:5" x14ac:dyDescent="0.25">
      <c r="A61" s="5" t="s">
        <v>23</v>
      </c>
      <c r="B61" s="6">
        <v>44743</v>
      </c>
      <c r="C61" s="5" t="s">
        <v>83</v>
      </c>
      <c r="D61" s="5" t="s">
        <v>413</v>
      </c>
      <c r="E61" s="8">
        <v>123.92</v>
      </c>
    </row>
    <row r="62" spans="1:5" x14ac:dyDescent="0.25">
      <c r="A62" s="5" t="s">
        <v>23</v>
      </c>
      <c r="B62" s="6">
        <v>44743</v>
      </c>
      <c r="C62" s="5" t="s">
        <v>84</v>
      </c>
      <c r="D62" s="5" t="s">
        <v>413</v>
      </c>
      <c r="E62" s="8">
        <v>546.26</v>
      </c>
    </row>
    <row r="63" spans="1:5" x14ac:dyDescent="0.25">
      <c r="A63" s="5" t="s">
        <v>23</v>
      </c>
      <c r="B63" s="6">
        <v>44743</v>
      </c>
      <c r="C63" s="5" t="s">
        <v>85</v>
      </c>
      <c r="D63" s="5" t="s">
        <v>413</v>
      </c>
      <c r="E63" s="8">
        <v>652.04999999999995</v>
      </c>
    </row>
    <row r="64" spans="1:5" x14ac:dyDescent="0.25">
      <c r="A64" s="5" t="s">
        <v>23</v>
      </c>
      <c r="B64" s="6">
        <v>44743</v>
      </c>
      <c r="C64" s="5" t="s">
        <v>86</v>
      </c>
      <c r="D64" s="5" t="s">
        <v>413</v>
      </c>
      <c r="E64" s="8">
        <v>802.14</v>
      </c>
    </row>
    <row r="65" spans="1:5" x14ac:dyDescent="0.25">
      <c r="A65" s="5" t="s">
        <v>23</v>
      </c>
      <c r="B65" s="6">
        <v>44743</v>
      </c>
      <c r="C65" s="5" t="s">
        <v>87</v>
      </c>
      <c r="D65" s="5" t="s">
        <v>413</v>
      </c>
      <c r="E65" s="8">
        <v>546.29999999999995</v>
      </c>
    </row>
    <row r="66" spans="1:5" x14ac:dyDescent="0.25">
      <c r="A66" s="5" t="s">
        <v>23</v>
      </c>
      <c r="B66" s="6">
        <v>44743</v>
      </c>
      <c r="C66" s="5" t="s">
        <v>88</v>
      </c>
      <c r="D66" s="5" t="s">
        <v>413</v>
      </c>
      <c r="E66" s="8">
        <v>546.29999999999995</v>
      </c>
    </row>
    <row r="67" spans="1:5" x14ac:dyDescent="0.25">
      <c r="A67" s="5" t="s">
        <v>23</v>
      </c>
      <c r="B67" s="6">
        <v>44743</v>
      </c>
      <c r="C67" s="5" t="s">
        <v>89</v>
      </c>
      <c r="D67" s="5" t="s">
        <v>412</v>
      </c>
      <c r="E67" s="8">
        <v>3009.5</v>
      </c>
    </row>
    <row r="68" spans="1:5" x14ac:dyDescent="0.25">
      <c r="A68" s="5" t="s">
        <v>23</v>
      </c>
      <c r="B68" s="6">
        <v>44743</v>
      </c>
      <c r="C68" s="5" t="s">
        <v>90</v>
      </c>
      <c r="D68" s="5" t="s">
        <v>412</v>
      </c>
      <c r="E68" s="8">
        <v>429.94</v>
      </c>
    </row>
    <row r="69" spans="1:5" x14ac:dyDescent="0.25">
      <c r="A69" s="5" t="s">
        <v>23</v>
      </c>
      <c r="B69" s="6">
        <v>44743</v>
      </c>
      <c r="C69" s="5" t="s">
        <v>91</v>
      </c>
      <c r="D69" s="5" t="s">
        <v>412</v>
      </c>
      <c r="E69" s="8">
        <v>552.61</v>
      </c>
    </row>
    <row r="70" spans="1:5" x14ac:dyDescent="0.25">
      <c r="A70" s="5" t="s">
        <v>23</v>
      </c>
      <c r="B70" s="6">
        <v>44743</v>
      </c>
      <c r="C70" s="5" t="s">
        <v>92</v>
      </c>
      <c r="D70" s="5" t="s">
        <v>412</v>
      </c>
      <c r="E70" s="8">
        <v>1207.6400000000001</v>
      </c>
    </row>
    <row r="71" spans="1:5" x14ac:dyDescent="0.25">
      <c r="A71" s="5" t="s">
        <v>23</v>
      </c>
      <c r="B71" s="6">
        <v>44743</v>
      </c>
      <c r="C71" s="5" t="s">
        <v>93</v>
      </c>
      <c r="D71" s="5" t="s">
        <v>412</v>
      </c>
      <c r="E71" s="8">
        <v>508.48</v>
      </c>
    </row>
    <row r="72" spans="1:5" x14ac:dyDescent="0.25">
      <c r="A72" s="5" t="s">
        <v>23</v>
      </c>
      <c r="B72" s="6">
        <v>44743</v>
      </c>
      <c r="C72" s="5" t="s">
        <v>94</v>
      </c>
      <c r="D72" s="5" t="s">
        <v>412</v>
      </c>
      <c r="E72" s="8">
        <v>2146.96</v>
      </c>
    </row>
    <row r="73" spans="1:5" x14ac:dyDescent="0.25">
      <c r="A73" s="5" t="s">
        <v>23</v>
      </c>
      <c r="B73" s="6">
        <v>44743</v>
      </c>
      <c r="C73" s="5" t="s">
        <v>95</v>
      </c>
      <c r="D73" s="5" t="s">
        <v>412</v>
      </c>
      <c r="E73" s="8">
        <v>1295.7</v>
      </c>
    </row>
    <row r="74" spans="1:5" x14ac:dyDescent="0.25">
      <c r="A74" s="5" t="s">
        <v>23</v>
      </c>
      <c r="B74" s="6">
        <v>44743</v>
      </c>
      <c r="C74" s="5" t="s">
        <v>96</v>
      </c>
      <c r="D74" s="5" t="s">
        <v>412</v>
      </c>
      <c r="E74" s="8">
        <v>1723.05</v>
      </c>
    </row>
    <row r="75" spans="1:5" x14ac:dyDescent="0.25">
      <c r="A75" s="5" t="s">
        <v>23</v>
      </c>
      <c r="B75" s="6">
        <v>44743</v>
      </c>
      <c r="C75" s="5" t="s">
        <v>97</v>
      </c>
      <c r="D75" s="5" t="s">
        <v>412</v>
      </c>
      <c r="E75" s="8">
        <v>1500</v>
      </c>
    </row>
    <row r="76" spans="1:5" x14ac:dyDescent="0.25">
      <c r="A76" s="5" t="s">
        <v>23</v>
      </c>
      <c r="B76" s="6">
        <v>44743</v>
      </c>
      <c r="C76" s="5" t="s">
        <v>97</v>
      </c>
      <c r="D76" s="5" t="s">
        <v>412</v>
      </c>
      <c r="E76" s="8">
        <v>805.6</v>
      </c>
    </row>
    <row r="77" spans="1:5" x14ac:dyDescent="0.25">
      <c r="A77" s="5" t="s">
        <v>23</v>
      </c>
      <c r="B77" s="6">
        <v>44743</v>
      </c>
      <c r="C77" s="5" t="s">
        <v>98</v>
      </c>
      <c r="D77" s="5" t="s">
        <v>413</v>
      </c>
      <c r="E77" s="8">
        <v>930.58</v>
      </c>
    </row>
    <row r="78" spans="1:5" x14ac:dyDescent="0.25">
      <c r="A78" s="5" t="s">
        <v>23</v>
      </c>
      <c r="B78" s="6">
        <v>44743</v>
      </c>
      <c r="C78" s="5" t="s">
        <v>99</v>
      </c>
      <c r="D78" s="5" t="s">
        <v>413</v>
      </c>
      <c r="E78" s="8">
        <v>565.5</v>
      </c>
    </row>
    <row r="79" spans="1:5" x14ac:dyDescent="0.25">
      <c r="A79" s="5" t="s">
        <v>23</v>
      </c>
      <c r="B79" s="6">
        <v>44743</v>
      </c>
      <c r="C79" s="5" t="s">
        <v>100</v>
      </c>
      <c r="D79" s="5" t="s">
        <v>413</v>
      </c>
      <c r="E79" s="8">
        <v>236.46</v>
      </c>
    </row>
    <row r="80" spans="1:5" x14ac:dyDescent="0.25">
      <c r="A80" s="5" t="s">
        <v>23</v>
      </c>
      <c r="B80" s="6">
        <v>44743</v>
      </c>
      <c r="C80" s="5" t="s">
        <v>101</v>
      </c>
      <c r="D80" s="5" t="s">
        <v>413</v>
      </c>
      <c r="E80" s="8">
        <v>546.29999999999995</v>
      </c>
    </row>
    <row r="81" spans="1:5" x14ac:dyDescent="0.25">
      <c r="A81" s="5" t="s">
        <v>23</v>
      </c>
      <c r="B81" s="6">
        <v>44743</v>
      </c>
      <c r="C81" s="5" t="s">
        <v>102</v>
      </c>
      <c r="D81" s="5" t="s">
        <v>413</v>
      </c>
      <c r="E81" s="8">
        <v>500.58</v>
      </c>
    </row>
    <row r="82" spans="1:5" x14ac:dyDescent="0.25">
      <c r="A82" s="5" t="s">
        <v>23</v>
      </c>
      <c r="B82" s="6">
        <v>44743</v>
      </c>
      <c r="C82" s="5" t="s">
        <v>103</v>
      </c>
      <c r="D82" s="5" t="s">
        <v>413</v>
      </c>
      <c r="E82" s="8">
        <v>813.02</v>
      </c>
    </row>
    <row r="83" spans="1:5" x14ac:dyDescent="0.25">
      <c r="A83" s="5" t="s">
        <v>23</v>
      </c>
      <c r="B83" s="6">
        <v>44743</v>
      </c>
      <c r="C83" s="5" t="s">
        <v>104</v>
      </c>
      <c r="D83" s="5" t="s">
        <v>413</v>
      </c>
      <c r="E83" s="8">
        <v>226.52</v>
      </c>
    </row>
    <row r="84" spans="1:5" x14ac:dyDescent="0.25">
      <c r="A84" s="5" t="s">
        <v>23</v>
      </c>
      <c r="B84" s="6">
        <v>44743</v>
      </c>
      <c r="C84" s="5" t="s">
        <v>105</v>
      </c>
      <c r="D84" s="5" t="s">
        <v>413</v>
      </c>
      <c r="E84" s="8">
        <v>867.44</v>
      </c>
    </row>
    <row r="85" spans="1:5" x14ac:dyDescent="0.25">
      <c r="A85" s="5" t="s">
        <v>23</v>
      </c>
      <c r="B85" s="6">
        <v>44744</v>
      </c>
      <c r="C85" s="5" t="s">
        <v>106</v>
      </c>
      <c r="D85" s="5" t="s">
        <v>413</v>
      </c>
      <c r="E85" s="8">
        <v>517.54999999999995</v>
      </c>
    </row>
    <row r="86" spans="1:5" x14ac:dyDescent="0.25">
      <c r="A86" s="5" t="s">
        <v>23</v>
      </c>
      <c r="B86" s="6">
        <v>44744</v>
      </c>
      <c r="C86" s="5" t="s">
        <v>107</v>
      </c>
      <c r="D86" s="5" t="s">
        <v>413</v>
      </c>
      <c r="E86" s="8">
        <v>863.29</v>
      </c>
    </row>
    <row r="87" spans="1:5" x14ac:dyDescent="0.25">
      <c r="A87" s="5" t="s">
        <v>23</v>
      </c>
      <c r="B87" s="6">
        <v>44744</v>
      </c>
      <c r="C87" s="5" t="s">
        <v>108</v>
      </c>
      <c r="D87" s="5" t="s">
        <v>413</v>
      </c>
      <c r="E87" s="8">
        <v>800.53</v>
      </c>
    </row>
    <row r="88" spans="1:5" x14ac:dyDescent="0.25">
      <c r="A88" s="5" t="s">
        <v>23</v>
      </c>
      <c r="B88" s="6">
        <v>44744</v>
      </c>
      <c r="C88" s="5" t="s">
        <v>109</v>
      </c>
      <c r="D88" s="5" t="s">
        <v>413</v>
      </c>
      <c r="E88" s="8">
        <v>546.29999999999995</v>
      </c>
    </row>
    <row r="89" spans="1:5" x14ac:dyDescent="0.25">
      <c r="A89" s="5" t="s">
        <v>23</v>
      </c>
      <c r="B89" s="6">
        <v>44744</v>
      </c>
      <c r="C89" s="5" t="s">
        <v>110</v>
      </c>
      <c r="D89" s="5" t="s">
        <v>413</v>
      </c>
      <c r="E89" s="8">
        <v>869.29</v>
      </c>
    </row>
    <row r="90" spans="1:5" x14ac:dyDescent="0.25">
      <c r="A90" s="5" t="s">
        <v>23</v>
      </c>
      <c r="B90" s="6">
        <v>44744</v>
      </c>
      <c r="C90" s="5" t="s">
        <v>111</v>
      </c>
      <c r="D90" s="5" t="s">
        <v>413</v>
      </c>
      <c r="E90" s="8">
        <v>1366.16</v>
      </c>
    </row>
    <row r="91" spans="1:5" x14ac:dyDescent="0.25">
      <c r="A91" s="5" t="s">
        <v>23</v>
      </c>
      <c r="B91" s="6">
        <v>44744</v>
      </c>
      <c r="C91" s="5" t="s">
        <v>112</v>
      </c>
      <c r="D91" s="5" t="s">
        <v>413</v>
      </c>
      <c r="E91" s="8">
        <v>1069.73</v>
      </c>
    </row>
    <row r="92" spans="1:5" x14ac:dyDescent="0.25">
      <c r="A92" s="5" t="s">
        <v>23</v>
      </c>
      <c r="B92" s="6">
        <v>44744</v>
      </c>
      <c r="C92" s="5" t="s">
        <v>113</v>
      </c>
      <c r="D92" s="5" t="s">
        <v>413</v>
      </c>
      <c r="E92" s="8">
        <v>92.94</v>
      </c>
    </row>
    <row r="93" spans="1:5" x14ac:dyDescent="0.25">
      <c r="A93" s="5" t="s">
        <v>23</v>
      </c>
      <c r="B93" s="6">
        <v>44744</v>
      </c>
      <c r="C93" s="5" t="s">
        <v>114</v>
      </c>
      <c r="D93" s="5" t="s">
        <v>413</v>
      </c>
      <c r="E93" s="8">
        <v>558.9</v>
      </c>
    </row>
    <row r="94" spans="1:5" x14ac:dyDescent="0.25">
      <c r="A94" s="5" t="s">
        <v>23</v>
      </c>
      <c r="B94" s="6">
        <v>44744</v>
      </c>
      <c r="C94" s="5" t="s">
        <v>115</v>
      </c>
      <c r="D94" s="5" t="s">
        <v>413</v>
      </c>
      <c r="E94" s="8">
        <v>873.45</v>
      </c>
    </row>
    <row r="95" spans="1:5" x14ac:dyDescent="0.25">
      <c r="A95" s="5" t="s">
        <v>23</v>
      </c>
      <c r="B95" s="6">
        <v>44744</v>
      </c>
      <c r="C95" s="5" t="s">
        <v>116</v>
      </c>
      <c r="D95" s="5" t="s">
        <v>413</v>
      </c>
      <c r="E95" s="8">
        <v>153.9</v>
      </c>
    </row>
    <row r="96" spans="1:5" x14ac:dyDescent="0.25">
      <c r="A96" s="5" t="s">
        <v>23</v>
      </c>
      <c r="B96" s="6">
        <v>44744</v>
      </c>
      <c r="C96" s="5" t="s">
        <v>117</v>
      </c>
      <c r="D96" s="5" t="s">
        <v>413</v>
      </c>
      <c r="E96" s="8">
        <v>476.2</v>
      </c>
    </row>
    <row r="97" spans="1:5" x14ac:dyDescent="0.25">
      <c r="A97" s="5" t="s">
        <v>23</v>
      </c>
      <c r="B97" s="6">
        <v>44744</v>
      </c>
      <c r="C97" s="5" t="s">
        <v>118</v>
      </c>
      <c r="D97" s="5" t="s">
        <v>413</v>
      </c>
      <c r="E97" s="8">
        <v>743.52</v>
      </c>
    </row>
    <row r="98" spans="1:5" x14ac:dyDescent="0.25">
      <c r="A98" s="5" t="s">
        <v>23</v>
      </c>
      <c r="B98" s="6">
        <v>44745</v>
      </c>
      <c r="C98" s="5" t="s">
        <v>119</v>
      </c>
      <c r="D98" s="5" t="s">
        <v>412</v>
      </c>
      <c r="E98" s="8">
        <v>1495.7</v>
      </c>
    </row>
    <row r="99" spans="1:5" x14ac:dyDescent="0.25">
      <c r="A99" s="5" t="s">
        <v>23</v>
      </c>
      <c r="B99" s="6">
        <v>44746</v>
      </c>
      <c r="C99" s="5" t="s">
        <v>120</v>
      </c>
      <c r="D99" s="5" t="s">
        <v>412</v>
      </c>
      <c r="E99" s="8">
        <v>4830.1400000000003</v>
      </c>
    </row>
    <row r="100" spans="1:5" x14ac:dyDescent="0.25">
      <c r="A100" s="5" t="s">
        <v>23</v>
      </c>
      <c r="B100" s="6">
        <v>44746</v>
      </c>
      <c r="C100" s="5" t="s">
        <v>121</v>
      </c>
      <c r="D100" s="5" t="s">
        <v>413</v>
      </c>
      <c r="E100" s="8">
        <v>838.35</v>
      </c>
    </row>
    <row r="101" spans="1:5" x14ac:dyDescent="0.25">
      <c r="A101" s="5" t="s">
        <v>23</v>
      </c>
      <c r="B101" s="6">
        <v>44746</v>
      </c>
      <c r="C101" s="5" t="s">
        <v>122</v>
      </c>
      <c r="D101" s="5" t="s">
        <v>413</v>
      </c>
      <c r="E101" s="8">
        <v>467.44</v>
      </c>
    </row>
    <row r="102" spans="1:5" x14ac:dyDescent="0.25">
      <c r="A102" s="5" t="s">
        <v>23</v>
      </c>
      <c r="B102" s="6">
        <v>44746</v>
      </c>
      <c r="C102" s="5" t="s">
        <v>123</v>
      </c>
      <c r="D102" s="5" t="s">
        <v>413</v>
      </c>
      <c r="E102" s="8">
        <v>0</v>
      </c>
    </row>
    <row r="103" spans="1:5" x14ac:dyDescent="0.25">
      <c r="A103" s="5" t="s">
        <v>23</v>
      </c>
      <c r="B103" s="6">
        <v>44746</v>
      </c>
      <c r="C103" s="5" t="s">
        <v>124</v>
      </c>
      <c r="D103" s="5" t="s">
        <v>413</v>
      </c>
      <c r="E103" s="8">
        <v>284.7</v>
      </c>
    </row>
    <row r="104" spans="1:5" x14ac:dyDescent="0.25">
      <c r="A104" s="5" t="s">
        <v>23</v>
      </c>
      <c r="B104" s="6">
        <v>44746</v>
      </c>
      <c r="C104" s="5" t="s">
        <v>125</v>
      </c>
      <c r="D104" s="5" t="s">
        <v>413</v>
      </c>
      <c r="E104" s="8">
        <v>838.35</v>
      </c>
    </row>
    <row r="105" spans="1:5" x14ac:dyDescent="0.25">
      <c r="A105" s="5" t="s">
        <v>23</v>
      </c>
      <c r="B105" s="6">
        <v>44746</v>
      </c>
      <c r="C105" s="5" t="s">
        <v>126</v>
      </c>
      <c r="D105" s="5" t="s">
        <v>413</v>
      </c>
      <c r="E105" s="8">
        <v>586.29999999999995</v>
      </c>
    </row>
    <row r="106" spans="1:5" x14ac:dyDescent="0.25">
      <c r="A106" s="5" t="s">
        <v>23</v>
      </c>
      <c r="B106" s="6">
        <v>44749</v>
      </c>
      <c r="C106" s="5" t="s">
        <v>127</v>
      </c>
      <c r="D106" s="5" t="s">
        <v>413</v>
      </c>
      <c r="E106" s="8">
        <v>92.94</v>
      </c>
    </row>
    <row r="107" spans="1:5" x14ac:dyDescent="0.25">
      <c r="A107" s="5" t="s">
        <v>23</v>
      </c>
      <c r="B107" s="6">
        <v>44749</v>
      </c>
      <c r="C107" s="5" t="s">
        <v>128</v>
      </c>
      <c r="D107" s="5" t="s">
        <v>413</v>
      </c>
      <c r="E107" s="8">
        <v>476.2</v>
      </c>
    </row>
    <row r="108" spans="1:5" x14ac:dyDescent="0.25">
      <c r="A108" s="5" t="s">
        <v>23</v>
      </c>
      <c r="B108" s="6">
        <v>44749</v>
      </c>
      <c r="C108" s="5" t="s">
        <v>129</v>
      </c>
      <c r="D108" s="5" t="s">
        <v>413</v>
      </c>
      <c r="E108" s="8">
        <v>230.85</v>
      </c>
    </row>
    <row r="109" spans="1:5" x14ac:dyDescent="0.25">
      <c r="A109" s="5" t="s">
        <v>23</v>
      </c>
      <c r="B109" s="6">
        <v>44751</v>
      </c>
      <c r="C109" s="5" t="s">
        <v>130</v>
      </c>
      <c r="D109" s="5" t="s">
        <v>413</v>
      </c>
      <c r="E109" s="8">
        <v>901.52</v>
      </c>
    </row>
    <row r="110" spans="1:5" x14ac:dyDescent="0.25">
      <c r="A110" s="5" t="s">
        <v>23</v>
      </c>
      <c r="B110" s="6">
        <v>44753</v>
      </c>
      <c r="C110" s="5" t="s">
        <v>131</v>
      </c>
      <c r="D110" s="5" t="s">
        <v>413</v>
      </c>
      <c r="E110" s="8">
        <v>123.92</v>
      </c>
    </row>
    <row r="111" spans="1:5" x14ac:dyDescent="0.25">
      <c r="A111" s="5" t="s">
        <v>23</v>
      </c>
      <c r="B111" s="6">
        <v>44753</v>
      </c>
      <c r="C111" s="5" t="s">
        <v>132</v>
      </c>
      <c r="D111" s="5" t="s">
        <v>412</v>
      </c>
      <c r="E111" s="8">
        <v>1295.7</v>
      </c>
    </row>
    <row r="112" spans="1:5" x14ac:dyDescent="0.25">
      <c r="A112" s="5" t="s">
        <v>23</v>
      </c>
      <c r="B112" s="6">
        <v>44754</v>
      </c>
      <c r="C112" s="5" t="s">
        <v>133</v>
      </c>
      <c r="D112" s="5" t="s">
        <v>413</v>
      </c>
      <c r="E112" s="8">
        <v>1102</v>
      </c>
    </row>
    <row r="113" spans="1:5" x14ac:dyDescent="0.25">
      <c r="A113" s="5" t="s">
        <v>23</v>
      </c>
      <c r="B113" s="6">
        <v>44754</v>
      </c>
      <c r="C113" s="5" t="s">
        <v>134</v>
      </c>
      <c r="D113" s="5" t="s">
        <v>413</v>
      </c>
      <c r="E113" s="8">
        <v>743.52</v>
      </c>
    </row>
    <row r="114" spans="1:5" x14ac:dyDescent="0.25">
      <c r="A114" s="5" t="s">
        <v>23</v>
      </c>
      <c r="B114" s="6">
        <v>44754</v>
      </c>
      <c r="C114" s="5" t="s">
        <v>135</v>
      </c>
      <c r="D114" s="5" t="s">
        <v>413</v>
      </c>
      <c r="E114" s="8">
        <v>364.2</v>
      </c>
    </row>
    <row r="115" spans="1:5" x14ac:dyDescent="0.25">
      <c r="A115" s="5" t="s">
        <v>23</v>
      </c>
      <c r="B115" s="6">
        <v>44754</v>
      </c>
      <c r="C115" s="5" t="s">
        <v>136</v>
      </c>
      <c r="D115" s="5" t="s">
        <v>413</v>
      </c>
      <c r="E115" s="8">
        <v>608.22</v>
      </c>
    </row>
    <row r="116" spans="1:5" x14ac:dyDescent="0.25">
      <c r="A116" s="5" t="s">
        <v>23</v>
      </c>
      <c r="B116" s="6">
        <v>44754</v>
      </c>
      <c r="C116" s="5" t="s">
        <v>137</v>
      </c>
      <c r="D116" s="5" t="s">
        <v>413</v>
      </c>
      <c r="E116" s="8">
        <v>226.66</v>
      </c>
    </row>
    <row r="117" spans="1:5" x14ac:dyDescent="0.25">
      <c r="A117" s="5" t="s">
        <v>23</v>
      </c>
      <c r="B117" s="6">
        <v>44754</v>
      </c>
      <c r="C117" s="5" t="s">
        <v>138</v>
      </c>
      <c r="D117" s="5" t="s">
        <v>413</v>
      </c>
      <c r="E117" s="8">
        <v>364.2</v>
      </c>
    </row>
    <row r="118" spans="1:5" x14ac:dyDescent="0.25">
      <c r="A118" s="5" t="s">
        <v>23</v>
      </c>
      <c r="B118" s="6">
        <v>44754</v>
      </c>
      <c r="C118" s="5" t="s">
        <v>139</v>
      </c>
      <c r="D118" s="5" t="s">
        <v>413</v>
      </c>
      <c r="E118" s="8">
        <v>476.2</v>
      </c>
    </row>
    <row r="119" spans="1:5" x14ac:dyDescent="0.25">
      <c r="A119" s="5" t="s">
        <v>23</v>
      </c>
      <c r="B119" s="6">
        <v>44756</v>
      </c>
      <c r="C119" s="5" t="s">
        <v>121</v>
      </c>
      <c r="D119" s="5" t="s">
        <v>413</v>
      </c>
      <c r="E119" s="8">
        <v>443.38</v>
      </c>
    </row>
    <row r="120" spans="1:5" x14ac:dyDescent="0.25">
      <c r="A120" s="5" t="s">
        <v>23</v>
      </c>
      <c r="B120" s="6">
        <v>44756</v>
      </c>
      <c r="C120" s="5" t="s">
        <v>79</v>
      </c>
      <c r="D120" s="5" t="s">
        <v>417</v>
      </c>
      <c r="E120" s="8">
        <v>0</v>
      </c>
    </row>
    <row r="121" spans="1:5" x14ac:dyDescent="0.25">
      <c r="A121" s="5" t="s">
        <v>23</v>
      </c>
      <c r="B121" s="6">
        <v>44756</v>
      </c>
      <c r="C121" s="5" t="s">
        <v>79</v>
      </c>
      <c r="D121" s="5" t="s">
        <v>417</v>
      </c>
      <c r="E121" s="8">
        <v>1600</v>
      </c>
    </row>
    <row r="122" spans="1:5" x14ac:dyDescent="0.25">
      <c r="A122" s="5" t="s">
        <v>23</v>
      </c>
      <c r="B122" s="6">
        <v>44756</v>
      </c>
      <c r="C122" s="5" t="s">
        <v>79</v>
      </c>
      <c r="D122" s="5" t="s">
        <v>417</v>
      </c>
      <c r="E122" s="8">
        <v>400</v>
      </c>
    </row>
    <row r="123" spans="1:5" x14ac:dyDescent="0.25">
      <c r="A123" s="5" t="s">
        <v>23</v>
      </c>
      <c r="B123" s="6">
        <v>44756</v>
      </c>
      <c r="C123" s="5" t="s">
        <v>79</v>
      </c>
      <c r="D123" s="5" t="s">
        <v>417</v>
      </c>
      <c r="E123" s="8">
        <v>600</v>
      </c>
    </row>
    <row r="124" spans="1:5" x14ac:dyDescent="0.25">
      <c r="A124" s="5" t="s">
        <v>23</v>
      </c>
      <c r="B124" s="6">
        <v>44756</v>
      </c>
      <c r="C124" s="5" t="s">
        <v>79</v>
      </c>
      <c r="D124" s="5" t="s">
        <v>417</v>
      </c>
      <c r="E124" s="8">
        <v>2500</v>
      </c>
    </row>
    <row r="125" spans="1:5" x14ac:dyDescent="0.25">
      <c r="A125" s="5" t="s">
        <v>23</v>
      </c>
      <c r="B125" s="6">
        <v>44756</v>
      </c>
      <c r="C125" s="5" t="s">
        <v>80</v>
      </c>
      <c r="D125" s="5" t="s">
        <v>418</v>
      </c>
      <c r="E125" s="8">
        <v>0</v>
      </c>
    </row>
    <row r="126" spans="1:5" x14ac:dyDescent="0.25">
      <c r="A126" s="5" t="s">
        <v>23</v>
      </c>
      <c r="B126" s="6">
        <v>44756</v>
      </c>
      <c r="C126" s="5" t="s">
        <v>80</v>
      </c>
      <c r="D126" s="5" t="s">
        <v>418</v>
      </c>
      <c r="E126" s="8">
        <v>0</v>
      </c>
    </row>
    <row r="127" spans="1:5" x14ac:dyDescent="0.25">
      <c r="A127" s="5" t="s">
        <v>23</v>
      </c>
      <c r="B127" s="6">
        <v>44756</v>
      </c>
      <c r="C127" s="5" t="s">
        <v>80</v>
      </c>
      <c r="D127" s="5" t="s">
        <v>418</v>
      </c>
      <c r="E127" s="8">
        <v>20000</v>
      </c>
    </row>
    <row r="128" spans="1:5" x14ac:dyDescent="0.25">
      <c r="A128" s="5" t="s">
        <v>23</v>
      </c>
      <c r="B128" s="6">
        <v>44756</v>
      </c>
      <c r="C128" s="5" t="s">
        <v>82</v>
      </c>
      <c r="D128" s="5" t="s">
        <v>408</v>
      </c>
      <c r="E128" s="8">
        <v>8150.44</v>
      </c>
    </row>
    <row r="129" spans="1:5" x14ac:dyDescent="0.25">
      <c r="A129" s="5" t="s">
        <v>23</v>
      </c>
      <c r="B129" s="6">
        <v>44757</v>
      </c>
      <c r="C129" s="5" t="s">
        <v>140</v>
      </c>
      <c r="D129" s="5" t="s">
        <v>412</v>
      </c>
      <c r="E129" s="8">
        <v>805.6</v>
      </c>
    </row>
    <row r="130" spans="1:5" x14ac:dyDescent="0.25">
      <c r="A130" s="5" t="s">
        <v>23</v>
      </c>
      <c r="B130" s="6">
        <v>44759</v>
      </c>
      <c r="C130" s="5" t="s">
        <v>141</v>
      </c>
      <c r="D130" s="5" t="s">
        <v>412</v>
      </c>
      <c r="E130" s="8">
        <v>88.26</v>
      </c>
    </row>
    <row r="131" spans="1:5" x14ac:dyDescent="0.25">
      <c r="A131" s="5" t="s">
        <v>23</v>
      </c>
      <c r="B131" s="6">
        <v>44760</v>
      </c>
      <c r="C131" s="5" t="s">
        <v>142</v>
      </c>
      <c r="D131" s="5" t="s">
        <v>412</v>
      </c>
      <c r="E131" s="8">
        <v>250</v>
      </c>
    </row>
    <row r="132" spans="1:5" x14ac:dyDescent="0.25">
      <c r="A132" s="5" t="s">
        <v>23</v>
      </c>
      <c r="B132" s="6">
        <v>44761</v>
      </c>
      <c r="C132" s="5" t="s">
        <v>143</v>
      </c>
      <c r="D132" s="5" t="s">
        <v>412</v>
      </c>
      <c r="E132" s="8">
        <v>2146.96</v>
      </c>
    </row>
    <row r="133" spans="1:5" x14ac:dyDescent="0.25">
      <c r="A133" s="5" t="s">
        <v>23</v>
      </c>
      <c r="B133" s="6">
        <v>44762</v>
      </c>
      <c r="C133" s="5" t="s">
        <v>144</v>
      </c>
      <c r="D133" s="5" t="s">
        <v>413</v>
      </c>
      <c r="E133" s="8">
        <v>901.52</v>
      </c>
    </row>
    <row r="134" spans="1:5" x14ac:dyDescent="0.25">
      <c r="A134" s="5" t="s">
        <v>23</v>
      </c>
      <c r="B134" s="6">
        <v>44762</v>
      </c>
      <c r="C134" s="5" t="s">
        <v>145</v>
      </c>
      <c r="D134" s="5" t="s">
        <v>413</v>
      </c>
      <c r="E134" s="8">
        <v>535</v>
      </c>
    </row>
    <row r="135" spans="1:5" x14ac:dyDescent="0.25">
      <c r="A135" s="5" t="s">
        <v>23</v>
      </c>
      <c r="B135" s="6">
        <v>44762</v>
      </c>
      <c r="C135" s="5" t="s">
        <v>75</v>
      </c>
      <c r="D135" s="5" t="s">
        <v>412</v>
      </c>
      <c r="E135" s="8">
        <v>1723.45</v>
      </c>
    </row>
    <row r="136" spans="1:5" x14ac:dyDescent="0.25">
      <c r="A136" s="5" t="s">
        <v>23</v>
      </c>
      <c r="B136" s="6">
        <v>44762</v>
      </c>
      <c r="C136" s="5" t="s">
        <v>146</v>
      </c>
      <c r="D136" s="5" t="s">
        <v>412</v>
      </c>
      <c r="E136" s="8">
        <v>508.48</v>
      </c>
    </row>
    <row r="137" spans="1:5" x14ac:dyDescent="0.25">
      <c r="A137" s="5" t="s">
        <v>23</v>
      </c>
      <c r="B137" s="6">
        <v>44764</v>
      </c>
      <c r="C137" s="5" t="s">
        <v>147</v>
      </c>
      <c r="D137" s="5" t="s">
        <v>412</v>
      </c>
      <c r="E137" s="8">
        <v>429.94</v>
      </c>
    </row>
    <row r="138" spans="1:5" x14ac:dyDescent="0.25">
      <c r="A138" s="5" t="s">
        <v>23</v>
      </c>
      <c r="B138" s="6">
        <v>44767</v>
      </c>
      <c r="C138" s="5" t="s">
        <v>148</v>
      </c>
      <c r="D138" s="5" t="s">
        <v>412</v>
      </c>
      <c r="E138" s="8">
        <v>572.04</v>
      </c>
    </row>
    <row r="139" spans="1:5" x14ac:dyDescent="0.25">
      <c r="A139" s="5" t="s">
        <v>23</v>
      </c>
      <c r="B139" s="6">
        <v>44767</v>
      </c>
      <c r="C139" s="5" t="s">
        <v>149</v>
      </c>
      <c r="D139" s="5" t="s">
        <v>412</v>
      </c>
      <c r="E139" s="8">
        <v>3009.5</v>
      </c>
    </row>
    <row r="140" spans="1:5" x14ac:dyDescent="0.25">
      <c r="A140" s="5" t="s">
        <v>23</v>
      </c>
      <c r="B140" s="6">
        <v>44768</v>
      </c>
      <c r="C140" s="5" t="s">
        <v>150</v>
      </c>
      <c r="D140" s="5" t="s">
        <v>413</v>
      </c>
      <c r="E140" s="8">
        <v>467.44</v>
      </c>
    </row>
    <row r="141" spans="1:5" x14ac:dyDescent="0.25">
      <c r="A141" s="5" t="s">
        <v>23</v>
      </c>
      <c r="B141" s="6">
        <v>44769</v>
      </c>
      <c r="C141" s="5" t="s">
        <v>151</v>
      </c>
      <c r="D141" s="5" t="s">
        <v>411</v>
      </c>
      <c r="E141" s="8">
        <v>2250</v>
      </c>
    </row>
    <row r="142" spans="1:5" x14ac:dyDescent="0.25">
      <c r="A142" s="5" t="s">
        <v>23</v>
      </c>
      <c r="B142" s="6">
        <v>44769</v>
      </c>
      <c r="C142" s="5" t="s">
        <v>152</v>
      </c>
      <c r="D142" s="5" t="s">
        <v>413</v>
      </c>
      <c r="E142" s="8">
        <v>60</v>
      </c>
    </row>
    <row r="143" spans="1:5" x14ac:dyDescent="0.25">
      <c r="A143" s="5" t="s">
        <v>23</v>
      </c>
      <c r="B143" s="6">
        <v>44771</v>
      </c>
      <c r="C143" s="5" t="s">
        <v>153</v>
      </c>
      <c r="D143" s="5" t="s">
        <v>413</v>
      </c>
      <c r="E143" s="8">
        <v>343.15</v>
      </c>
    </row>
    <row r="144" spans="1:5" x14ac:dyDescent="0.25">
      <c r="A144" s="5" t="s">
        <v>23</v>
      </c>
      <c r="B144" s="6">
        <v>44771</v>
      </c>
      <c r="C144" s="5" t="s">
        <v>154</v>
      </c>
      <c r="D144" s="5" t="s">
        <v>413</v>
      </c>
      <c r="E144" s="8">
        <v>772.54</v>
      </c>
    </row>
    <row r="145" spans="1:5" x14ac:dyDescent="0.25">
      <c r="A145" s="5" t="s">
        <v>23</v>
      </c>
      <c r="B145" s="6">
        <v>44771</v>
      </c>
      <c r="C145" s="5" t="s">
        <v>155</v>
      </c>
      <c r="D145" s="5" t="s">
        <v>413</v>
      </c>
      <c r="E145" s="8">
        <v>761.88</v>
      </c>
    </row>
    <row r="146" spans="1:5" x14ac:dyDescent="0.25">
      <c r="A146" s="5" t="s">
        <v>23</v>
      </c>
      <c r="B146" s="6">
        <v>44771</v>
      </c>
      <c r="C146" s="5" t="s">
        <v>156</v>
      </c>
      <c r="D146" s="5" t="s">
        <v>413</v>
      </c>
      <c r="E146" s="8">
        <v>932.1</v>
      </c>
    </row>
    <row r="147" spans="1:5" x14ac:dyDescent="0.25">
      <c r="A147" s="5" t="s">
        <v>23</v>
      </c>
      <c r="B147" s="6">
        <v>44771</v>
      </c>
      <c r="C147" s="5" t="s">
        <v>157</v>
      </c>
      <c r="D147" s="5" t="s">
        <v>412</v>
      </c>
      <c r="E147" s="8">
        <v>1207.6400000000001</v>
      </c>
    </row>
    <row r="148" spans="1:5" x14ac:dyDescent="0.25">
      <c r="A148" s="5" t="s">
        <v>23</v>
      </c>
      <c r="B148" s="6">
        <v>44771</v>
      </c>
      <c r="C148" s="5" t="s">
        <v>158</v>
      </c>
      <c r="D148" s="5" t="s">
        <v>412</v>
      </c>
      <c r="E148" s="8">
        <v>552.61</v>
      </c>
    </row>
    <row r="149" spans="1:5" x14ac:dyDescent="0.25">
      <c r="A149" s="5" t="s">
        <v>23</v>
      </c>
      <c r="B149" s="6">
        <v>44774</v>
      </c>
      <c r="C149" s="5" t="s">
        <v>159</v>
      </c>
      <c r="D149" s="5" t="s">
        <v>419</v>
      </c>
      <c r="E149" s="8">
        <v>0</v>
      </c>
    </row>
    <row r="150" spans="1:5" x14ac:dyDescent="0.25">
      <c r="A150" s="5" t="s">
        <v>23</v>
      </c>
      <c r="B150" s="6">
        <v>44774</v>
      </c>
      <c r="C150" s="5" t="s">
        <v>159</v>
      </c>
      <c r="D150" s="5" t="s">
        <v>419</v>
      </c>
      <c r="E150" s="8">
        <v>0</v>
      </c>
    </row>
    <row r="151" spans="1:5" x14ac:dyDescent="0.25">
      <c r="A151" s="5" t="s">
        <v>23</v>
      </c>
      <c r="B151" s="6">
        <v>44774</v>
      </c>
      <c r="C151" s="5" t="s">
        <v>159</v>
      </c>
      <c r="D151" s="5" t="s">
        <v>419</v>
      </c>
      <c r="E151" s="8">
        <v>0</v>
      </c>
    </row>
    <row r="152" spans="1:5" x14ac:dyDescent="0.25">
      <c r="A152" s="5" t="s">
        <v>23</v>
      </c>
      <c r="B152" s="6">
        <v>44774</v>
      </c>
      <c r="C152" s="5" t="s">
        <v>159</v>
      </c>
      <c r="D152" s="5" t="s">
        <v>419</v>
      </c>
      <c r="E152" s="8">
        <v>0</v>
      </c>
    </row>
    <row r="153" spans="1:5" x14ac:dyDescent="0.25">
      <c r="A153" s="5" t="s">
        <v>23</v>
      </c>
      <c r="B153" s="6">
        <v>44774</v>
      </c>
      <c r="C153" s="5" t="s">
        <v>159</v>
      </c>
      <c r="D153" s="5" t="s">
        <v>419</v>
      </c>
      <c r="E153" s="8">
        <v>0</v>
      </c>
    </row>
    <row r="154" spans="1:5" x14ac:dyDescent="0.25">
      <c r="A154" s="5" t="s">
        <v>23</v>
      </c>
      <c r="B154" s="6">
        <v>44774</v>
      </c>
      <c r="C154" s="5" t="s">
        <v>159</v>
      </c>
      <c r="D154" s="5" t="s">
        <v>419</v>
      </c>
      <c r="E154" s="8">
        <v>0</v>
      </c>
    </row>
    <row r="155" spans="1:5" x14ac:dyDescent="0.25">
      <c r="A155" s="5" t="s">
        <v>23</v>
      </c>
      <c r="B155" s="6">
        <v>44774</v>
      </c>
      <c r="C155" s="5" t="s">
        <v>159</v>
      </c>
      <c r="D155" s="5" t="s">
        <v>419</v>
      </c>
      <c r="E155" s="8">
        <v>1860</v>
      </c>
    </row>
    <row r="156" spans="1:5" x14ac:dyDescent="0.25">
      <c r="A156" s="5" t="s">
        <v>23</v>
      </c>
      <c r="B156" s="6">
        <v>44775</v>
      </c>
      <c r="C156" s="5" t="s">
        <v>160</v>
      </c>
      <c r="D156" s="5" t="s">
        <v>413</v>
      </c>
      <c r="E156" s="8">
        <v>1157.73</v>
      </c>
    </row>
    <row r="157" spans="1:5" x14ac:dyDescent="0.25">
      <c r="A157" s="5" t="s">
        <v>23</v>
      </c>
      <c r="B157" s="6">
        <v>44775</v>
      </c>
      <c r="C157" s="5" t="s">
        <v>161</v>
      </c>
      <c r="D157" s="5" t="s">
        <v>412</v>
      </c>
      <c r="E157" s="8">
        <v>3195.73</v>
      </c>
    </row>
    <row r="158" spans="1:5" x14ac:dyDescent="0.25">
      <c r="A158" s="5" t="s">
        <v>23</v>
      </c>
      <c r="B158" s="6">
        <v>44776</v>
      </c>
      <c r="C158" s="5" t="s">
        <v>162</v>
      </c>
      <c r="D158" s="5" t="s">
        <v>413</v>
      </c>
      <c r="E158" s="8">
        <v>838.35</v>
      </c>
    </row>
    <row r="159" spans="1:5" x14ac:dyDescent="0.25">
      <c r="A159" s="5" t="s">
        <v>23</v>
      </c>
      <c r="B159" s="6">
        <v>44776</v>
      </c>
      <c r="C159" s="5" t="s">
        <v>163</v>
      </c>
      <c r="D159" s="5" t="s">
        <v>413</v>
      </c>
      <c r="E159" s="8">
        <v>51.3</v>
      </c>
    </row>
    <row r="160" spans="1:5" x14ac:dyDescent="0.25">
      <c r="A160" s="5" t="s">
        <v>23</v>
      </c>
      <c r="B160" s="6">
        <v>44776</v>
      </c>
      <c r="C160" s="5" t="s">
        <v>164</v>
      </c>
      <c r="D160" s="5" t="s">
        <v>413</v>
      </c>
      <c r="E160" s="8">
        <v>261</v>
      </c>
    </row>
    <row r="161" spans="1:5" x14ac:dyDescent="0.25">
      <c r="A161" s="5" t="s">
        <v>23</v>
      </c>
      <c r="B161" s="6">
        <v>44776</v>
      </c>
      <c r="C161" s="5" t="s">
        <v>165</v>
      </c>
      <c r="D161" s="5" t="s">
        <v>413</v>
      </c>
      <c r="E161" s="8">
        <v>76.95</v>
      </c>
    </row>
    <row r="162" spans="1:5" x14ac:dyDescent="0.25">
      <c r="A162" s="5" t="s">
        <v>23</v>
      </c>
      <c r="B162" s="6">
        <v>44776</v>
      </c>
      <c r="C162" s="5" t="s">
        <v>166</v>
      </c>
      <c r="D162" s="5" t="s">
        <v>413</v>
      </c>
      <c r="E162" s="8">
        <v>355.77</v>
      </c>
    </row>
    <row r="163" spans="1:5" x14ac:dyDescent="0.25">
      <c r="A163" s="5" t="s">
        <v>23</v>
      </c>
      <c r="B163" s="6">
        <v>44776</v>
      </c>
      <c r="C163" s="5" t="s">
        <v>167</v>
      </c>
      <c r="D163" s="5" t="s">
        <v>413</v>
      </c>
      <c r="E163" s="8">
        <v>401.48</v>
      </c>
    </row>
    <row r="164" spans="1:5" x14ac:dyDescent="0.25">
      <c r="A164" s="5" t="s">
        <v>23</v>
      </c>
      <c r="B164" s="6">
        <v>44776</v>
      </c>
      <c r="C164" s="5" t="s">
        <v>168</v>
      </c>
      <c r="D164" s="5" t="s">
        <v>413</v>
      </c>
      <c r="E164" s="8">
        <v>546.29999999999995</v>
      </c>
    </row>
    <row r="165" spans="1:5" x14ac:dyDescent="0.25">
      <c r="A165" s="5" t="s">
        <v>23</v>
      </c>
      <c r="B165" s="6">
        <v>44776</v>
      </c>
      <c r="C165" s="5" t="s">
        <v>169</v>
      </c>
      <c r="D165" s="5" t="s">
        <v>413</v>
      </c>
      <c r="E165" s="8">
        <v>123.92</v>
      </c>
    </row>
    <row r="166" spans="1:5" x14ac:dyDescent="0.25">
      <c r="A166" s="5" t="s">
        <v>23</v>
      </c>
      <c r="B166" s="6">
        <v>44776</v>
      </c>
      <c r="C166" s="5" t="s">
        <v>170</v>
      </c>
      <c r="D166" s="5" t="s">
        <v>413</v>
      </c>
      <c r="E166" s="8">
        <v>908.35</v>
      </c>
    </row>
    <row r="167" spans="1:5" x14ac:dyDescent="0.25">
      <c r="A167" s="5" t="s">
        <v>23</v>
      </c>
      <c r="B167" s="6">
        <v>44776</v>
      </c>
      <c r="C167" s="5" t="s">
        <v>171</v>
      </c>
      <c r="D167" s="5" t="s">
        <v>412</v>
      </c>
      <c r="E167" s="8">
        <v>2952.76</v>
      </c>
    </row>
    <row r="168" spans="1:5" x14ac:dyDescent="0.25">
      <c r="A168" s="5" t="s">
        <v>23</v>
      </c>
      <c r="B168" s="6">
        <v>44776</v>
      </c>
      <c r="C168" s="5" t="s">
        <v>172</v>
      </c>
      <c r="D168" s="5" t="s">
        <v>420</v>
      </c>
      <c r="E168" s="8">
        <v>0</v>
      </c>
    </row>
    <row r="169" spans="1:5" x14ac:dyDescent="0.25">
      <c r="A169" s="5" t="s">
        <v>23</v>
      </c>
      <c r="B169" s="6">
        <v>44776</v>
      </c>
      <c r="C169" s="5" t="s">
        <v>172</v>
      </c>
      <c r="D169" s="5" t="s">
        <v>420</v>
      </c>
      <c r="E169" s="8">
        <v>3410</v>
      </c>
    </row>
    <row r="170" spans="1:5" x14ac:dyDescent="0.25">
      <c r="A170" s="5" t="s">
        <v>23</v>
      </c>
      <c r="B170" s="6">
        <v>44776</v>
      </c>
      <c r="C170" s="5" t="s">
        <v>173</v>
      </c>
      <c r="D170" s="5" t="s">
        <v>421</v>
      </c>
      <c r="E170" s="8">
        <v>0</v>
      </c>
    </row>
    <row r="171" spans="1:5" x14ac:dyDescent="0.25">
      <c r="A171" s="5" t="s">
        <v>23</v>
      </c>
      <c r="B171" s="6">
        <v>44776</v>
      </c>
      <c r="C171" s="5" t="s">
        <v>173</v>
      </c>
      <c r="D171" s="5" t="s">
        <v>421</v>
      </c>
      <c r="E171" s="8">
        <v>0</v>
      </c>
    </row>
    <row r="172" spans="1:5" x14ac:dyDescent="0.25">
      <c r="A172" s="5" t="s">
        <v>23</v>
      </c>
      <c r="B172" s="6">
        <v>44776</v>
      </c>
      <c r="C172" s="5" t="s">
        <v>173</v>
      </c>
      <c r="D172" s="5" t="s">
        <v>421</v>
      </c>
      <c r="E172" s="8">
        <v>0</v>
      </c>
    </row>
    <row r="173" spans="1:5" x14ac:dyDescent="0.25">
      <c r="A173" s="5" t="s">
        <v>23</v>
      </c>
      <c r="B173" s="6">
        <v>44776</v>
      </c>
      <c r="C173" s="5" t="s">
        <v>173</v>
      </c>
      <c r="D173" s="5" t="s">
        <v>421</v>
      </c>
      <c r="E173" s="8">
        <v>1300</v>
      </c>
    </row>
    <row r="174" spans="1:5" x14ac:dyDescent="0.25">
      <c r="A174" s="5" t="s">
        <v>23</v>
      </c>
      <c r="B174" s="6">
        <v>44776</v>
      </c>
      <c r="C174" s="5" t="s">
        <v>174</v>
      </c>
      <c r="D174" s="5" t="s">
        <v>413</v>
      </c>
      <c r="E174" s="8">
        <v>891.52</v>
      </c>
    </row>
    <row r="175" spans="1:5" x14ac:dyDescent="0.25">
      <c r="A175" s="5" t="s">
        <v>23</v>
      </c>
      <c r="B175" s="6">
        <v>44776</v>
      </c>
      <c r="C175" s="5" t="s">
        <v>175</v>
      </c>
      <c r="D175" s="5" t="s">
        <v>413</v>
      </c>
      <c r="E175" s="8">
        <v>495.47</v>
      </c>
    </row>
    <row r="176" spans="1:5" x14ac:dyDescent="0.25">
      <c r="A176" s="5" t="s">
        <v>23</v>
      </c>
      <c r="B176" s="6">
        <v>44777</v>
      </c>
      <c r="C176" s="5" t="s">
        <v>176</v>
      </c>
      <c r="D176" s="5" t="s">
        <v>412</v>
      </c>
      <c r="E176" s="8">
        <v>1102</v>
      </c>
    </row>
    <row r="177" spans="1:5" x14ac:dyDescent="0.25">
      <c r="A177" s="5" t="s">
        <v>23</v>
      </c>
      <c r="B177" s="6">
        <v>44778</v>
      </c>
      <c r="C177" s="5" t="s">
        <v>177</v>
      </c>
      <c r="D177" s="5" t="s">
        <v>413</v>
      </c>
      <c r="E177" s="8">
        <v>687.5</v>
      </c>
    </row>
    <row r="178" spans="1:5" x14ac:dyDescent="0.25">
      <c r="A178" s="5" t="s">
        <v>23</v>
      </c>
      <c r="B178" s="6">
        <v>44778</v>
      </c>
      <c r="C178" s="5" t="s">
        <v>178</v>
      </c>
      <c r="D178" s="5" t="s">
        <v>413</v>
      </c>
      <c r="E178" s="8">
        <v>966.81</v>
      </c>
    </row>
    <row r="179" spans="1:5" x14ac:dyDescent="0.25">
      <c r="A179" s="5" t="s">
        <v>23</v>
      </c>
      <c r="B179" s="6">
        <v>44778</v>
      </c>
      <c r="C179" s="5" t="s">
        <v>179</v>
      </c>
      <c r="D179" s="5" t="s">
        <v>413</v>
      </c>
      <c r="E179" s="8">
        <v>913.78</v>
      </c>
    </row>
    <row r="180" spans="1:5" x14ac:dyDescent="0.25">
      <c r="A180" s="5" t="s">
        <v>23</v>
      </c>
      <c r="B180" s="6">
        <v>44778</v>
      </c>
      <c r="C180" s="5" t="s">
        <v>180</v>
      </c>
      <c r="D180" s="5" t="s">
        <v>413</v>
      </c>
      <c r="E180" s="8">
        <v>880.53</v>
      </c>
    </row>
    <row r="181" spans="1:5" x14ac:dyDescent="0.25">
      <c r="A181" s="5" t="s">
        <v>23</v>
      </c>
      <c r="B181" s="6">
        <v>44778</v>
      </c>
      <c r="C181" s="5" t="s">
        <v>181</v>
      </c>
      <c r="D181" s="5" t="s">
        <v>413</v>
      </c>
      <c r="E181" s="8">
        <v>338.14</v>
      </c>
    </row>
    <row r="182" spans="1:5" x14ac:dyDescent="0.25">
      <c r="A182" s="5" t="s">
        <v>23</v>
      </c>
      <c r="B182" s="6">
        <v>44778</v>
      </c>
      <c r="C182" s="5" t="s">
        <v>182</v>
      </c>
      <c r="D182" s="5" t="s">
        <v>413</v>
      </c>
      <c r="E182" s="8">
        <v>860.54</v>
      </c>
    </row>
    <row r="183" spans="1:5" x14ac:dyDescent="0.25">
      <c r="A183" s="5" t="s">
        <v>23</v>
      </c>
      <c r="B183" s="6">
        <v>44778</v>
      </c>
      <c r="C183" s="5" t="s">
        <v>183</v>
      </c>
      <c r="D183" s="5" t="s">
        <v>413</v>
      </c>
      <c r="E183" s="8">
        <v>943.29</v>
      </c>
    </row>
    <row r="184" spans="1:5" x14ac:dyDescent="0.25">
      <c r="A184" s="5" t="s">
        <v>23</v>
      </c>
      <c r="B184" s="6">
        <v>44778</v>
      </c>
      <c r="C184" s="5" t="s">
        <v>184</v>
      </c>
      <c r="D184" s="5" t="s">
        <v>413</v>
      </c>
      <c r="E184" s="8">
        <v>116.95</v>
      </c>
    </row>
    <row r="185" spans="1:5" x14ac:dyDescent="0.25">
      <c r="A185" s="5" t="s">
        <v>23</v>
      </c>
      <c r="B185" s="6">
        <v>44778</v>
      </c>
      <c r="C185" s="5" t="s">
        <v>185</v>
      </c>
      <c r="D185" s="5" t="s">
        <v>413</v>
      </c>
      <c r="E185" s="8">
        <v>116.95</v>
      </c>
    </row>
    <row r="186" spans="1:5" x14ac:dyDescent="0.25">
      <c r="A186" s="5" t="s">
        <v>23</v>
      </c>
      <c r="B186" s="6">
        <v>44778</v>
      </c>
      <c r="C186" s="5" t="s">
        <v>186</v>
      </c>
      <c r="D186" s="5" t="s">
        <v>413</v>
      </c>
      <c r="E186" s="8">
        <v>91.3</v>
      </c>
    </row>
    <row r="187" spans="1:5" x14ac:dyDescent="0.25">
      <c r="A187" s="5" t="s">
        <v>23</v>
      </c>
      <c r="B187" s="6">
        <v>44778</v>
      </c>
      <c r="C187" s="5" t="s">
        <v>187</v>
      </c>
      <c r="D187" s="5" t="s">
        <v>413</v>
      </c>
      <c r="E187" s="8">
        <v>849.88</v>
      </c>
    </row>
    <row r="188" spans="1:5" x14ac:dyDescent="0.25">
      <c r="A188" s="5" t="s">
        <v>23</v>
      </c>
      <c r="B188" s="6">
        <v>44778</v>
      </c>
      <c r="C188" s="5" t="s">
        <v>188</v>
      </c>
      <c r="D188" s="5" t="s">
        <v>413</v>
      </c>
      <c r="E188" s="8">
        <v>168.25</v>
      </c>
    </row>
    <row r="189" spans="1:5" x14ac:dyDescent="0.25">
      <c r="A189" s="5" t="s">
        <v>23</v>
      </c>
      <c r="B189" s="6">
        <v>44778</v>
      </c>
      <c r="C189" s="5" t="s">
        <v>189</v>
      </c>
      <c r="D189" s="5" t="s">
        <v>413</v>
      </c>
      <c r="E189" s="8">
        <v>702.55</v>
      </c>
    </row>
    <row r="190" spans="1:5" x14ac:dyDescent="0.25">
      <c r="A190" s="5" t="s">
        <v>23</v>
      </c>
      <c r="B190" s="6">
        <v>44778</v>
      </c>
      <c r="C190" s="5" t="s">
        <v>190</v>
      </c>
      <c r="D190" s="5" t="s">
        <v>413</v>
      </c>
      <c r="E190" s="8">
        <v>575</v>
      </c>
    </row>
    <row r="191" spans="1:5" x14ac:dyDescent="0.25">
      <c r="A191" s="5" t="s">
        <v>23</v>
      </c>
      <c r="B191" s="6">
        <v>44778</v>
      </c>
      <c r="C191" s="5" t="s">
        <v>191</v>
      </c>
      <c r="D191" s="5" t="s">
        <v>413</v>
      </c>
      <c r="E191" s="8">
        <v>310</v>
      </c>
    </row>
    <row r="192" spans="1:5" x14ac:dyDescent="0.25">
      <c r="A192" s="5" t="s">
        <v>23</v>
      </c>
      <c r="B192" s="6">
        <v>44778</v>
      </c>
      <c r="C192" s="5" t="s">
        <v>192</v>
      </c>
      <c r="D192" s="5" t="s">
        <v>413</v>
      </c>
      <c r="E192" s="8">
        <v>1020.1</v>
      </c>
    </row>
    <row r="193" spans="1:5" x14ac:dyDescent="0.25">
      <c r="A193" s="5" t="s">
        <v>23</v>
      </c>
      <c r="B193" s="6">
        <v>44778</v>
      </c>
      <c r="C193" s="5" t="s">
        <v>193</v>
      </c>
      <c r="D193" s="5" t="s">
        <v>413</v>
      </c>
      <c r="E193" s="8">
        <v>729.6</v>
      </c>
    </row>
    <row r="194" spans="1:5" x14ac:dyDescent="0.25">
      <c r="A194" s="5" t="s">
        <v>23</v>
      </c>
      <c r="B194" s="6">
        <v>44778</v>
      </c>
      <c r="C194" s="5" t="s">
        <v>194</v>
      </c>
      <c r="D194" s="5" t="s">
        <v>413</v>
      </c>
      <c r="E194" s="8">
        <v>606.29999999999995</v>
      </c>
    </row>
    <row r="195" spans="1:5" x14ac:dyDescent="0.25">
      <c r="A195" s="5" t="s">
        <v>23</v>
      </c>
      <c r="B195" s="6">
        <v>44778</v>
      </c>
      <c r="C195" s="5" t="s">
        <v>195</v>
      </c>
      <c r="D195" s="5" t="s">
        <v>413</v>
      </c>
      <c r="E195" s="8">
        <v>933.45</v>
      </c>
    </row>
    <row r="196" spans="1:5" x14ac:dyDescent="0.25">
      <c r="A196" s="5" t="s">
        <v>23</v>
      </c>
      <c r="B196" s="6">
        <v>44778</v>
      </c>
      <c r="C196" s="5" t="s">
        <v>196</v>
      </c>
      <c r="D196" s="5" t="s">
        <v>413</v>
      </c>
      <c r="E196" s="8">
        <v>831.52</v>
      </c>
    </row>
    <row r="197" spans="1:5" x14ac:dyDescent="0.25">
      <c r="A197" s="5" t="s">
        <v>23</v>
      </c>
      <c r="B197" s="6">
        <v>44778</v>
      </c>
      <c r="C197" s="5" t="s">
        <v>197</v>
      </c>
      <c r="D197" s="5" t="s">
        <v>412</v>
      </c>
      <c r="E197" s="8">
        <v>44.13</v>
      </c>
    </row>
    <row r="198" spans="1:5" x14ac:dyDescent="0.25">
      <c r="A198" s="5" t="s">
        <v>23</v>
      </c>
      <c r="B198" s="6">
        <v>44778</v>
      </c>
      <c r="C198" s="5" t="s">
        <v>198</v>
      </c>
      <c r="D198" s="5" t="s">
        <v>413</v>
      </c>
      <c r="E198" s="8">
        <v>507.41</v>
      </c>
    </row>
    <row r="199" spans="1:5" x14ac:dyDescent="0.25">
      <c r="A199" s="5" t="s">
        <v>23</v>
      </c>
      <c r="B199" s="6">
        <v>44780</v>
      </c>
      <c r="C199" s="5" t="s">
        <v>199</v>
      </c>
      <c r="D199" s="5" t="s">
        <v>413</v>
      </c>
      <c r="E199" s="8">
        <v>596.95000000000005</v>
      </c>
    </row>
    <row r="200" spans="1:5" x14ac:dyDescent="0.25">
      <c r="A200" s="5" t="s">
        <v>23</v>
      </c>
      <c r="B200" s="6">
        <v>44780</v>
      </c>
      <c r="C200" s="5" t="s">
        <v>200</v>
      </c>
      <c r="D200" s="5" t="s">
        <v>413</v>
      </c>
      <c r="E200" s="8">
        <v>580.65</v>
      </c>
    </row>
    <row r="201" spans="1:5" x14ac:dyDescent="0.25">
      <c r="A201" s="5" t="s">
        <v>23</v>
      </c>
      <c r="B201" s="6">
        <v>44782</v>
      </c>
      <c r="C201" s="5" t="s">
        <v>201</v>
      </c>
      <c r="D201" s="5" t="s">
        <v>413</v>
      </c>
      <c r="E201" s="8">
        <v>1663.06</v>
      </c>
    </row>
    <row r="202" spans="1:5" x14ac:dyDescent="0.25">
      <c r="A202" s="5" t="s">
        <v>23</v>
      </c>
      <c r="B202" s="6">
        <v>44782</v>
      </c>
      <c r="C202" s="5" t="s">
        <v>202</v>
      </c>
      <c r="D202" s="5" t="s">
        <v>413</v>
      </c>
      <c r="E202" s="8">
        <v>420.42</v>
      </c>
    </row>
    <row r="203" spans="1:5" x14ac:dyDescent="0.25">
      <c r="A203" s="5" t="s">
        <v>23</v>
      </c>
      <c r="B203" s="6">
        <v>44782</v>
      </c>
      <c r="C203" s="5" t="s">
        <v>203</v>
      </c>
      <c r="D203" s="5" t="s">
        <v>413</v>
      </c>
      <c r="E203" s="8">
        <v>595</v>
      </c>
    </row>
    <row r="204" spans="1:5" x14ac:dyDescent="0.25">
      <c r="A204" s="5" t="s">
        <v>23</v>
      </c>
      <c r="B204" s="6">
        <v>44782</v>
      </c>
      <c r="C204" s="5" t="s">
        <v>204</v>
      </c>
      <c r="D204" s="5" t="s">
        <v>413</v>
      </c>
      <c r="E204" s="8">
        <v>765.56</v>
      </c>
    </row>
    <row r="205" spans="1:5" x14ac:dyDescent="0.25">
      <c r="A205" s="5" t="s">
        <v>23</v>
      </c>
      <c r="B205" s="6">
        <v>44782</v>
      </c>
      <c r="C205" s="5" t="s">
        <v>205</v>
      </c>
      <c r="D205" s="5" t="s">
        <v>413</v>
      </c>
      <c r="E205" s="8">
        <v>961.52</v>
      </c>
    </row>
    <row r="206" spans="1:5" x14ac:dyDescent="0.25">
      <c r="A206" s="5" t="s">
        <v>23</v>
      </c>
      <c r="B206" s="6">
        <v>44782</v>
      </c>
      <c r="C206" s="5" t="s">
        <v>206</v>
      </c>
      <c r="D206" s="5" t="s">
        <v>412</v>
      </c>
      <c r="E206" s="8">
        <v>95</v>
      </c>
    </row>
    <row r="207" spans="1:5" x14ac:dyDescent="0.25">
      <c r="A207" s="5" t="s">
        <v>23</v>
      </c>
      <c r="B207" s="6">
        <v>44783</v>
      </c>
      <c r="C207" s="5" t="s">
        <v>207</v>
      </c>
      <c r="D207" s="5" t="s">
        <v>412</v>
      </c>
      <c r="E207" s="8">
        <v>750</v>
      </c>
    </row>
    <row r="208" spans="1:5" x14ac:dyDescent="0.25">
      <c r="A208" s="5" t="s">
        <v>23</v>
      </c>
      <c r="B208" s="6">
        <v>44783</v>
      </c>
      <c r="C208" s="5" t="s">
        <v>208</v>
      </c>
      <c r="D208" s="5" t="s">
        <v>412</v>
      </c>
      <c r="E208" s="8">
        <v>250</v>
      </c>
    </row>
    <row r="209" spans="1:5" x14ac:dyDescent="0.25">
      <c r="A209" s="5" t="s">
        <v>23</v>
      </c>
      <c r="B209" s="6">
        <v>44784</v>
      </c>
      <c r="C209" s="5" t="s">
        <v>209</v>
      </c>
      <c r="D209" s="5" t="s">
        <v>413</v>
      </c>
      <c r="E209" s="8">
        <v>765.95</v>
      </c>
    </row>
    <row r="210" spans="1:5" x14ac:dyDescent="0.25">
      <c r="A210" s="5" t="s">
        <v>23</v>
      </c>
      <c r="B210" s="6">
        <v>44784</v>
      </c>
      <c r="C210" s="5" t="s">
        <v>210</v>
      </c>
      <c r="D210" s="5" t="s">
        <v>413</v>
      </c>
      <c r="E210" s="8">
        <v>743.52</v>
      </c>
    </row>
    <row r="211" spans="1:5" x14ac:dyDescent="0.25">
      <c r="A211" s="5" t="s">
        <v>23</v>
      </c>
      <c r="B211" s="6">
        <v>44784</v>
      </c>
      <c r="C211" s="5" t="s">
        <v>211</v>
      </c>
      <c r="D211" s="5" t="s">
        <v>413</v>
      </c>
      <c r="E211" s="8">
        <v>236.35</v>
      </c>
    </row>
    <row r="212" spans="1:5" x14ac:dyDescent="0.25">
      <c r="A212" s="5" t="s">
        <v>23</v>
      </c>
      <c r="B212" s="6">
        <v>44784</v>
      </c>
      <c r="C212" s="5" t="s">
        <v>212</v>
      </c>
      <c r="D212" s="5" t="s">
        <v>413</v>
      </c>
      <c r="E212" s="8">
        <v>944.62</v>
      </c>
    </row>
    <row r="213" spans="1:5" x14ac:dyDescent="0.25">
      <c r="A213" s="5" t="s">
        <v>23</v>
      </c>
      <c r="B213" s="6">
        <v>44784</v>
      </c>
      <c r="C213" s="5" t="s">
        <v>213</v>
      </c>
      <c r="D213" s="5" t="s">
        <v>412</v>
      </c>
      <c r="E213" s="8">
        <v>1017.5</v>
      </c>
    </row>
    <row r="214" spans="1:5" x14ac:dyDescent="0.25">
      <c r="A214" s="5" t="s">
        <v>23</v>
      </c>
      <c r="B214" s="6">
        <v>44784</v>
      </c>
      <c r="C214" s="5" t="s">
        <v>214</v>
      </c>
      <c r="D214" s="5" t="s">
        <v>412</v>
      </c>
      <c r="E214" s="8">
        <v>237.56</v>
      </c>
    </row>
    <row r="215" spans="1:5" x14ac:dyDescent="0.25">
      <c r="A215" s="5" t="s">
        <v>23</v>
      </c>
      <c r="B215" s="6">
        <v>44784</v>
      </c>
      <c r="C215" s="5" t="s">
        <v>215</v>
      </c>
      <c r="D215" s="5" t="s">
        <v>413</v>
      </c>
      <c r="E215" s="8">
        <v>60</v>
      </c>
    </row>
    <row r="216" spans="1:5" x14ac:dyDescent="0.25">
      <c r="A216" s="5" t="s">
        <v>23</v>
      </c>
      <c r="B216" s="6">
        <v>44784</v>
      </c>
      <c r="C216" s="5" t="s">
        <v>216</v>
      </c>
      <c r="D216" s="5" t="s">
        <v>413</v>
      </c>
      <c r="E216" s="8">
        <v>70</v>
      </c>
    </row>
    <row r="217" spans="1:5" x14ac:dyDescent="0.25">
      <c r="A217" s="5" t="s">
        <v>23</v>
      </c>
      <c r="B217" s="6">
        <v>44785</v>
      </c>
      <c r="C217" s="5" t="s">
        <v>217</v>
      </c>
      <c r="D217" s="5" t="s">
        <v>412</v>
      </c>
      <c r="E217" s="8">
        <v>372.47</v>
      </c>
    </row>
    <row r="218" spans="1:5" x14ac:dyDescent="0.25">
      <c r="A218" s="5" t="s">
        <v>23</v>
      </c>
      <c r="B218" s="6">
        <v>44785</v>
      </c>
      <c r="C218" s="5" t="s">
        <v>218</v>
      </c>
      <c r="D218" s="5" t="s">
        <v>422</v>
      </c>
      <c r="E218" s="8">
        <v>22500</v>
      </c>
    </row>
    <row r="219" spans="1:5" x14ac:dyDescent="0.25">
      <c r="A219" s="5" t="s">
        <v>23</v>
      </c>
      <c r="B219" s="6">
        <v>44787</v>
      </c>
      <c r="C219" s="5" t="s">
        <v>81</v>
      </c>
      <c r="D219" s="5" t="s">
        <v>420</v>
      </c>
      <c r="E219" s="8">
        <v>17200</v>
      </c>
    </row>
    <row r="220" spans="1:5" x14ac:dyDescent="0.25">
      <c r="A220" s="5" t="s">
        <v>23</v>
      </c>
      <c r="B220" s="6">
        <v>44788</v>
      </c>
      <c r="C220" s="5" t="s">
        <v>219</v>
      </c>
      <c r="D220" s="5" t="s">
        <v>413</v>
      </c>
      <c r="E220" s="8">
        <v>1653.08</v>
      </c>
    </row>
    <row r="221" spans="1:5" x14ac:dyDescent="0.25">
      <c r="A221" s="5" t="s">
        <v>23</v>
      </c>
      <c r="B221" s="6">
        <v>44788</v>
      </c>
      <c r="C221" s="5" t="s">
        <v>220</v>
      </c>
      <c r="D221" s="5" t="s">
        <v>413</v>
      </c>
      <c r="E221" s="8">
        <v>927.17</v>
      </c>
    </row>
    <row r="222" spans="1:5" x14ac:dyDescent="0.25">
      <c r="A222" s="5" t="s">
        <v>23</v>
      </c>
      <c r="B222" s="6">
        <v>44788</v>
      </c>
      <c r="C222" s="5" t="s">
        <v>221</v>
      </c>
      <c r="D222" s="5" t="s">
        <v>413</v>
      </c>
      <c r="E222" s="8">
        <v>426.42</v>
      </c>
    </row>
    <row r="223" spans="1:5" x14ac:dyDescent="0.25">
      <c r="A223" s="5" t="s">
        <v>23</v>
      </c>
      <c r="B223" s="6">
        <v>44788</v>
      </c>
      <c r="C223" s="5" t="s">
        <v>222</v>
      </c>
      <c r="D223" s="5" t="s">
        <v>413</v>
      </c>
      <c r="E223" s="8">
        <v>1142.58</v>
      </c>
    </row>
    <row r="224" spans="1:5" x14ac:dyDescent="0.25">
      <c r="A224" s="5" t="s">
        <v>23</v>
      </c>
      <c r="B224" s="6">
        <v>44788</v>
      </c>
      <c r="C224" s="5" t="s">
        <v>223</v>
      </c>
      <c r="D224" s="5" t="s">
        <v>413</v>
      </c>
      <c r="E224" s="8">
        <v>1003.75</v>
      </c>
    </row>
    <row r="225" spans="1:5" x14ac:dyDescent="0.25">
      <c r="A225" s="5" t="s">
        <v>23</v>
      </c>
      <c r="B225" s="6">
        <v>44788</v>
      </c>
      <c r="C225" s="5" t="s">
        <v>224</v>
      </c>
      <c r="D225" s="5" t="s">
        <v>413</v>
      </c>
      <c r="E225" s="8">
        <v>936.14</v>
      </c>
    </row>
    <row r="226" spans="1:5" x14ac:dyDescent="0.25">
      <c r="A226" s="5" t="s">
        <v>23</v>
      </c>
      <c r="B226" s="6">
        <v>44788</v>
      </c>
      <c r="C226" s="5" t="s">
        <v>225</v>
      </c>
      <c r="D226" s="5" t="s">
        <v>413</v>
      </c>
      <c r="E226" s="8">
        <v>955.44</v>
      </c>
    </row>
    <row r="227" spans="1:5" x14ac:dyDescent="0.25">
      <c r="A227" s="5" t="s">
        <v>23</v>
      </c>
      <c r="B227" s="6">
        <v>44788</v>
      </c>
      <c r="C227" s="5" t="s">
        <v>226</v>
      </c>
      <c r="D227" s="5" t="s">
        <v>413</v>
      </c>
      <c r="E227" s="8">
        <v>1412.9</v>
      </c>
    </row>
    <row r="228" spans="1:5" x14ac:dyDescent="0.25">
      <c r="A228" s="5" t="s">
        <v>23</v>
      </c>
      <c r="B228" s="6">
        <v>44788</v>
      </c>
      <c r="C228" s="5" t="s">
        <v>227</v>
      </c>
      <c r="D228" s="5" t="s">
        <v>413</v>
      </c>
      <c r="E228" s="8">
        <v>123.4</v>
      </c>
    </row>
    <row r="229" spans="1:5" x14ac:dyDescent="0.25">
      <c r="A229" s="5" t="s">
        <v>23</v>
      </c>
      <c r="B229" s="6">
        <v>44788</v>
      </c>
      <c r="C229" s="5" t="s">
        <v>228</v>
      </c>
      <c r="D229" s="5" t="s">
        <v>413</v>
      </c>
      <c r="E229" s="8">
        <v>775.9</v>
      </c>
    </row>
    <row r="230" spans="1:5" x14ac:dyDescent="0.25">
      <c r="A230" s="5" t="s">
        <v>23</v>
      </c>
      <c r="B230" s="6">
        <v>44788</v>
      </c>
      <c r="C230" s="5" t="s">
        <v>229</v>
      </c>
      <c r="D230" s="5" t="s">
        <v>412</v>
      </c>
      <c r="E230" s="8">
        <v>254.24</v>
      </c>
    </row>
    <row r="231" spans="1:5" x14ac:dyDescent="0.25">
      <c r="A231" s="5" t="s">
        <v>23</v>
      </c>
      <c r="B231" s="6">
        <v>44789</v>
      </c>
      <c r="C231" s="5" t="s">
        <v>230</v>
      </c>
      <c r="D231" s="5" t="s">
        <v>412</v>
      </c>
      <c r="E231" s="8">
        <v>370.2</v>
      </c>
    </row>
    <row r="232" spans="1:5" x14ac:dyDescent="0.25">
      <c r="A232" s="5" t="s">
        <v>23</v>
      </c>
      <c r="B232" s="6">
        <v>44790</v>
      </c>
      <c r="C232" s="5" t="s">
        <v>231</v>
      </c>
      <c r="D232" s="5" t="s">
        <v>412</v>
      </c>
      <c r="E232" s="8">
        <v>902.25</v>
      </c>
    </row>
    <row r="233" spans="1:5" x14ac:dyDescent="0.25">
      <c r="A233" s="5" t="s">
        <v>23</v>
      </c>
      <c r="B233" s="6">
        <v>44795</v>
      </c>
      <c r="C233" s="5" t="s">
        <v>232</v>
      </c>
      <c r="D233" s="5" t="s">
        <v>413</v>
      </c>
      <c r="E233" s="8">
        <v>618.54</v>
      </c>
    </row>
    <row r="234" spans="1:5" x14ac:dyDescent="0.25">
      <c r="A234" s="5" t="s">
        <v>23</v>
      </c>
      <c r="B234" s="6">
        <v>44795</v>
      </c>
      <c r="C234" s="5" t="s">
        <v>233</v>
      </c>
      <c r="D234" s="5" t="s">
        <v>413</v>
      </c>
      <c r="E234" s="8">
        <v>896.46</v>
      </c>
    </row>
    <row r="235" spans="1:5" x14ac:dyDescent="0.25">
      <c r="A235" s="5" t="s">
        <v>23</v>
      </c>
      <c r="B235" s="6">
        <v>44795</v>
      </c>
      <c r="C235" s="5" t="s">
        <v>234</v>
      </c>
      <c r="D235" s="5" t="s">
        <v>413</v>
      </c>
      <c r="E235" s="8">
        <v>604.45000000000005</v>
      </c>
    </row>
    <row r="236" spans="1:5" x14ac:dyDescent="0.25">
      <c r="A236" s="5" t="s">
        <v>23</v>
      </c>
      <c r="B236" s="6">
        <v>44795</v>
      </c>
      <c r="C236" s="5" t="s">
        <v>235</v>
      </c>
      <c r="D236" s="5" t="s">
        <v>413</v>
      </c>
      <c r="E236" s="8">
        <v>743.52</v>
      </c>
    </row>
    <row r="237" spans="1:5" x14ac:dyDescent="0.25">
      <c r="A237" s="5" t="s">
        <v>23</v>
      </c>
      <c r="B237" s="6">
        <v>44795</v>
      </c>
      <c r="C237" s="5" t="s">
        <v>236</v>
      </c>
      <c r="D237" s="5" t="s">
        <v>413</v>
      </c>
      <c r="E237" s="8">
        <v>1024.4000000000001</v>
      </c>
    </row>
    <row r="238" spans="1:5" x14ac:dyDescent="0.25">
      <c r="A238" s="5" t="s">
        <v>23</v>
      </c>
      <c r="B238" s="6">
        <v>44795</v>
      </c>
      <c r="C238" s="5" t="s">
        <v>237</v>
      </c>
      <c r="D238" s="5" t="s">
        <v>413</v>
      </c>
      <c r="E238" s="8">
        <v>686.3</v>
      </c>
    </row>
    <row r="239" spans="1:5" x14ac:dyDescent="0.25">
      <c r="A239" s="5" t="s">
        <v>23</v>
      </c>
      <c r="B239" s="6">
        <v>44795</v>
      </c>
      <c r="C239" s="5" t="s">
        <v>238</v>
      </c>
      <c r="D239" s="5" t="s">
        <v>413</v>
      </c>
      <c r="E239" s="8">
        <v>340.95</v>
      </c>
    </row>
    <row r="240" spans="1:5" x14ac:dyDescent="0.25">
      <c r="A240" s="5" t="s">
        <v>23</v>
      </c>
      <c r="B240" s="6">
        <v>44795</v>
      </c>
      <c r="C240" s="5" t="s">
        <v>239</v>
      </c>
      <c r="D240" s="5" t="s">
        <v>413</v>
      </c>
      <c r="E240" s="8">
        <v>70</v>
      </c>
    </row>
    <row r="241" spans="1:5" x14ac:dyDescent="0.25">
      <c r="A241" s="5" t="s">
        <v>23</v>
      </c>
      <c r="B241" s="6">
        <v>44795</v>
      </c>
      <c r="C241" s="5" t="s">
        <v>240</v>
      </c>
      <c r="D241" s="5" t="s">
        <v>413</v>
      </c>
      <c r="E241" s="8">
        <v>101</v>
      </c>
    </row>
    <row r="242" spans="1:5" x14ac:dyDescent="0.25">
      <c r="A242" s="5" t="s">
        <v>23</v>
      </c>
      <c r="B242" s="6">
        <v>44795</v>
      </c>
      <c r="C242" s="5" t="s">
        <v>241</v>
      </c>
      <c r="D242" s="5" t="s">
        <v>413</v>
      </c>
      <c r="E242" s="8">
        <v>908.35</v>
      </c>
    </row>
    <row r="243" spans="1:5" x14ac:dyDescent="0.25">
      <c r="A243" s="5" t="s">
        <v>23</v>
      </c>
      <c r="B243" s="6">
        <v>44795</v>
      </c>
      <c r="C243" s="5" t="s">
        <v>242</v>
      </c>
      <c r="D243" s="5" t="s">
        <v>412</v>
      </c>
      <c r="E243" s="8">
        <v>1888.97</v>
      </c>
    </row>
    <row r="244" spans="1:5" x14ac:dyDescent="0.25">
      <c r="A244" s="5" t="s">
        <v>23</v>
      </c>
      <c r="B244" s="6">
        <v>44795</v>
      </c>
      <c r="C244" s="5" t="s">
        <v>243</v>
      </c>
      <c r="D244" s="5" t="s">
        <v>412</v>
      </c>
      <c r="E244" s="8">
        <v>286</v>
      </c>
    </row>
    <row r="245" spans="1:5" x14ac:dyDescent="0.25">
      <c r="A245" s="5" t="s">
        <v>23</v>
      </c>
      <c r="B245" s="6">
        <v>44796</v>
      </c>
      <c r="C245" s="5" t="s">
        <v>244</v>
      </c>
      <c r="D245" s="5" t="s">
        <v>413</v>
      </c>
      <c r="E245" s="8">
        <v>659.51</v>
      </c>
    </row>
    <row r="246" spans="1:5" x14ac:dyDescent="0.25">
      <c r="A246" s="5" t="s">
        <v>23</v>
      </c>
      <c r="B246" s="6">
        <v>44796</v>
      </c>
      <c r="C246" s="5" t="s">
        <v>245</v>
      </c>
      <c r="D246" s="5" t="s">
        <v>413</v>
      </c>
      <c r="E246" s="8">
        <v>666.98</v>
      </c>
    </row>
    <row r="247" spans="1:5" x14ac:dyDescent="0.25">
      <c r="A247" s="5" t="s">
        <v>23</v>
      </c>
      <c r="B247" s="6">
        <v>44796</v>
      </c>
      <c r="C247" s="5" t="s">
        <v>246</v>
      </c>
      <c r="D247" s="5" t="s">
        <v>413</v>
      </c>
      <c r="E247" s="8">
        <v>70</v>
      </c>
    </row>
    <row r="248" spans="1:5" x14ac:dyDescent="0.25">
      <c r="A248" s="5" t="s">
        <v>23</v>
      </c>
      <c r="B248" s="6">
        <v>44796</v>
      </c>
      <c r="C248" s="5" t="s">
        <v>247</v>
      </c>
      <c r="D248" s="5" t="s">
        <v>413</v>
      </c>
      <c r="E248" s="8">
        <v>440</v>
      </c>
    </row>
    <row r="249" spans="1:5" x14ac:dyDescent="0.25">
      <c r="A249" s="5" t="s">
        <v>23</v>
      </c>
      <c r="B249" s="6">
        <v>44796</v>
      </c>
      <c r="C249" s="5" t="s">
        <v>248</v>
      </c>
      <c r="D249" s="5" t="s">
        <v>412</v>
      </c>
      <c r="E249" s="8">
        <v>566</v>
      </c>
    </row>
    <row r="250" spans="1:5" x14ac:dyDescent="0.25">
      <c r="A250" s="5" t="s">
        <v>23</v>
      </c>
      <c r="B250" s="6">
        <v>44797</v>
      </c>
      <c r="C250" s="5" t="s">
        <v>249</v>
      </c>
      <c r="D250" s="5" t="s">
        <v>413</v>
      </c>
      <c r="E250" s="8">
        <v>553</v>
      </c>
    </row>
    <row r="251" spans="1:5" x14ac:dyDescent="0.25">
      <c r="A251" s="5" t="s">
        <v>23</v>
      </c>
      <c r="B251" s="6">
        <v>44797</v>
      </c>
      <c r="C251" s="5" t="s">
        <v>250</v>
      </c>
      <c r="D251" s="5" t="s">
        <v>413</v>
      </c>
      <c r="E251" s="8">
        <v>906.02</v>
      </c>
    </row>
    <row r="252" spans="1:5" x14ac:dyDescent="0.25">
      <c r="A252" s="5" t="s">
        <v>23</v>
      </c>
      <c r="B252" s="6">
        <v>44797</v>
      </c>
      <c r="C252" s="5" t="s">
        <v>251</v>
      </c>
      <c r="D252" s="5" t="s">
        <v>413</v>
      </c>
      <c r="E252" s="8">
        <v>586.29999999999995</v>
      </c>
    </row>
    <row r="253" spans="1:5" x14ac:dyDescent="0.25">
      <c r="A253" s="5" t="s">
        <v>23</v>
      </c>
      <c r="B253" s="6">
        <v>44797</v>
      </c>
      <c r="C253" s="5" t="s">
        <v>252</v>
      </c>
      <c r="D253" s="5" t="s">
        <v>413</v>
      </c>
      <c r="E253" s="8">
        <v>997.95</v>
      </c>
    </row>
    <row r="254" spans="1:5" x14ac:dyDescent="0.25">
      <c r="A254" s="5" t="s">
        <v>23</v>
      </c>
      <c r="B254" s="6">
        <v>44797</v>
      </c>
      <c r="C254" s="5" t="s">
        <v>253</v>
      </c>
      <c r="D254" s="5" t="s">
        <v>413</v>
      </c>
      <c r="E254" s="8">
        <v>627.55999999999995</v>
      </c>
    </row>
    <row r="255" spans="1:5" x14ac:dyDescent="0.25">
      <c r="A255" s="5" t="s">
        <v>23</v>
      </c>
      <c r="B255" s="6">
        <v>44797</v>
      </c>
      <c r="C255" s="5" t="s">
        <v>254</v>
      </c>
      <c r="D255" s="5" t="s">
        <v>413</v>
      </c>
      <c r="E255" s="8">
        <v>763.1</v>
      </c>
    </row>
    <row r="256" spans="1:5" x14ac:dyDescent="0.25">
      <c r="A256" s="5" t="s">
        <v>23</v>
      </c>
      <c r="B256" s="6">
        <v>44797</v>
      </c>
      <c r="C256" s="5" t="s">
        <v>255</v>
      </c>
      <c r="D256" s="5" t="s">
        <v>413</v>
      </c>
      <c r="E256" s="8">
        <v>808.75</v>
      </c>
    </row>
    <row r="257" spans="1:5" x14ac:dyDescent="0.25">
      <c r="A257" s="5" t="s">
        <v>23</v>
      </c>
      <c r="B257" s="6">
        <v>44797</v>
      </c>
      <c r="C257" s="5" t="s">
        <v>256</v>
      </c>
      <c r="D257" s="5" t="s">
        <v>413</v>
      </c>
      <c r="E257" s="8">
        <v>457.75</v>
      </c>
    </row>
    <row r="258" spans="1:5" x14ac:dyDescent="0.25">
      <c r="A258" s="5" t="s">
        <v>23</v>
      </c>
      <c r="B258" s="6">
        <v>44797</v>
      </c>
      <c r="C258" s="5" t="s">
        <v>257</v>
      </c>
      <c r="D258" s="5" t="s">
        <v>412</v>
      </c>
      <c r="E258" s="8">
        <v>1260.56</v>
      </c>
    </row>
    <row r="259" spans="1:5" x14ac:dyDescent="0.25">
      <c r="A259" s="5" t="s">
        <v>23</v>
      </c>
      <c r="B259" s="6">
        <v>44797</v>
      </c>
      <c r="C259" s="5" t="s">
        <v>258</v>
      </c>
      <c r="D259" s="5" t="s">
        <v>412</v>
      </c>
      <c r="E259" s="8">
        <v>254.24</v>
      </c>
    </row>
    <row r="260" spans="1:5" x14ac:dyDescent="0.25">
      <c r="A260" s="5" t="s">
        <v>23</v>
      </c>
      <c r="B260" s="6">
        <v>44797</v>
      </c>
      <c r="C260" s="5" t="s">
        <v>259</v>
      </c>
      <c r="D260" s="5" t="s">
        <v>413</v>
      </c>
      <c r="E260" s="8">
        <v>863.83</v>
      </c>
    </row>
    <row r="261" spans="1:5" x14ac:dyDescent="0.25">
      <c r="A261" s="5" t="s">
        <v>23</v>
      </c>
      <c r="B261" s="6">
        <v>44797</v>
      </c>
      <c r="C261" s="5" t="s">
        <v>260</v>
      </c>
      <c r="D261" s="5" t="s">
        <v>413</v>
      </c>
      <c r="E261" s="8">
        <v>1079.05</v>
      </c>
    </row>
    <row r="262" spans="1:5" x14ac:dyDescent="0.25">
      <c r="A262" s="5" t="s">
        <v>23</v>
      </c>
      <c r="B262" s="6">
        <v>44798</v>
      </c>
      <c r="C262" s="5" t="s">
        <v>261</v>
      </c>
      <c r="D262" s="5" t="s">
        <v>412</v>
      </c>
      <c r="E262" s="8">
        <v>5177.28</v>
      </c>
    </row>
    <row r="263" spans="1:5" x14ac:dyDescent="0.25">
      <c r="A263" s="5" t="s">
        <v>23</v>
      </c>
      <c r="B263" s="6">
        <v>44798</v>
      </c>
      <c r="C263" s="5" t="s">
        <v>262</v>
      </c>
      <c r="D263" s="5" t="s">
        <v>412</v>
      </c>
      <c r="E263" s="8">
        <v>118</v>
      </c>
    </row>
    <row r="264" spans="1:5" x14ac:dyDescent="0.25">
      <c r="A264" s="5" t="s">
        <v>23</v>
      </c>
      <c r="B264" s="6">
        <v>44798</v>
      </c>
      <c r="C264" s="5" t="s">
        <v>263</v>
      </c>
      <c r="D264" s="5" t="s">
        <v>413</v>
      </c>
      <c r="E264" s="8">
        <v>1079.05</v>
      </c>
    </row>
    <row r="265" spans="1:5" x14ac:dyDescent="0.25">
      <c r="A265" s="5" t="s">
        <v>23</v>
      </c>
      <c r="B265" s="6">
        <v>44799</v>
      </c>
      <c r="C265" s="5" t="s">
        <v>264</v>
      </c>
      <c r="D265" s="5" t="s">
        <v>413</v>
      </c>
      <c r="E265" s="8">
        <v>388.82</v>
      </c>
    </row>
    <row r="266" spans="1:5" x14ac:dyDescent="0.25">
      <c r="A266" s="5" t="s">
        <v>23</v>
      </c>
      <c r="B266" s="6">
        <v>44799</v>
      </c>
      <c r="C266" s="5" t="s">
        <v>265</v>
      </c>
      <c r="D266" s="5" t="s">
        <v>413</v>
      </c>
      <c r="E266" s="8">
        <v>877.2</v>
      </c>
    </row>
    <row r="267" spans="1:5" x14ac:dyDescent="0.25">
      <c r="A267" s="5" t="s">
        <v>23</v>
      </c>
      <c r="B267" s="6">
        <v>44799</v>
      </c>
      <c r="C267" s="5" t="s">
        <v>266</v>
      </c>
      <c r="D267" s="5" t="s">
        <v>413</v>
      </c>
      <c r="E267" s="8">
        <v>426.5</v>
      </c>
    </row>
    <row r="268" spans="1:5" x14ac:dyDescent="0.25">
      <c r="A268" s="5" t="s">
        <v>23</v>
      </c>
      <c r="B268" s="6">
        <v>44799</v>
      </c>
      <c r="C268" s="5" t="s">
        <v>267</v>
      </c>
      <c r="D268" s="5" t="s">
        <v>413</v>
      </c>
      <c r="E268" s="8">
        <v>839.56</v>
      </c>
    </row>
    <row r="269" spans="1:5" x14ac:dyDescent="0.25">
      <c r="A269" s="5" t="s">
        <v>23</v>
      </c>
      <c r="B269" s="6">
        <v>44800</v>
      </c>
      <c r="C269" s="5" t="s">
        <v>268</v>
      </c>
      <c r="D269" s="5" t="s">
        <v>413</v>
      </c>
      <c r="E269" s="8">
        <v>324.74</v>
      </c>
    </row>
    <row r="270" spans="1:5" x14ac:dyDescent="0.25">
      <c r="A270" s="5" t="s">
        <v>23</v>
      </c>
      <c r="B270" s="6">
        <v>44803</v>
      </c>
      <c r="C270" s="5" t="s">
        <v>269</v>
      </c>
      <c r="D270" s="5" t="s">
        <v>413</v>
      </c>
      <c r="E270" s="8">
        <v>920.81</v>
      </c>
    </row>
    <row r="271" spans="1:5" x14ac:dyDescent="0.25">
      <c r="A271" s="5" t="s">
        <v>23</v>
      </c>
      <c r="B271" s="6">
        <v>44803</v>
      </c>
      <c r="C271" s="5" t="s">
        <v>270</v>
      </c>
      <c r="D271" s="5" t="s">
        <v>413</v>
      </c>
      <c r="E271" s="8">
        <v>640.78</v>
      </c>
    </row>
    <row r="272" spans="1:5" x14ac:dyDescent="0.25">
      <c r="A272" s="5" t="s">
        <v>23</v>
      </c>
      <c r="B272" s="6">
        <v>44803</v>
      </c>
      <c r="C272" s="5" t="s">
        <v>271</v>
      </c>
      <c r="D272" s="5" t="s">
        <v>413</v>
      </c>
      <c r="E272" s="8">
        <v>515</v>
      </c>
    </row>
    <row r="273" spans="1:5" x14ac:dyDescent="0.25">
      <c r="A273" s="5" t="s">
        <v>23</v>
      </c>
      <c r="B273" s="6">
        <v>44803</v>
      </c>
      <c r="C273" s="5" t="s">
        <v>272</v>
      </c>
      <c r="D273" s="5" t="s">
        <v>412</v>
      </c>
      <c r="E273" s="8">
        <v>1106</v>
      </c>
    </row>
    <row r="274" spans="1:5" x14ac:dyDescent="0.25">
      <c r="A274" s="5" t="s">
        <v>23</v>
      </c>
      <c r="B274" s="6">
        <v>44804</v>
      </c>
      <c r="C274" s="5" t="s">
        <v>273</v>
      </c>
      <c r="D274" s="5" t="s">
        <v>413</v>
      </c>
      <c r="E274" s="8">
        <v>163.92</v>
      </c>
    </row>
    <row r="275" spans="1:5" x14ac:dyDescent="0.25">
      <c r="A275" s="5" t="s">
        <v>23</v>
      </c>
      <c r="B275" s="6">
        <v>44804</v>
      </c>
      <c r="C275" s="5" t="s">
        <v>274</v>
      </c>
      <c r="D275" s="5" t="s">
        <v>413</v>
      </c>
      <c r="E275" s="8">
        <v>1100.71</v>
      </c>
    </row>
    <row r="276" spans="1:5" x14ac:dyDescent="0.25">
      <c r="A276" s="5" t="s">
        <v>23</v>
      </c>
      <c r="B276" s="6">
        <v>44804</v>
      </c>
      <c r="C276" s="5" t="s">
        <v>275</v>
      </c>
      <c r="D276" s="5" t="s">
        <v>413</v>
      </c>
      <c r="E276" s="8">
        <v>409.3</v>
      </c>
    </row>
    <row r="277" spans="1:5" x14ac:dyDescent="0.25">
      <c r="A277" s="5" t="s">
        <v>23</v>
      </c>
      <c r="B277" s="6">
        <v>44804</v>
      </c>
      <c r="C277" s="5" t="s">
        <v>276</v>
      </c>
      <c r="D277" s="5" t="s">
        <v>413</v>
      </c>
      <c r="E277" s="8">
        <v>31</v>
      </c>
    </row>
    <row r="278" spans="1:5" x14ac:dyDescent="0.25">
      <c r="A278" s="5" t="s">
        <v>23</v>
      </c>
      <c r="B278" s="6">
        <v>44804</v>
      </c>
      <c r="C278" s="5" t="s">
        <v>277</v>
      </c>
      <c r="D278" s="5" t="s">
        <v>413</v>
      </c>
      <c r="E278" s="8">
        <v>709.93</v>
      </c>
    </row>
    <row r="279" spans="1:5" x14ac:dyDescent="0.25">
      <c r="A279" s="5" t="s">
        <v>23</v>
      </c>
      <c r="B279" s="6">
        <v>44804</v>
      </c>
      <c r="C279" s="5" t="s">
        <v>278</v>
      </c>
      <c r="D279" s="5" t="s">
        <v>413</v>
      </c>
      <c r="E279" s="8">
        <v>55.65</v>
      </c>
    </row>
    <row r="280" spans="1:5" x14ac:dyDescent="0.25">
      <c r="A280" s="5" t="s">
        <v>23</v>
      </c>
      <c r="B280" s="6">
        <v>44804</v>
      </c>
      <c r="C280" s="5" t="s">
        <v>279</v>
      </c>
      <c r="D280" s="5" t="s">
        <v>412</v>
      </c>
      <c r="E280" s="8">
        <v>612</v>
      </c>
    </row>
    <row r="281" spans="1:5" x14ac:dyDescent="0.25">
      <c r="A281" s="5" t="s">
        <v>23</v>
      </c>
      <c r="B281" s="6">
        <v>44806</v>
      </c>
      <c r="C281" s="5" t="s">
        <v>280</v>
      </c>
      <c r="D281" s="5" t="s">
        <v>413</v>
      </c>
      <c r="E281" s="8">
        <v>901.52</v>
      </c>
    </row>
    <row r="282" spans="1:5" x14ac:dyDescent="0.25">
      <c r="A282" s="5" t="s">
        <v>23</v>
      </c>
      <c r="B282" s="6">
        <v>44806</v>
      </c>
      <c r="C282" s="5" t="s">
        <v>281</v>
      </c>
      <c r="D282" s="5" t="s">
        <v>413</v>
      </c>
      <c r="E282" s="8">
        <v>400.38</v>
      </c>
    </row>
    <row r="283" spans="1:5" x14ac:dyDescent="0.25">
      <c r="A283" s="5" t="s">
        <v>23</v>
      </c>
      <c r="B283" s="6">
        <v>44806</v>
      </c>
      <c r="C283" s="5" t="s">
        <v>282</v>
      </c>
      <c r="D283" s="5" t="s">
        <v>413</v>
      </c>
      <c r="E283" s="8">
        <v>284.5</v>
      </c>
    </row>
    <row r="284" spans="1:5" x14ac:dyDescent="0.25">
      <c r="A284" s="5" t="s">
        <v>23</v>
      </c>
      <c r="B284" s="6">
        <v>44806</v>
      </c>
      <c r="C284" s="5" t="s">
        <v>283</v>
      </c>
      <c r="D284" s="5" t="s">
        <v>413</v>
      </c>
      <c r="E284" s="8">
        <v>729.25</v>
      </c>
    </row>
    <row r="285" spans="1:5" x14ac:dyDescent="0.25">
      <c r="A285" s="5" t="s">
        <v>23</v>
      </c>
      <c r="B285" s="6">
        <v>44806</v>
      </c>
      <c r="C285" s="5" t="s">
        <v>284</v>
      </c>
      <c r="D285" s="5" t="s">
        <v>413</v>
      </c>
      <c r="E285" s="8">
        <v>256.86</v>
      </c>
    </row>
    <row r="286" spans="1:5" x14ac:dyDescent="0.25">
      <c r="A286" s="5" t="s">
        <v>23</v>
      </c>
      <c r="B286" s="6">
        <v>44806</v>
      </c>
      <c r="C286" s="5" t="s">
        <v>285</v>
      </c>
      <c r="D286" s="5" t="s">
        <v>413</v>
      </c>
      <c r="E286" s="8">
        <v>683.29</v>
      </c>
    </row>
    <row r="287" spans="1:5" x14ac:dyDescent="0.25">
      <c r="A287" s="5" t="s">
        <v>23</v>
      </c>
      <c r="B287" s="6">
        <v>44806</v>
      </c>
      <c r="C287" s="5" t="s">
        <v>286</v>
      </c>
      <c r="D287" s="5" t="s">
        <v>413</v>
      </c>
      <c r="E287" s="8">
        <v>220.55</v>
      </c>
    </row>
    <row r="288" spans="1:5" x14ac:dyDescent="0.25">
      <c r="A288" s="5" t="s">
        <v>23</v>
      </c>
      <c r="B288" s="6">
        <v>44806</v>
      </c>
      <c r="C288" s="5" t="s">
        <v>287</v>
      </c>
      <c r="D288" s="5" t="s">
        <v>413</v>
      </c>
      <c r="E288" s="8">
        <v>504.7</v>
      </c>
    </row>
    <row r="289" spans="1:5" x14ac:dyDescent="0.25">
      <c r="A289" s="5" t="s">
        <v>23</v>
      </c>
      <c r="B289" s="6">
        <v>44806</v>
      </c>
      <c r="C289" s="5" t="s">
        <v>288</v>
      </c>
      <c r="D289" s="5" t="s">
        <v>413</v>
      </c>
      <c r="E289" s="8">
        <v>140</v>
      </c>
    </row>
    <row r="290" spans="1:5" x14ac:dyDescent="0.25">
      <c r="A290" s="5" t="s">
        <v>23</v>
      </c>
      <c r="B290" s="6">
        <v>44806</v>
      </c>
      <c r="C290" s="5" t="s">
        <v>289</v>
      </c>
      <c r="D290" s="5" t="s">
        <v>413</v>
      </c>
      <c r="E290" s="8">
        <v>321.47000000000003</v>
      </c>
    </row>
    <row r="291" spans="1:5" x14ac:dyDescent="0.25">
      <c r="A291" s="5" t="s">
        <v>23</v>
      </c>
      <c r="B291" s="6">
        <v>44806</v>
      </c>
      <c r="C291" s="5" t="s">
        <v>290</v>
      </c>
      <c r="D291" s="5" t="s">
        <v>413</v>
      </c>
      <c r="E291" s="8">
        <v>1035.07</v>
      </c>
    </row>
    <row r="292" spans="1:5" x14ac:dyDescent="0.25">
      <c r="A292" s="5" t="s">
        <v>23</v>
      </c>
      <c r="B292" s="6">
        <v>44806</v>
      </c>
      <c r="C292" s="5" t="s">
        <v>291</v>
      </c>
      <c r="D292" s="5" t="s">
        <v>413</v>
      </c>
      <c r="E292" s="8">
        <v>507.5</v>
      </c>
    </row>
    <row r="293" spans="1:5" x14ac:dyDescent="0.25">
      <c r="A293" s="5" t="s">
        <v>23</v>
      </c>
      <c r="B293" s="6">
        <v>44806</v>
      </c>
      <c r="C293" s="5" t="s">
        <v>292</v>
      </c>
      <c r="D293" s="5" t="s">
        <v>413</v>
      </c>
      <c r="E293" s="8">
        <v>737.95</v>
      </c>
    </row>
    <row r="294" spans="1:5" x14ac:dyDescent="0.25">
      <c r="A294" s="5" t="s">
        <v>23</v>
      </c>
      <c r="B294" s="6">
        <v>44806</v>
      </c>
      <c r="C294" s="5" t="s">
        <v>293</v>
      </c>
      <c r="D294" s="5" t="s">
        <v>412</v>
      </c>
      <c r="E294" s="8">
        <v>1271.2</v>
      </c>
    </row>
    <row r="295" spans="1:5" x14ac:dyDescent="0.25">
      <c r="A295" s="5" t="s">
        <v>23</v>
      </c>
      <c r="B295" s="6">
        <v>44810</v>
      </c>
      <c r="C295" s="5" t="s">
        <v>294</v>
      </c>
      <c r="D295" s="5" t="s">
        <v>413</v>
      </c>
      <c r="E295" s="8">
        <v>251.53</v>
      </c>
    </row>
    <row r="296" spans="1:5" x14ac:dyDescent="0.25">
      <c r="A296" s="5" t="s">
        <v>23</v>
      </c>
      <c r="B296" s="6">
        <v>44811</v>
      </c>
      <c r="C296" s="5" t="s">
        <v>295</v>
      </c>
      <c r="D296" s="5" t="s">
        <v>413</v>
      </c>
      <c r="E296" s="8">
        <v>96.63</v>
      </c>
    </row>
    <row r="297" spans="1:5" x14ac:dyDescent="0.25">
      <c r="A297" s="5" t="s">
        <v>23</v>
      </c>
      <c r="B297" s="6">
        <v>44811</v>
      </c>
      <c r="C297" s="5" t="s">
        <v>296</v>
      </c>
      <c r="D297" s="5" t="s">
        <v>413</v>
      </c>
      <c r="E297" s="8">
        <v>838.77</v>
      </c>
    </row>
    <row r="298" spans="1:5" x14ac:dyDescent="0.25">
      <c r="A298" s="5" t="s">
        <v>23</v>
      </c>
      <c r="B298" s="6">
        <v>44812</v>
      </c>
      <c r="C298" s="5" t="s">
        <v>297</v>
      </c>
      <c r="D298" s="5" t="s">
        <v>423</v>
      </c>
      <c r="E298" s="8">
        <v>220000</v>
      </c>
    </row>
    <row r="299" spans="1:5" x14ac:dyDescent="0.25">
      <c r="A299" s="5" t="s">
        <v>23</v>
      </c>
      <c r="B299" s="6">
        <v>44812</v>
      </c>
      <c r="C299" s="5" t="s">
        <v>298</v>
      </c>
      <c r="D299" s="5" t="s">
        <v>413</v>
      </c>
      <c r="E299" s="8">
        <v>580.88</v>
      </c>
    </row>
    <row r="300" spans="1:5" x14ac:dyDescent="0.25">
      <c r="A300" s="5" t="s">
        <v>23</v>
      </c>
      <c r="B300" s="6">
        <v>44812</v>
      </c>
      <c r="C300" s="5" t="s">
        <v>299</v>
      </c>
      <c r="D300" s="5" t="s">
        <v>413</v>
      </c>
      <c r="E300" s="8">
        <v>553</v>
      </c>
    </row>
    <row r="301" spans="1:5" x14ac:dyDescent="0.25">
      <c r="A301" s="5" t="s">
        <v>23</v>
      </c>
      <c r="B301" s="6">
        <v>44812</v>
      </c>
      <c r="C301" s="5" t="s">
        <v>300</v>
      </c>
      <c r="D301" s="5" t="s">
        <v>412</v>
      </c>
      <c r="E301" s="8">
        <v>572.04</v>
      </c>
    </row>
    <row r="302" spans="1:5" x14ac:dyDescent="0.25">
      <c r="A302" s="5" t="s">
        <v>23</v>
      </c>
      <c r="B302" s="6">
        <v>44816</v>
      </c>
      <c r="C302" s="5" t="s">
        <v>301</v>
      </c>
      <c r="D302" s="5" t="s">
        <v>413</v>
      </c>
      <c r="E302" s="8">
        <v>887.15</v>
      </c>
    </row>
    <row r="303" spans="1:5" x14ac:dyDescent="0.25">
      <c r="A303" s="5" t="s">
        <v>23</v>
      </c>
      <c r="B303" s="6">
        <v>44816</v>
      </c>
      <c r="C303" s="5" t="s">
        <v>302</v>
      </c>
      <c r="D303" s="5" t="s">
        <v>412</v>
      </c>
      <c r="E303" s="8">
        <v>176.52</v>
      </c>
    </row>
    <row r="304" spans="1:5" x14ac:dyDescent="0.25">
      <c r="A304" s="5" t="s">
        <v>23</v>
      </c>
      <c r="B304" s="6">
        <v>44817</v>
      </c>
      <c r="C304" s="5" t="s">
        <v>303</v>
      </c>
      <c r="D304" s="5" t="s">
        <v>424</v>
      </c>
      <c r="E304" s="8">
        <v>0</v>
      </c>
    </row>
    <row r="305" spans="1:5" x14ac:dyDescent="0.25">
      <c r="A305" s="5" t="s">
        <v>23</v>
      </c>
      <c r="B305" s="6">
        <v>44817</v>
      </c>
      <c r="C305" s="5" t="s">
        <v>303</v>
      </c>
      <c r="D305" s="5" t="s">
        <v>424</v>
      </c>
      <c r="E305" s="8">
        <v>0</v>
      </c>
    </row>
    <row r="306" spans="1:5" x14ac:dyDescent="0.25">
      <c r="A306" s="5" t="s">
        <v>23</v>
      </c>
      <c r="B306" s="6">
        <v>44817</v>
      </c>
      <c r="C306" s="5" t="s">
        <v>303</v>
      </c>
      <c r="D306" s="5" t="s">
        <v>424</v>
      </c>
      <c r="E306" s="8">
        <v>0</v>
      </c>
    </row>
    <row r="307" spans="1:5" x14ac:dyDescent="0.25">
      <c r="A307" s="5" t="s">
        <v>23</v>
      </c>
      <c r="B307" s="6">
        <v>44817</v>
      </c>
      <c r="C307" s="5" t="s">
        <v>303</v>
      </c>
      <c r="D307" s="5" t="s">
        <v>424</v>
      </c>
      <c r="E307" s="8">
        <v>4860</v>
      </c>
    </row>
    <row r="308" spans="1:5" x14ac:dyDescent="0.25">
      <c r="A308" s="5" t="s">
        <v>23</v>
      </c>
      <c r="B308" s="6">
        <v>44818</v>
      </c>
      <c r="C308" s="5" t="s">
        <v>304</v>
      </c>
      <c r="D308" s="5" t="s">
        <v>412</v>
      </c>
      <c r="E308" s="8">
        <v>158</v>
      </c>
    </row>
    <row r="309" spans="1:5" x14ac:dyDescent="0.25">
      <c r="A309" s="5" t="s">
        <v>23</v>
      </c>
      <c r="B309" s="6">
        <v>44818</v>
      </c>
      <c r="C309" s="5" t="s">
        <v>305</v>
      </c>
      <c r="D309" s="5" t="s">
        <v>412</v>
      </c>
      <c r="E309" s="8">
        <v>220.65</v>
      </c>
    </row>
    <row r="310" spans="1:5" x14ac:dyDescent="0.25">
      <c r="A310" s="5" t="s">
        <v>23</v>
      </c>
      <c r="B310" s="6">
        <v>44819</v>
      </c>
      <c r="C310" s="5" t="s">
        <v>306</v>
      </c>
      <c r="D310" s="5" t="s">
        <v>412</v>
      </c>
      <c r="E310" s="8">
        <v>3068.35</v>
      </c>
    </row>
    <row r="311" spans="1:5" x14ac:dyDescent="0.25">
      <c r="A311" s="5" t="s">
        <v>23</v>
      </c>
      <c r="B311" s="6">
        <v>44819</v>
      </c>
      <c r="C311" s="5" t="s">
        <v>307</v>
      </c>
      <c r="D311" s="5" t="s">
        <v>425</v>
      </c>
      <c r="E311" s="8">
        <v>5600</v>
      </c>
    </row>
    <row r="312" spans="1:5" x14ac:dyDescent="0.25">
      <c r="A312" s="5" t="s">
        <v>23</v>
      </c>
      <c r="B312" s="6">
        <v>44819</v>
      </c>
      <c r="C312" s="5" t="s">
        <v>307</v>
      </c>
      <c r="D312" s="5" t="s">
        <v>425</v>
      </c>
      <c r="E312" s="8">
        <v>0</v>
      </c>
    </row>
    <row r="313" spans="1:5" x14ac:dyDescent="0.25">
      <c r="A313" s="5" t="s">
        <v>23</v>
      </c>
      <c r="B313" s="6">
        <v>44819</v>
      </c>
      <c r="C313" s="5" t="s">
        <v>307</v>
      </c>
      <c r="D313" s="5" t="s">
        <v>425</v>
      </c>
      <c r="E313" s="8">
        <v>0</v>
      </c>
    </row>
    <row r="314" spans="1:5" x14ac:dyDescent="0.25">
      <c r="A314" s="5" t="s">
        <v>23</v>
      </c>
      <c r="B314" s="6">
        <v>44819</v>
      </c>
      <c r="C314" s="5" t="s">
        <v>78</v>
      </c>
      <c r="D314" s="5" t="s">
        <v>410</v>
      </c>
      <c r="E314" s="8">
        <v>7286.18</v>
      </c>
    </row>
    <row r="315" spans="1:5" x14ac:dyDescent="0.25">
      <c r="A315" s="5" t="s">
        <v>23</v>
      </c>
      <c r="B315" s="6">
        <v>44819</v>
      </c>
      <c r="C315" s="5" t="s">
        <v>78</v>
      </c>
      <c r="D315" s="5" t="s">
        <v>410</v>
      </c>
      <c r="E315" s="8">
        <v>-728.62</v>
      </c>
    </row>
    <row r="316" spans="1:5" x14ac:dyDescent="0.25">
      <c r="A316" s="5" t="s">
        <v>23</v>
      </c>
      <c r="B316" s="6">
        <v>44820</v>
      </c>
      <c r="C316" s="5" t="s">
        <v>308</v>
      </c>
      <c r="D316" s="5" t="s">
        <v>413</v>
      </c>
      <c r="E316" s="8">
        <v>941.78</v>
      </c>
    </row>
    <row r="317" spans="1:5" x14ac:dyDescent="0.25">
      <c r="A317" s="5" t="s">
        <v>23</v>
      </c>
      <c r="B317" s="6">
        <v>44820</v>
      </c>
      <c r="C317" s="5" t="s">
        <v>309</v>
      </c>
      <c r="D317" s="5" t="s">
        <v>413</v>
      </c>
      <c r="E317" s="8">
        <v>580.85</v>
      </c>
    </row>
    <row r="318" spans="1:5" x14ac:dyDescent="0.25">
      <c r="A318" s="5" t="s">
        <v>23</v>
      </c>
      <c r="B318" s="6">
        <v>44820</v>
      </c>
      <c r="C318" s="5" t="s">
        <v>310</v>
      </c>
      <c r="D318" s="5" t="s">
        <v>413</v>
      </c>
      <c r="E318" s="8">
        <v>374.51</v>
      </c>
    </row>
    <row r="319" spans="1:5" x14ac:dyDescent="0.25">
      <c r="A319" s="5" t="s">
        <v>23</v>
      </c>
      <c r="B319" s="6">
        <v>44820</v>
      </c>
      <c r="C319" s="5" t="s">
        <v>311</v>
      </c>
      <c r="D319" s="5" t="s">
        <v>413</v>
      </c>
      <c r="E319" s="8">
        <v>699.75</v>
      </c>
    </row>
    <row r="320" spans="1:5" x14ac:dyDescent="0.25">
      <c r="A320" s="5" t="s">
        <v>23</v>
      </c>
      <c r="B320" s="6">
        <v>44820</v>
      </c>
      <c r="C320" s="5" t="s">
        <v>312</v>
      </c>
      <c r="D320" s="5" t="s">
        <v>413</v>
      </c>
      <c r="E320" s="8">
        <v>454.8</v>
      </c>
    </row>
    <row r="321" spans="1:5" x14ac:dyDescent="0.25">
      <c r="A321" s="5" t="s">
        <v>23</v>
      </c>
      <c r="B321" s="6">
        <v>44820</v>
      </c>
      <c r="C321" s="5" t="s">
        <v>313</v>
      </c>
      <c r="D321" s="5" t="s">
        <v>413</v>
      </c>
      <c r="E321" s="8">
        <v>412.4</v>
      </c>
    </row>
    <row r="322" spans="1:5" x14ac:dyDescent="0.25">
      <c r="A322" s="5" t="s">
        <v>23</v>
      </c>
      <c r="B322" s="6">
        <v>44820</v>
      </c>
      <c r="C322" s="5" t="s">
        <v>314</v>
      </c>
      <c r="D322" s="5" t="s">
        <v>413</v>
      </c>
      <c r="E322" s="8">
        <v>1006.92</v>
      </c>
    </row>
    <row r="323" spans="1:5" x14ac:dyDescent="0.25">
      <c r="A323" s="5" t="s">
        <v>23</v>
      </c>
      <c r="B323" s="6">
        <v>44823</v>
      </c>
      <c r="C323" s="5" t="s">
        <v>315</v>
      </c>
      <c r="D323" s="5" t="s">
        <v>412</v>
      </c>
      <c r="E323" s="8">
        <v>381.36</v>
      </c>
    </row>
    <row r="324" spans="1:5" x14ac:dyDescent="0.25">
      <c r="A324" s="5" t="s">
        <v>23</v>
      </c>
      <c r="B324" s="6">
        <v>44823</v>
      </c>
      <c r="C324" s="5" t="s">
        <v>316</v>
      </c>
      <c r="D324" s="5" t="s">
        <v>413</v>
      </c>
      <c r="E324" s="8">
        <v>545.35</v>
      </c>
    </row>
    <row r="325" spans="1:5" x14ac:dyDescent="0.25">
      <c r="A325" s="5" t="s">
        <v>23</v>
      </c>
      <c r="B325" s="6">
        <v>44823</v>
      </c>
      <c r="C325" s="5" t="s">
        <v>317</v>
      </c>
      <c r="D325" s="5" t="s">
        <v>413</v>
      </c>
      <c r="E325" s="8">
        <v>626.86</v>
      </c>
    </row>
    <row r="326" spans="1:5" x14ac:dyDescent="0.25">
      <c r="A326" s="5" t="s">
        <v>23</v>
      </c>
      <c r="B326" s="6">
        <v>44823</v>
      </c>
      <c r="C326" s="5" t="s">
        <v>318</v>
      </c>
      <c r="D326" s="5" t="s">
        <v>412</v>
      </c>
      <c r="E326" s="8">
        <v>444.92</v>
      </c>
    </row>
    <row r="327" spans="1:5" x14ac:dyDescent="0.25">
      <c r="A327" s="5" t="s">
        <v>23</v>
      </c>
      <c r="B327" s="6">
        <v>44824</v>
      </c>
      <c r="C327" s="5" t="s">
        <v>319</v>
      </c>
      <c r="D327" s="5" t="s">
        <v>413</v>
      </c>
      <c r="E327" s="8">
        <v>896.19</v>
      </c>
    </row>
    <row r="328" spans="1:5" x14ac:dyDescent="0.25">
      <c r="A328" s="5" t="s">
        <v>23</v>
      </c>
      <c r="B328" s="6">
        <v>44824</v>
      </c>
      <c r="C328" s="5" t="s">
        <v>320</v>
      </c>
      <c r="D328" s="5" t="s">
        <v>413</v>
      </c>
      <c r="E328" s="8">
        <v>956.33</v>
      </c>
    </row>
    <row r="329" spans="1:5" x14ac:dyDescent="0.25">
      <c r="A329" s="5" t="s">
        <v>23</v>
      </c>
      <c r="B329" s="6">
        <v>44824</v>
      </c>
      <c r="C329" s="5" t="s">
        <v>321</v>
      </c>
      <c r="D329" s="5" t="s">
        <v>412</v>
      </c>
      <c r="E329" s="8">
        <v>232</v>
      </c>
    </row>
    <row r="330" spans="1:5" x14ac:dyDescent="0.25">
      <c r="A330" s="5" t="s">
        <v>23</v>
      </c>
      <c r="B330" s="6">
        <v>44824</v>
      </c>
      <c r="C330" s="5" t="s">
        <v>322</v>
      </c>
      <c r="D330" s="5" t="s">
        <v>426</v>
      </c>
      <c r="E330" s="8">
        <v>45000</v>
      </c>
    </row>
    <row r="331" spans="1:5" x14ac:dyDescent="0.25">
      <c r="A331" s="5" t="s">
        <v>23</v>
      </c>
      <c r="B331" s="6">
        <v>44824</v>
      </c>
      <c r="C331" s="5" t="s">
        <v>322</v>
      </c>
      <c r="D331" s="5" t="s">
        <v>426</v>
      </c>
      <c r="E331" s="8">
        <v>0</v>
      </c>
    </row>
    <row r="332" spans="1:5" x14ac:dyDescent="0.25">
      <c r="A332" s="5" t="s">
        <v>23</v>
      </c>
      <c r="B332" s="6">
        <v>44824</v>
      </c>
      <c r="C332" s="5" t="s">
        <v>322</v>
      </c>
      <c r="D332" s="5" t="s">
        <v>426</v>
      </c>
      <c r="E332" s="8">
        <v>0</v>
      </c>
    </row>
    <row r="333" spans="1:5" x14ac:dyDescent="0.25">
      <c r="A333" s="5" t="s">
        <v>23</v>
      </c>
      <c r="B333" s="6">
        <v>44827</v>
      </c>
      <c r="C333" s="5" t="s">
        <v>323</v>
      </c>
      <c r="D333" s="5" t="s">
        <v>413</v>
      </c>
      <c r="E333" s="8">
        <v>955.44</v>
      </c>
    </row>
    <row r="334" spans="1:5" x14ac:dyDescent="0.25">
      <c r="A334" s="5" t="s">
        <v>23</v>
      </c>
      <c r="B334" s="6">
        <v>44827</v>
      </c>
      <c r="C334" s="5" t="s">
        <v>324</v>
      </c>
      <c r="D334" s="5" t="s">
        <v>413</v>
      </c>
      <c r="E334" s="8">
        <v>474.4</v>
      </c>
    </row>
    <row r="335" spans="1:5" x14ac:dyDescent="0.25">
      <c r="A335" s="5" t="s">
        <v>23</v>
      </c>
      <c r="B335" s="6">
        <v>44827</v>
      </c>
      <c r="C335" s="5" t="s">
        <v>325</v>
      </c>
      <c r="D335" s="5" t="s">
        <v>413</v>
      </c>
      <c r="E335" s="8">
        <v>355</v>
      </c>
    </row>
    <row r="336" spans="1:5" x14ac:dyDescent="0.25">
      <c r="A336" s="5" t="s">
        <v>23</v>
      </c>
      <c r="B336" s="6">
        <v>44827</v>
      </c>
      <c r="C336" s="5" t="s">
        <v>326</v>
      </c>
      <c r="D336" s="5" t="s">
        <v>413</v>
      </c>
      <c r="E336" s="8">
        <v>220</v>
      </c>
    </row>
    <row r="337" spans="1:5" x14ac:dyDescent="0.25">
      <c r="A337" s="5" t="s">
        <v>23</v>
      </c>
      <c r="B337" s="6">
        <v>44831</v>
      </c>
      <c r="C337" s="5" t="s">
        <v>327</v>
      </c>
      <c r="D337" s="5" t="s">
        <v>413</v>
      </c>
      <c r="E337" s="8">
        <v>535</v>
      </c>
    </row>
    <row r="338" spans="1:5" x14ac:dyDescent="0.25">
      <c r="A338" s="5" t="s">
        <v>23</v>
      </c>
      <c r="B338" s="6">
        <v>44833</v>
      </c>
      <c r="C338" s="5" t="s">
        <v>77</v>
      </c>
      <c r="D338" s="5" t="s">
        <v>412</v>
      </c>
      <c r="E338" s="8">
        <v>800.65</v>
      </c>
    </row>
    <row r="339" spans="1:5" x14ac:dyDescent="0.25">
      <c r="A339" s="5" t="s">
        <v>23</v>
      </c>
      <c r="B339" s="6">
        <v>44834</v>
      </c>
      <c r="C339" s="5" t="s">
        <v>328</v>
      </c>
      <c r="D339" s="5" t="s">
        <v>413</v>
      </c>
      <c r="E339" s="8">
        <v>825.19</v>
      </c>
    </row>
    <row r="340" spans="1:5" x14ac:dyDescent="0.25">
      <c r="A340" s="5" t="s">
        <v>23</v>
      </c>
      <c r="B340" s="6">
        <v>44834</v>
      </c>
      <c r="C340" s="5" t="s">
        <v>329</v>
      </c>
      <c r="D340" s="5" t="s">
        <v>413</v>
      </c>
      <c r="E340" s="8">
        <v>538.91999999999996</v>
      </c>
    </row>
    <row r="341" spans="1:5" x14ac:dyDescent="0.25">
      <c r="A341" s="5" t="s">
        <v>23</v>
      </c>
      <c r="B341" s="6">
        <v>44834</v>
      </c>
      <c r="C341" s="5" t="s">
        <v>330</v>
      </c>
      <c r="D341" s="5" t="s">
        <v>413</v>
      </c>
      <c r="E341" s="8">
        <v>769.56</v>
      </c>
    </row>
    <row r="342" spans="1:5" x14ac:dyDescent="0.25">
      <c r="A342" s="5" t="s">
        <v>23</v>
      </c>
      <c r="B342" s="6">
        <v>44834</v>
      </c>
      <c r="C342" s="5" t="s">
        <v>331</v>
      </c>
      <c r="D342" s="5" t="s">
        <v>413</v>
      </c>
      <c r="E342" s="8">
        <v>219.55</v>
      </c>
    </row>
    <row r="343" spans="1:5" x14ac:dyDescent="0.25">
      <c r="A343" s="5" t="s">
        <v>23</v>
      </c>
      <c r="B343" s="6">
        <v>44834</v>
      </c>
      <c r="C343" s="5" t="s">
        <v>332</v>
      </c>
      <c r="D343" s="5" t="s">
        <v>413</v>
      </c>
      <c r="E343" s="8">
        <v>70</v>
      </c>
    </row>
    <row r="344" spans="1:5" x14ac:dyDescent="0.25">
      <c r="A344" s="5" t="s">
        <v>23</v>
      </c>
      <c r="B344" s="6">
        <v>44834</v>
      </c>
      <c r="C344" s="5" t="s">
        <v>333</v>
      </c>
      <c r="D344" s="5" t="s">
        <v>413</v>
      </c>
      <c r="E344" s="8">
        <v>920.55</v>
      </c>
    </row>
    <row r="345" spans="1:5" x14ac:dyDescent="0.25">
      <c r="A345" s="5" t="s">
        <v>23</v>
      </c>
      <c r="B345" s="6">
        <v>44839</v>
      </c>
      <c r="C345" s="5" t="s">
        <v>334</v>
      </c>
      <c r="D345" s="5" t="s">
        <v>413</v>
      </c>
      <c r="E345" s="8">
        <v>352.1</v>
      </c>
    </row>
    <row r="346" spans="1:5" x14ac:dyDescent="0.25">
      <c r="A346" s="5" t="s">
        <v>23</v>
      </c>
      <c r="B346" s="6">
        <v>44845</v>
      </c>
      <c r="C346" s="5" t="s">
        <v>335</v>
      </c>
      <c r="D346" s="5" t="s">
        <v>413</v>
      </c>
      <c r="E346" s="8">
        <v>971.52</v>
      </c>
    </row>
    <row r="347" spans="1:5" x14ac:dyDescent="0.25">
      <c r="A347" s="5" t="s">
        <v>23</v>
      </c>
      <c r="B347" s="6">
        <v>44845</v>
      </c>
      <c r="C347" s="5" t="s">
        <v>336</v>
      </c>
      <c r="D347" s="5" t="s">
        <v>413</v>
      </c>
      <c r="E347" s="8">
        <v>971.52</v>
      </c>
    </row>
    <row r="348" spans="1:5" x14ac:dyDescent="0.25">
      <c r="A348" s="5" t="s">
        <v>23</v>
      </c>
      <c r="B348" s="6">
        <v>44847</v>
      </c>
      <c r="C348" s="5" t="s">
        <v>321</v>
      </c>
      <c r="D348" s="5" t="s">
        <v>427</v>
      </c>
      <c r="E348" s="8">
        <v>1970</v>
      </c>
    </row>
    <row r="349" spans="1:5" x14ac:dyDescent="0.25">
      <c r="A349" s="5" t="s">
        <v>23</v>
      </c>
      <c r="B349" s="6">
        <v>44847</v>
      </c>
      <c r="C349" s="5" t="s">
        <v>77</v>
      </c>
      <c r="D349" s="5" t="s">
        <v>410</v>
      </c>
      <c r="E349" s="8">
        <v>4350</v>
      </c>
    </row>
    <row r="350" spans="1:5" x14ac:dyDescent="0.25">
      <c r="A350" s="5" t="s">
        <v>23</v>
      </c>
      <c r="B350" s="6">
        <v>44847</v>
      </c>
      <c r="C350" s="5" t="s">
        <v>77</v>
      </c>
      <c r="D350" s="5" t="s">
        <v>410</v>
      </c>
      <c r="E350" s="8">
        <v>0</v>
      </c>
    </row>
    <row r="351" spans="1:5" x14ac:dyDescent="0.25">
      <c r="A351" s="5" t="s">
        <v>23</v>
      </c>
      <c r="B351" s="6">
        <v>44847</v>
      </c>
      <c r="C351" s="5" t="s">
        <v>337</v>
      </c>
      <c r="D351" s="5" t="s">
        <v>413</v>
      </c>
      <c r="E351" s="8">
        <v>220</v>
      </c>
    </row>
    <row r="352" spans="1:5" x14ac:dyDescent="0.25">
      <c r="A352" s="5" t="s">
        <v>23</v>
      </c>
      <c r="B352" s="6">
        <v>44847</v>
      </c>
      <c r="C352" s="5" t="s">
        <v>338</v>
      </c>
      <c r="D352" s="5" t="s">
        <v>413</v>
      </c>
      <c r="E352" s="8">
        <v>1686.51</v>
      </c>
    </row>
    <row r="353" spans="1:5" x14ac:dyDescent="0.25">
      <c r="A353" s="5" t="s">
        <v>23</v>
      </c>
      <c r="B353" s="6">
        <v>44851</v>
      </c>
      <c r="C353" s="5" t="s">
        <v>339</v>
      </c>
      <c r="D353" s="5" t="s">
        <v>426</v>
      </c>
      <c r="E353" s="8">
        <v>9000</v>
      </c>
    </row>
    <row r="354" spans="1:5" x14ac:dyDescent="0.25">
      <c r="A354" s="5" t="s">
        <v>23</v>
      </c>
      <c r="B354" s="6">
        <v>44851</v>
      </c>
      <c r="C354" s="5" t="s">
        <v>322</v>
      </c>
      <c r="D354" s="5" t="s">
        <v>408</v>
      </c>
      <c r="E354" s="8">
        <v>6400</v>
      </c>
    </row>
    <row r="355" spans="1:5" x14ac:dyDescent="0.25">
      <c r="A355" s="5" t="s">
        <v>23</v>
      </c>
      <c r="B355" s="6">
        <v>44851</v>
      </c>
      <c r="C355" s="5" t="s">
        <v>340</v>
      </c>
      <c r="D355" s="5" t="s">
        <v>412</v>
      </c>
      <c r="E355" s="8">
        <v>185.1</v>
      </c>
    </row>
    <row r="356" spans="1:5" x14ac:dyDescent="0.25">
      <c r="A356" s="5" t="s">
        <v>23</v>
      </c>
      <c r="B356" s="6">
        <v>44851</v>
      </c>
      <c r="C356" s="5" t="s">
        <v>341</v>
      </c>
      <c r="D356" s="5" t="s">
        <v>428</v>
      </c>
      <c r="E356" s="8">
        <v>185.09</v>
      </c>
    </row>
    <row r="357" spans="1:5" x14ac:dyDescent="0.25">
      <c r="A357" s="5" t="s">
        <v>23</v>
      </c>
      <c r="B357" s="6">
        <v>44858</v>
      </c>
      <c r="C357" s="5" t="s">
        <v>342</v>
      </c>
      <c r="D357" s="5" t="s">
        <v>405</v>
      </c>
      <c r="E357" s="8">
        <v>16000</v>
      </c>
    </row>
    <row r="358" spans="1:5" x14ac:dyDescent="0.25">
      <c r="A358" s="5" t="s">
        <v>23</v>
      </c>
      <c r="B358" s="6">
        <v>44858</v>
      </c>
      <c r="C358" s="5" t="s">
        <v>342</v>
      </c>
      <c r="D358" s="5" t="s">
        <v>405</v>
      </c>
      <c r="E358" s="8">
        <v>2750</v>
      </c>
    </row>
    <row r="359" spans="1:5" x14ac:dyDescent="0.25">
      <c r="A359" s="5" t="s">
        <v>23</v>
      </c>
      <c r="B359" s="6">
        <v>44858</v>
      </c>
      <c r="C359" s="5" t="s">
        <v>342</v>
      </c>
      <c r="D359" s="5" t="s">
        <v>405</v>
      </c>
      <c r="E359" s="8">
        <v>1600</v>
      </c>
    </row>
    <row r="360" spans="1:5" x14ac:dyDescent="0.25">
      <c r="A360" s="5" t="s">
        <v>23</v>
      </c>
      <c r="B360" s="6">
        <v>44858</v>
      </c>
      <c r="C360" s="5" t="s">
        <v>342</v>
      </c>
      <c r="D360" s="5" t="s">
        <v>405</v>
      </c>
      <c r="E360" s="8">
        <v>500</v>
      </c>
    </row>
    <row r="361" spans="1:5" x14ac:dyDescent="0.25">
      <c r="A361" s="5" t="s">
        <v>23</v>
      </c>
      <c r="B361" s="6">
        <v>44858</v>
      </c>
      <c r="C361" s="5" t="s">
        <v>342</v>
      </c>
      <c r="D361" s="5" t="s">
        <v>405</v>
      </c>
      <c r="E361" s="8">
        <v>0</v>
      </c>
    </row>
    <row r="362" spans="1:5" x14ac:dyDescent="0.25">
      <c r="A362" s="5" t="s">
        <v>23</v>
      </c>
      <c r="B362" s="6">
        <v>44866</v>
      </c>
      <c r="C362" s="5" t="s">
        <v>343</v>
      </c>
      <c r="D362" s="5" t="s">
        <v>425</v>
      </c>
      <c r="E362" s="8">
        <v>1120</v>
      </c>
    </row>
    <row r="363" spans="1:5" x14ac:dyDescent="0.25">
      <c r="A363" s="5" t="s">
        <v>23</v>
      </c>
      <c r="B363" s="6">
        <v>44866</v>
      </c>
      <c r="C363" s="5" t="s">
        <v>339</v>
      </c>
      <c r="D363" s="5" t="s">
        <v>405</v>
      </c>
      <c r="E363" s="8">
        <v>11100</v>
      </c>
    </row>
    <row r="364" spans="1:5" x14ac:dyDescent="0.25">
      <c r="A364" s="5" t="s">
        <v>23</v>
      </c>
      <c r="B364" s="6">
        <v>44866</v>
      </c>
      <c r="C364" s="5" t="s">
        <v>84</v>
      </c>
      <c r="D364" s="5" t="s">
        <v>423</v>
      </c>
      <c r="E364" s="8">
        <v>40000</v>
      </c>
    </row>
    <row r="365" spans="1:5" x14ac:dyDescent="0.25">
      <c r="A365" s="5" t="s">
        <v>23</v>
      </c>
      <c r="B365" s="6">
        <v>44866</v>
      </c>
      <c r="C365" s="5" t="s">
        <v>84</v>
      </c>
      <c r="D365" s="5" t="s">
        <v>423</v>
      </c>
      <c r="E365" s="8">
        <v>24000</v>
      </c>
    </row>
    <row r="366" spans="1:5" x14ac:dyDescent="0.25">
      <c r="A366" s="5" t="s">
        <v>23</v>
      </c>
      <c r="B366" s="6">
        <v>44866</v>
      </c>
      <c r="C366" s="5" t="s">
        <v>84</v>
      </c>
      <c r="D366" s="5" t="s">
        <v>423</v>
      </c>
      <c r="E366" s="8">
        <v>15000</v>
      </c>
    </row>
    <row r="367" spans="1:5" x14ac:dyDescent="0.25">
      <c r="A367" s="5" t="s">
        <v>23</v>
      </c>
      <c r="B367" s="6">
        <v>44866</v>
      </c>
      <c r="C367" s="5" t="s">
        <v>84</v>
      </c>
      <c r="D367" s="5" t="s">
        <v>423</v>
      </c>
      <c r="E367" s="8">
        <v>15000</v>
      </c>
    </row>
    <row r="368" spans="1:5" x14ac:dyDescent="0.25">
      <c r="A368" s="5" t="s">
        <v>23</v>
      </c>
      <c r="B368" s="6">
        <v>44866</v>
      </c>
      <c r="C368" s="5" t="s">
        <v>84</v>
      </c>
      <c r="D368" s="5" t="s">
        <v>423</v>
      </c>
      <c r="E368" s="8">
        <v>3000</v>
      </c>
    </row>
    <row r="369" spans="1:5" x14ac:dyDescent="0.25">
      <c r="A369" s="5" t="s">
        <v>23</v>
      </c>
      <c r="B369" s="6">
        <v>44866</v>
      </c>
      <c r="C369" s="5" t="s">
        <v>84</v>
      </c>
      <c r="D369" s="5" t="s">
        <v>423</v>
      </c>
      <c r="E369" s="8">
        <v>16000</v>
      </c>
    </row>
    <row r="370" spans="1:5" x14ac:dyDescent="0.25">
      <c r="A370" s="5" t="s">
        <v>23</v>
      </c>
      <c r="B370" s="6">
        <v>44866</v>
      </c>
      <c r="C370" s="5" t="s">
        <v>84</v>
      </c>
      <c r="D370" s="5" t="s">
        <v>423</v>
      </c>
      <c r="E370" s="8">
        <v>-11300</v>
      </c>
    </row>
    <row r="371" spans="1:5" x14ac:dyDescent="0.25">
      <c r="A371" s="5" t="s">
        <v>23</v>
      </c>
      <c r="B371" s="6">
        <v>44867</v>
      </c>
      <c r="C371" s="5" t="s">
        <v>83</v>
      </c>
      <c r="D371" s="5" t="s">
        <v>427</v>
      </c>
      <c r="E371" s="8">
        <v>7880</v>
      </c>
    </row>
    <row r="372" spans="1:5" x14ac:dyDescent="0.25">
      <c r="A372" s="5" t="s">
        <v>23</v>
      </c>
      <c r="B372" s="6">
        <v>44869</v>
      </c>
      <c r="C372" s="5" t="s">
        <v>344</v>
      </c>
      <c r="D372" s="5" t="s">
        <v>420</v>
      </c>
      <c r="E372" s="8">
        <v>0</v>
      </c>
    </row>
    <row r="373" spans="1:5" x14ac:dyDescent="0.25">
      <c r="A373" s="5" t="s">
        <v>23</v>
      </c>
      <c r="B373" s="6">
        <v>44869</v>
      </c>
      <c r="C373" s="5" t="s">
        <v>344</v>
      </c>
      <c r="D373" s="5" t="s">
        <v>420</v>
      </c>
      <c r="E373" s="8">
        <v>3410</v>
      </c>
    </row>
    <row r="374" spans="1:5" x14ac:dyDescent="0.25">
      <c r="A374" s="5" t="s">
        <v>23</v>
      </c>
      <c r="B374" s="6">
        <v>44869</v>
      </c>
      <c r="C374" s="5" t="s">
        <v>345</v>
      </c>
      <c r="D374" s="5" t="s">
        <v>422</v>
      </c>
      <c r="E374" s="8">
        <v>0</v>
      </c>
    </row>
    <row r="375" spans="1:5" x14ac:dyDescent="0.25">
      <c r="A375" s="5" t="s">
        <v>23</v>
      </c>
      <c r="B375" s="6">
        <v>44869</v>
      </c>
      <c r="C375" s="5" t="s">
        <v>345</v>
      </c>
      <c r="D375" s="5" t="s">
        <v>422</v>
      </c>
      <c r="E375" s="8">
        <v>1125</v>
      </c>
    </row>
    <row r="376" spans="1:5" x14ac:dyDescent="0.25">
      <c r="A376" s="5" t="s">
        <v>24</v>
      </c>
      <c r="B376" s="6">
        <v>44872</v>
      </c>
      <c r="C376" s="5" t="s">
        <v>346</v>
      </c>
      <c r="D376" s="5" t="s">
        <v>429</v>
      </c>
      <c r="E376" s="8">
        <v>-26000</v>
      </c>
    </row>
    <row r="377" spans="1:5" x14ac:dyDescent="0.25">
      <c r="A377" s="5" t="s">
        <v>24</v>
      </c>
      <c r="B377" s="6">
        <v>44872</v>
      </c>
      <c r="C377" s="5" t="s">
        <v>347</v>
      </c>
      <c r="D377" s="5" t="s">
        <v>430</v>
      </c>
      <c r="E377" s="8">
        <v>-5000</v>
      </c>
    </row>
    <row r="378" spans="1:5" x14ac:dyDescent="0.25">
      <c r="A378" s="5" t="s">
        <v>24</v>
      </c>
      <c r="B378" s="6">
        <v>44872</v>
      </c>
      <c r="C378" s="5" t="s">
        <v>348</v>
      </c>
      <c r="D378" s="5" t="s">
        <v>408</v>
      </c>
      <c r="E378" s="8">
        <v>-8150.44</v>
      </c>
    </row>
    <row r="379" spans="1:5" x14ac:dyDescent="0.25">
      <c r="A379" s="5" t="s">
        <v>24</v>
      </c>
      <c r="B379" s="6">
        <v>44872</v>
      </c>
      <c r="C379" s="5" t="s">
        <v>349</v>
      </c>
      <c r="D379" s="5" t="s">
        <v>420</v>
      </c>
      <c r="E379" s="8">
        <v>0</v>
      </c>
    </row>
    <row r="380" spans="1:5" x14ac:dyDescent="0.25">
      <c r="A380" s="5" t="s">
        <v>24</v>
      </c>
      <c r="B380" s="6">
        <v>44872</v>
      </c>
      <c r="C380" s="5" t="s">
        <v>349</v>
      </c>
      <c r="D380" s="5" t="s">
        <v>420</v>
      </c>
      <c r="E380" s="8">
        <v>-3410</v>
      </c>
    </row>
    <row r="381" spans="1:5" x14ac:dyDescent="0.25">
      <c r="A381" s="5" t="s">
        <v>24</v>
      </c>
      <c r="B381" s="6">
        <v>44872</v>
      </c>
      <c r="C381" s="5" t="s">
        <v>350</v>
      </c>
      <c r="D381" s="5" t="s">
        <v>420</v>
      </c>
      <c r="E381" s="8">
        <v>-17200</v>
      </c>
    </row>
    <row r="382" spans="1:5" x14ac:dyDescent="0.25">
      <c r="A382" s="5" t="s">
        <v>24</v>
      </c>
      <c r="B382" s="6">
        <v>44872</v>
      </c>
      <c r="C382" s="5" t="s">
        <v>351</v>
      </c>
      <c r="D382" s="5" t="s">
        <v>408</v>
      </c>
      <c r="E382" s="8">
        <v>0</v>
      </c>
    </row>
    <row r="383" spans="1:5" x14ac:dyDescent="0.25">
      <c r="A383" s="5" t="s">
        <v>24</v>
      </c>
      <c r="B383" s="6">
        <v>44872</v>
      </c>
      <c r="C383" s="5" t="s">
        <v>351</v>
      </c>
      <c r="D383" s="5" t="s">
        <v>408</v>
      </c>
      <c r="E383" s="8">
        <v>0</v>
      </c>
    </row>
    <row r="384" spans="1:5" x14ac:dyDescent="0.25">
      <c r="A384" s="5" t="s">
        <v>24</v>
      </c>
      <c r="B384" s="6">
        <v>44872</v>
      </c>
      <c r="C384" s="5" t="s">
        <v>351</v>
      </c>
      <c r="D384" s="5" t="s">
        <v>408</v>
      </c>
      <c r="E384" s="8">
        <v>-20000</v>
      </c>
    </row>
    <row r="385" spans="1:5" x14ac:dyDescent="0.25">
      <c r="A385" s="5" t="s">
        <v>24</v>
      </c>
      <c r="B385" s="6">
        <v>44872</v>
      </c>
      <c r="C385" s="5" t="s">
        <v>352</v>
      </c>
      <c r="D385" s="5" t="s">
        <v>405</v>
      </c>
      <c r="E385" s="8">
        <v>-21750</v>
      </c>
    </row>
    <row r="386" spans="1:5" x14ac:dyDescent="0.25">
      <c r="A386" s="5" t="s">
        <v>24</v>
      </c>
      <c r="B386" s="6">
        <v>44872</v>
      </c>
      <c r="C386" s="5" t="s">
        <v>353</v>
      </c>
      <c r="D386" s="5" t="s">
        <v>426</v>
      </c>
      <c r="E386" s="8">
        <v>-45000</v>
      </c>
    </row>
    <row r="387" spans="1:5" x14ac:dyDescent="0.25">
      <c r="A387" s="5" t="s">
        <v>24</v>
      </c>
      <c r="B387" s="6">
        <v>44872</v>
      </c>
      <c r="C387" s="5" t="s">
        <v>353</v>
      </c>
      <c r="D387" s="5" t="s">
        <v>426</v>
      </c>
      <c r="E387" s="8">
        <v>0</v>
      </c>
    </row>
    <row r="388" spans="1:5" x14ac:dyDescent="0.25">
      <c r="A388" s="5" t="s">
        <v>24</v>
      </c>
      <c r="B388" s="6">
        <v>44872</v>
      </c>
      <c r="C388" s="5" t="s">
        <v>353</v>
      </c>
      <c r="D388" s="5" t="s">
        <v>426</v>
      </c>
      <c r="E388" s="8">
        <v>0</v>
      </c>
    </row>
    <row r="389" spans="1:5" x14ac:dyDescent="0.25">
      <c r="A389" s="5" t="s">
        <v>24</v>
      </c>
      <c r="B389" s="6">
        <v>44872</v>
      </c>
      <c r="C389" s="5" t="s">
        <v>354</v>
      </c>
      <c r="D389" s="5" t="s">
        <v>417</v>
      </c>
      <c r="E389" s="8">
        <v>0</v>
      </c>
    </row>
    <row r="390" spans="1:5" x14ac:dyDescent="0.25">
      <c r="A390" s="5" t="s">
        <v>24</v>
      </c>
      <c r="B390" s="6">
        <v>44872</v>
      </c>
      <c r="C390" s="5" t="s">
        <v>354</v>
      </c>
      <c r="D390" s="5" t="s">
        <v>417</v>
      </c>
      <c r="E390" s="8">
        <v>-1600</v>
      </c>
    </row>
    <row r="391" spans="1:5" x14ac:dyDescent="0.25">
      <c r="A391" s="5" t="s">
        <v>24</v>
      </c>
      <c r="B391" s="6">
        <v>44872</v>
      </c>
      <c r="C391" s="5" t="s">
        <v>354</v>
      </c>
      <c r="D391" s="5" t="s">
        <v>417</v>
      </c>
      <c r="E391" s="8">
        <v>-400</v>
      </c>
    </row>
    <row r="392" spans="1:5" x14ac:dyDescent="0.25">
      <c r="A392" s="5" t="s">
        <v>24</v>
      </c>
      <c r="B392" s="6">
        <v>44872</v>
      </c>
      <c r="C392" s="5" t="s">
        <v>354</v>
      </c>
      <c r="D392" s="5" t="s">
        <v>417</v>
      </c>
      <c r="E392" s="8">
        <v>-600</v>
      </c>
    </row>
    <row r="393" spans="1:5" x14ac:dyDescent="0.25">
      <c r="A393" s="5" t="s">
        <v>24</v>
      </c>
      <c r="B393" s="6">
        <v>44872</v>
      </c>
      <c r="C393" s="5" t="s">
        <v>354</v>
      </c>
      <c r="D393" s="5" t="s">
        <v>417</v>
      </c>
      <c r="E393" s="8">
        <v>-2500</v>
      </c>
    </row>
    <row r="394" spans="1:5" x14ac:dyDescent="0.25">
      <c r="A394" s="5" t="s">
        <v>23</v>
      </c>
      <c r="B394" s="6">
        <v>44872</v>
      </c>
      <c r="C394" s="5" t="s">
        <v>355</v>
      </c>
      <c r="D394" s="5" t="s">
        <v>405</v>
      </c>
      <c r="E394" s="8">
        <v>650</v>
      </c>
    </row>
    <row r="395" spans="1:5" x14ac:dyDescent="0.25">
      <c r="A395" s="5" t="s">
        <v>23</v>
      </c>
      <c r="B395" s="6">
        <v>44873</v>
      </c>
      <c r="C395" s="5" t="s">
        <v>356</v>
      </c>
      <c r="D395" s="5" t="s">
        <v>422</v>
      </c>
      <c r="E395" s="8">
        <v>0</v>
      </c>
    </row>
    <row r="396" spans="1:5" x14ac:dyDescent="0.25">
      <c r="A396" s="5" t="s">
        <v>23</v>
      </c>
      <c r="B396" s="6">
        <v>44873</v>
      </c>
      <c r="C396" s="5" t="s">
        <v>356</v>
      </c>
      <c r="D396" s="5" t="s">
        <v>422</v>
      </c>
      <c r="E396" s="8">
        <v>1125</v>
      </c>
    </row>
    <row r="397" spans="1:5" x14ac:dyDescent="0.25">
      <c r="A397" s="5" t="s">
        <v>23</v>
      </c>
      <c r="B397" s="6">
        <v>44876</v>
      </c>
      <c r="C397" s="5" t="s">
        <v>357</v>
      </c>
      <c r="D397" s="5" t="s">
        <v>431</v>
      </c>
      <c r="E397" s="8">
        <v>3500</v>
      </c>
    </row>
    <row r="398" spans="1:5" x14ac:dyDescent="0.25">
      <c r="A398" s="5" t="s">
        <v>23</v>
      </c>
      <c r="B398" s="6">
        <v>44879</v>
      </c>
      <c r="C398" s="5" t="s">
        <v>358</v>
      </c>
      <c r="D398" s="5" t="s">
        <v>422</v>
      </c>
      <c r="E398" s="8">
        <v>19500</v>
      </c>
    </row>
    <row r="399" spans="1:5" x14ac:dyDescent="0.25">
      <c r="A399" s="5" t="s">
        <v>23</v>
      </c>
      <c r="B399" s="6">
        <v>44882</v>
      </c>
      <c r="C399" s="5" t="s">
        <v>359</v>
      </c>
      <c r="D399" s="5" t="s">
        <v>432</v>
      </c>
      <c r="E399" s="8">
        <v>5400</v>
      </c>
    </row>
    <row r="400" spans="1:5" x14ac:dyDescent="0.25">
      <c r="A400" s="5" t="s">
        <v>23</v>
      </c>
      <c r="B400" s="6">
        <v>44882</v>
      </c>
      <c r="C400" s="5" t="s">
        <v>359</v>
      </c>
      <c r="D400" s="5" t="s">
        <v>432</v>
      </c>
      <c r="E400" s="8">
        <v>0</v>
      </c>
    </row>
    <row r="401" spans="1:5" x14ac:dyDescent="0.25">
      <c r="A401" s="5" t="s">
        <v>23</v>
      </c>
      <c r="B401" s="6">
        <v>44886</v>
      </c>
      <c r="C401" s="5" t="s">
        <v>360</v>
      </c>
      <c r="D401" s="5" t="s">
        <v>422</v>
      </c>
      <c r="E401" s="8">
        <v>3100</v>
      </c>
    </row>
    <row r="402" spans="1:5" x14ac:dyDescent="0.25">
      <c r="A402" s="5" t="s">
        <v>23</v>
      </c>
      <c r="B402" s="6">
        <v>44897</v>
      </c>
      <c r="C402" s="5" t="s">
        <v>361</v>
      </c>
      <c r="D402" s="5" t="s">
        <v>433</v>
      </c>
      <c r="E402" s="8">
        <v>1200</v>
      </c>
    </row>
    <row r="403" spans="1:5" x14ac:dyDescent="0.25">
      <c r="A403" s="5" t="s">
        <v>23</v>
      </c>
      <c r="B403" s="6">
        <v>44901</v>
      </c>
      <c r="C403" s="5" t="s">
        <v>362</v>
      </c>
      <c r="D403" s="5" t="s">
        <v>434</v>
      </c>
      <c r="E403" s="8">
        <v>5752.21</v>
      </c>
    </row>
    <row r="404" spans="1:5" x14ac:dyDescent="0.25">
      <c r="A404" s="5" t="s">
        <v>23</v>
      </c>
      <c r="B404" s="6">
        <v>44902</v>
      </c>
      <c r="C404" s="5" t="s">
        <v>363</v>
      </c>
      <c r="D404" s="5" t="s">
        <v>435</v>
      </c>
      <c r="E404" s="8">
        <v>300</v>
      </c>
    </row>
    <row r="405" spans="1:5" x14ac:dyDescent="0.25">
      <c r="A405" s="5" t="s">
        <v>23</v>
      </c>
      <c r="B405" s="6">
        <v>44902</v>
      </c>
      <c r="C405" s="5" t="s">
        <v>364</v>
      </c>
      <c r="D405" s="5" t="s">
        <v>436</v>
      </c>
      <c r="E405" s="8">
        <v>2220</v>
      </c>
    </row>
    <row r="406" spans="1:5" x14ac:dyDescent="0.25">
      <c r="A406" s="5" t="s">
        <v>23</v>
      </c>
      <c r="B406" s="6">
        <v>44904</v>
      </c>
      <c r="C406" s="5" t="s">
        <v>365</v>
      </c>
      <c r="D406" s="5" t="s">
        <v>437</v>
      </c>
      <c r="E406" s="8">
        <v>1769.91</v>
      </c>
    </row>
    <row r="407" spans="1:5" x14ac:dyDescent="0.25">
      <c r="A407" s="5" t="s">
        <v>23</v>
      </c>
      <c r="B407" s="6">
        <v>44904</v>
      </c>
      <c r="C407" s="5" t="s">
        <v>366</v>
      </c>
      <c r="D407" s="5" t="s">
        <v>434</v>
      </c>
      <c r="E407" s="8">
        <v>5247.69</v>
      </c>
    </row>
    <row r="408" spans="1:5" x14ac:dyDescent="0.25">
      <c r="A408" s="5" t="s">
        <v>23</v>
      </c>
      <c r="B408" s="6">
        <v>44910</v>
      </c>
      <c r="C408" s="5" t="s">
        <v>367</v>
      </c>
      <c r="D408" s="5" t="s">
        <v>408</v>
      </c>
      <c r="E408" s="8">
        <v>6500</v>
      </c>
    </row>
    <row r="409" spans="1:5" x14ac:dyDescent="0.25">
      <c r="A409" s="5" t="s">
        <v>23</v>
      </c>
      <c r="B409" s="6">
        <v>44911</v>
      </c>
      <c r="C409" s="5" t="s">
        <v>368</v>
      </c>
      <c r="D409" s="5" t="s">
        <v>408</v>
      </c>
      <c r="E409" s="8">
        <v>1200</v>
      </c>
    </row>
    <row r="410" spans="1:5" x14ac:dyDescent="0.25">
      <c r="A410" s="5" t="s">
        <v>23</v>
      </c>
      <c r="B410" s="6">
        <v>44911</v>
      </c>
      <c r="C410" s="5" t="s">
        <v>369</v>
      </c>
      <c r="D410" s="5" t="s">
        <v>405</v>
      </c>
      <c r="E410" s="8">
        <v>9376.11</v>
      </c>
    </row>
    <row r="411" spans="1:5" x14ac:dyDescent="0.25">
      <c r="A411" s="5" t="s">
        <v>23</v>
      </c>
      <c r="B411" s="6">
        <v>44912</v>
      </c>
      <c r="C411" s="5" t="s">
        <v>370</v>
      </c>
      <c r="D411" s="5" t="s">
        <v>434</v>
      </c>
      <c r="E411" s="8">
        <v>20000</v>
      </c>
    </row>
    <row r="412" spans="1:5" x14ac:dyDescent="0.25">
      <c r="A412" s="5" t="s">
        <v>23</v>
      </c>
      <c r="B412" s="6">
        <v>44912</v>
      </c>
      <c r="C412" s="5" t="s">
        <v>370</v>
      </c>
      <c r="D412" s="5" t="s">
        <v>434</v>
      </c>
      <c r="E412" s="8">
        <v>0</v>
      </c>
    </row>
    <row r="413" spans="1:5" ht="15.75" thickBot="1" x14ac:dyDescent="0.3">
      <c r="A413" s="5" t="s">
        <v>23</v>
      </c>
      <c r="B413" s="6">
        <v>44925</v>
      </c>
      <c r="C413" s="5" t="s">
        <v>371</v>
      </c>
      <c r="D413" s="5" t="s">
        <v>408</v>
      </c>
      <c r="E413" s="9">
        <v>7100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AACC-5E68-4D80-89C0-5D3B497202D9}">
  <sheetPr codeName="Sheet1"/>
  <dimension ref="A1:Q1200"/>
  <sheetViews>
    <sheetView workbookViewId="0">
      <pane xSplit="5" ySplit="1" topLeftCell="F2" activePane="bottomRight" state="frozenSplit"/>
      <selection pane="topRight" activeCell="F1" sqref="F1"/>
      <selection pane="bottomLeft" activeCell="A2" sqref="A2"/>
      <selection pane="bottomRight" activeCell="S1138" sqref="A1:XFD1048576"/>
    </sheetView>
  </sheetViews>
  <sheetFormatPr defaultRowHeight="15" x14ac:dyDescent="0.25"/>
  <cols>
    <col min="1" max="4" width="3" customWidth="1"/>
    <col min="5" max="5" width="33.5703125" customWidth="1"/>
    <col min="6" max="7" width="2.28515625" customWidth="1"/>
    <col min="8" max="8" width="14.28515625" bestFit="1" customWidth="1"/>
    <col min="9" max="9" width="8.7109375" bestFit="1" customWidth="1"/>
    <col min="10" max="10" width="17.85546875" bestFit="1" customWidth="1"/>
    <col min="11" max="11" width="29.42578125" bestFit="1" customWidth="1"/>
    <col min="12" max="12" width="30.7109375" customWidth="1"/>
    <col min="13" max="13" width="5.42578125" bestFit="1" customWidth="1"/>
    <col min="14" max="14" width="3.28515625" bestFit="1" customWidth="1"/>
    <col min="15" max="15" width="28.85546875" bestFit="1" customWidth="1"/>
    <col min="16" max="17" width="8.7109375" bestFit="1" customWidth="1"/>
  </cols>
  <sheetData>
    <row r="1" spans="1:17" s="16" customFormat="1" ht="15.75" thickBot="1" x14ac:dyDescent="0.3">
      <c r="A1" s="14"/>
      <c r="B1" s="14"/>
      <c r="C1" s="14"/>
      <c r="D1" s="14"/>
      <c r="E1" s="14"/>
      <c r="F1" s="14"/>
      <c r="G1" s="14"/>
      <c r="H1" s="15" t="s">
        <v>0</v>
      </c>
      <c r="I1" s="15" t="s">
        <v>1</v>
      </c>
      <c r="J1" s="15" t="s">
        <v>2</v>
      </c>
      <c r="K1" s="15" t="s">
        <v>3</v>
      </c>
      <c r="L1" s="15" t="s">
        <v>4</v>
      </c>
      <c r="M1" s="15" t="s">
        <v>5</v>
      </c>
      <c r="N1" s="15" t="s">
        <v>6</v>
      </c>
      <c r="O1" s="15" t="s">
        <v>7</v>
      </c>
      <c r="P1" s="15" t="s">
        <v>8</v>
      </c>
      <c r="Q1" s="15" t="s">
        <v>9</v>
      </c>
    </row>
    <row r="2" spans="1:17" ht="15.75" thickTop="1" x14ac:dyDescent="0.25">
      <c r="A2" s="2"/>
      <c r="B2" s="2" t="s">
        <v>10</v>
      </c>
      <c r="C2" s="2"/>
      <c r="D2" s="2"/>
      <c r="E2" s="2"/>
      <c r="F2" s="2"/>
      <c r="G2" s="2"/>
      <c r="H2" s="2"/>
      <c r="I2" s="3"/>
      <c r="J2" s="2"/>
      <c r="K2" s="2"/>
      <c r="L2" s="2"/>
      <c r="M2" s="2"/>
      <c r="N2" s="2"/>
      <c r="O2" s="2"/>
      <c r="P2" s="4"/>
      <c r="Q2" s="4"/>
    </row>
    <row r="3" spans="1:17" x14ac:dyDescent="0.25">
      <c r="A3" s="2"/>
      <c r="B3" s="2"/>
      <c r="C3" s="2"/>
      <c r="D3" s="2" t="s">
        <v>11</v>
      </c>
      <c r="E3" s="2"/>
      <c r="F3" s="2"/>
      <c r="G3" s="2"/>
      <c r="H3" s="2"/>
      <c r="I3" s="3"/>
      <c r="J3" s="2"/>
      <c r="K3" s="2"/>
      <c r="L3" s="2"/>
      <c r="M3" s="2"/>
      <c r="N3" s="2"/>
      <c r="O3" s="2"/>
      <c r="P3" s="4"/>
      <c r="Q3" s="4"/>
    </row>
    <row r="4" spans="1:17" x14ac:dyDescent="0.25">
      <c r="A4" s="2"/>
      <c r="B4" s="2"/>
      <c r="C4" s="2"/>
      <c r="D4" s="2"/>
      <c r="E4" s="2" t="s">
        <v>12</v>
      </c>
      <c r="F4" s="2"/>
      <c r="G4" s="2"/>
      <c r="H4" s="2"/>
      <c r="I4" s="3"/>
      <c r="J4" s="2"/>
      <c r="K4" s="2"/>
      <c r="L4" s="2"/>
      <c r="M4" s="2"/>
      <c r="N4" s="2"/>
      <c r="O4" s="2"/>
      <c r="P4" s="4"/>
      <c r="Q4" s="4"/>
    </row>
    <row r="5" spans="1:17" x14ac:dyDescent="0.25">
      <c r="A5" s="5"/>
      <c r="B5" s="5"/>
      <c r="C5" s="5"/>
      <c r="D5" s="5"/>
      <c r="E5" s="5"/>
      <c r="F5" s="5"/>
      <c r="G5" s="5"/>
      <c r="H5" s="5" t="s">
        <v>23</v>
      </c>
      <c r="I5" s="6">
        <v>44656</v>
      </c>
      <c r="J5" s="5" t="s">
        <v>29</v>
      </c>
      <c r="K5" s="5" t="s">
        <v>405</v>
      </c>
      <c r="L5" s="5"/>
      <c r="M5" s="5"/>
      <c r="N5" s="7"/>
      <c r="O5" s="5" t="s">
        <v>553</v>
      </c>
      <c r="P5" s="8">
        <v>21750</v>
      </c>
      <c r="Q5" s="8">
        <f t="shared" ref="Q5:Q68" si="0">ROUND(Q4+P5,5)</f>
        <v>21750</v>
      </c>
    </row>
    <row r="6" spans="1:17" x14ac:dyDescent="0.25">
      <c r="A6" s="5"/>
      <c r="B6" s="5"/>
      <c r="C6" s="5"/>
      <c r="D6" s="5"/>
      <c r="E6" s="5"/>
      <c r="F6" s="5"/>
      <c r="G6" s="5"/>
      <c r="H6" s="5" t="s">
        <v>23</v>
      </c>
      <c r="I6" s="6">
        <v>44662</v>
      </c>
      <c r="J6" s="5" t="s">
        <v>30</v>
      </c>
      <c r="K6" s="5" t="s">
        <v>406</v>
      </c>
      <c r="L6" s="5"/>
      <c r="M6" s="5"/>
      <c r="N6" s="7"/>
      <c r="O6" s="5" t="s">
        <v>553</v>
      </c>
      <c r="P6" s="8">
        <v>2700</v>
      </c>
      <c r="Q6" s="8">
        <f t="shared" si="0"/>
        <v>24450</v>
      </c>
    </row>
    <row r="7" spans="1:17" x14ac:dyDescent="0.25">
      <c r="A7" s="5"/>
      <c r="B7" s="5"/>
      <c r="C7" s="5"/>
      <c r="D7" s="5"/>
      <c r="E7" s="5"/>
      <c r="F7" s="5"/>
      <c r="G7" s="5"/>
      <c r="H7" s="5" t="s">
        <v>23</v>
      </c>
      <c r="I7" s="6">
        <v>44662</v>
      </c>
      <c r="J7" s="5" t="s">
        <v>31</v>
      </c>
      <c r="K7" s="5" t="s">
        <v>407</v>
      </c>
      <c r="L7" s="5"/>
      <c r="M7" s="5"/>
      <c r="N7" s="7"/>
      <c r="O7" s="5" t="s">
        <v>553</v>
      </c>
      <c r="P7" s="8">
        <v>1750</v>
      </c>
      <c r="Q7" s="8">
        <f t="shared" si="0"/>
        <v>26200</v>
      </c>
    </row>
    <row r="8" spans="1:17" x14ac:dyDescent="0.25">
      <c r="A8" s="5"/>
      <c r="B8" s="5"/>
      <c r="C8" s="5"/>
      <c r="D8" s="5"/>
      <c r="E8" s="5"/>
      <c r="F8" s="5"/>
      <c r="G8" s="5"/>
      <c r="H8" s="5" t="s">
        <v>23</v>
      </c>
      <c r="I8" s="6">
        <v>44678</v>
      </c>
      <c r="J8" s="5" t="s">
        <v>32</v>
      </c>
      <c r="K8" s="5" t="s">
        <v>408</v>
      </c>
      <c r="L8" s="5"/>
      <c r="M8" s="5"/>
      <c r="N8" s="7"/>
      <c r="O8" s="5" t="s">
        <v>553</v>
      </c>
      <c r="P8" s="8">
        <v>17000</v>
      </c>
      <c r="Q8" s="8">
        <f t="shared" si="0"/>
        <v>43200</v>
      </c>
    </row>
    <row r="9" spans="1:17" x14ac:dyDescent="0.25">
      <c r="A9" s="5"/>
      <c r="B9" s="5"/>
      <c r="C9" s="5"/>
      <c r="D9" s="5"/>
      <c r="E9" s="5"/>
      <c r="F9" s="5"/>
      <c r="G9" s="5"/>
      <c r="H9" s="5" t="s">
        <v>23</v>
      </c>
      <c r="I9" s="6">
        <v>44678</v>
      </c>
      <c r="J9" s="5" t="s">
        <v>32</v>
      </c>
      <c r="K9" s="5" t="s">
        <v>408</v>
      </c>
      <c r="L9" s="5"/>
      <c r="M9" s="5"/>
      <c r="N9" s="7"/>
      <c r="O9" s="5" t="s">
        <v>553</v>
      </c>
      <c r="P9" s="8">
        <v>4000</v>
      </c>
      <c r="Q9" s="8">
        <f t="shared" si="0"/>
        <v>47200</v>
      </c>
    </row>
    <row r="10" spans="1:17" x14ac:dyDescent="0.25">
      <c r="A10" s="5"/>
      <c r="B10" s="5"/>
      <c r="C10" s="5"/>
      <c r="D10" s="5"/>
      <c r="E10" s="5"/>
      <c r="F10" s="5"/>
      <c r="G10" s="5"/>
      <c r="H10" s="5" t="s">
        <v>23</v>
      </c>
      <c r="I10" s="6">
        <v>44680</v>
      </c>
      <c r="J10" s="5" t="s">
        <v>33</v>
      </c>
      <c r="K10" s="5" t="s">
        <v>409</v>
      </c>
      <c r="L10" s="5" t="s">
        <v>464</v>
      </c>
      <c r="M10" s="5"/>
      <c r="N10" s="7"/>
      <c r="O10" s="5" t="s">
        <v>553</v>
      </c>
      <c r="P10" s="8">
        <v>9500</v>
      </c>
      <c r="Q10" s="8">
        <f t="shared" si="0"/>
        <v>56700</v>
      </c>
    </row>
    <row r="11" spans="1:17" x14ac:dyDescent="0.25">
      <c r="A11" s="5"/>
      <c r="B11" s="5"/>
      <c r="C11" s="5"/>
      <c r="D11" s="5"/>
      <c r="E11" s="5"/>
      <c r="F11" s="5"/>
      <c r="G11" s="5"/>
      <c r="H11" s="5" t="s">
        <v>23</v>
      </c>
      <c r="I11" s="6">
        <v>44680</v>
      </c>
      <c r="J11" s="5" t="s">
        <v>34</v>
      </c>
      <c r="K11" s="5" t="s">
        <v>410</v>
      </c>
      <c r="L11" s="5" t="s">
        <v>465</v>
      </c>
      <c r="M11" s="5"/>
      <c r="N11" s="7"/>
      <c r="O11" s="5" t="s">
        <v>553</v>
      </c>
      <c r="P11" s="8">
        <v>7286.18</v>
      </c>
      <c r="Q11" s="8">
        <f t="shared" si="0"/>
        <v>63986.18</v>
      </c>
    </row>
    <row r="12" spans="1:17" x14ac:dyDescent="0.25">
      <c r="A12" s="5"/>
      <c r="B12" s="5"/>
      <c r="C12" s="5"/>
      <c r="D12" s="5"/>
      <c r="E12" s="5"/>
      <c r="F12" s="5"/>
      <c r="G12" s="5"/>
      <c r="H12" s="5" t="s">
        <v>23</v>
      </c>
      <c r="I12" s="6">
        <v>44680</v>
      </c>
      <c r="J12" s="5" t="s">
        <v>34</v>
      </c>
      <c r="K12" s="5" t="s">
        <v>410</v>
      </c>
      <c r="L12" s="5" t="s">
        <v>466</v>
      </c>
      <c r="M12" s="5"/>
      <c r="N12" s="7"/>
      <c r="O12" s="5" t="s">
        <v>553</v>
      </c>
      <c r="P12" s="8">
        <v>-728.62</v>
      </c>
      <c r="Q12" s="8">
        <f t="shared" si="0"/>
        <v>63257.56</v>
      </c>
    </row>
    <row r="13" spans="1:17" x14ac:dyDescent="0.25">
      <c r="A13" s="5"/>
      <c r="B13" s="5"/>
      <c r="C13" s="5"/>
      <c r="D13" s="5"/>
      <c r="E13" s="5"/>
      <c r="F13" s="5"/>
      <c r="G13" s="5"/>
      <c r="H13" s="5" t="s">
        <v>23</v>
      </c>
      <c r="I13" s="6">
        <v>44712</v>
      </c>
      <c r="J13" s="5" t="s">
        <v>35</v>
      </c>
      <c r="K13" s="5" t="s">
        <v>411</v>
      </c>
      <c r="L13" s="5" t="s">
        <v>467</v>
      </c>
      <c r="M13" s="5"/>
      <c r="N13" s="7"/>
      <c r="O13" s="5" t="s">
        <v>553</v>
      </c>
      <c r="P13" s="8">
        <v>975</v>
      </c>
      <c r="Q13" s="8">
        <f t="shared" si="0"/>
        <v>64232.56</v>
      </c>
    </row>
    <row r="14" spans="1:17" x14ac:dyDescent="0.25">
      <c r="A14" s="5"/>
      <c r="B14" s="5"/>
      <c r="C14" s="5"/>
      <c r="D14" s="5"/>
      <c r="E14" s="5"/>
      <c r="F14" s="5"/>
      <c r="G14" s="5"/>
      <c r="H14" s="5" t="s">
        <v>23</v>
      </c>
      <c r="I14" s="6">
        <v>44715</v>
      </c>
      <c r="J14" s="5" t="s">
        <v>36</v>
      </c>
      <c r="K14" s="5" t="s">
        <v>412</v>
      </c>
      <c r="L14" s="5"/>
      <c r="M14" s="5"/>
      <c r="N14" s="7"/>
      <c r="O14" s="5" t="s">
        <v>553</v>
      </c>
      <c r="P14" s="8">
        <v>1495.7</v>
      </c>
      <c r="Q14" s="8">
        <f t="shared" si="0"/>
        <v>65728.259999999995</v>
      </c>
    </row>
    <row r="15" spans="1:17" x14ac:dyDescent="0.25">
      <c r="A15" s="5"/>
      <c r="B15" s="5"/>
      <c r="C15" s="5"/>
      <c r="D15" s="5"/>
      <c r="E15" s="5"/>
      <c r="F15" s="5"/>
      <c r="G15" s="5"/>
      <c r="H15" s="5" t="s">
        <v>23</v>
      </c>
      <c r="I15" s="6">
        <v>44718</v>
      </c>
      <c r="J15" s="5" t="s">
        <v>37</v>
      </c>
      <c r="K15" s="5" t="s">
        <v>413</v>
      </c>
      <c r="L15" s="5"/>
      <c r="M15" s="5"/>
      <c r="N15" s="7"/>
      <c r="O15" s="5" t="s">
        <v>553</v>
      </c>
      <c r="P15" s="8">
        <v>636</v>
      </c>
      <c r="Q15" s="8">
        <f t="shared" si="0"/>
        <v>66364.259999999995</v>
      </c>
    </row>
    <row r="16" spans="1:17" x14ac:dyDescent="0.25">
      <c r="A16" s="5"/>
      <c r="B16" s="5"/>
      <c r="C16" s="5"/>
      <c r="D16" s="5"/>
      <c r="E16" s="5"/>
      <c r="F16" s="5"/>
      <c r="G16" s="5"/>
      <c r="H16" s="5" t="s">
        <v>23</v>
      </c>
      <c r="I16" s="6">
        <v>44718</v>
      </c>
      <c r="J16" s="5" t="s">
        <v>38</v>
      </c>
      <c r="K16" s="5" t="s">
        <v>413</v>
      </c>
      <c r="L16" s="5"/>
      <c r="M16" s="5"/>
      <c r="N16" s="7"/>
      <c r="O16" s="5" t="s">
        <v>553</v>
      </c>
      <c r="P16" s="8">
        <v>632.54999999999995</v>
      </c>
      <c r="Q16" s="8">
        <f t="shared" si="0"/>
        <v>66996.81</v>
      </c>
    </row>
    <row r="17" spans="1:17" x14ac:dyDescent="0.25">
      <c r="A17" s="5"/>
      <c r="B17" s="5"/>
      <c r="C17" s="5"/>
      <c r="D17" s="5"/>
      <c r="E17" s="5"/>
      <c r="F17" s="5"/>
      <c r="G17" s="5"/>
      <c r="H17" s="5" t="s">
        <v>23</v>
      </c>
      <c r="I17" s="6">
        <v>44718</v>
      </c>
      <c r="J17" s="5" t="s">
        <v>39</v>
      </c>
      <c r="K17" s="5" t="s">
        <v>413</v>
      </c>
      <c r="L17" s="5"/>
      <c r="M17" s="5"/>
      <c r="N17" s="7"/>
      <c r="O17" s="5" t="s">
        <v>553</v>
      </c>
      <c r="P17" s="8">
        <v>619.6</v>
      </c>
      <c r="Q17" s="8">
        <f t="shared" si="0"/>
        <v>67616.41</v>
      </c>
    </row>
    <row r="18" spans="1:17" x14ac:dyDescent="0.25">
      <c r="A18" s="5"/>
      <c r="B18" s="5"/>
      <c r="C18" s="5"/>
      <c r="D18" s="5"/>
      <c r="E18" s="5"/>
      <c r="F18" s="5"/>
      <c r="G18" s="5"/>
      <c r="H18" s="5" t="s">
        <v>23</v>
      </c>
      <c r="I18" s="6">
        <v>44718</v>
      </c>
      <c r="J18" s="5" t="s">
        <v>40</v>
      </c>
      <c r="K18" s="5" t="s">
        <v>413</v>
      </c>
      <c r="L18" s="5"/>
      <c r="M18" s="5"/>
      <c r="N18" s="7"/>
      <c r="O18" s="5" t="s">
        <v>553</v>
      </c>
      <c r="P18" s="8">
        <v>732.23</v>
      </c>
      <c r="Q18" s="8">
        <f t="shared" si="0"/>
        <v>68348.639999999999</v>
      </c>
    </row>
    <row r="19" spans="1:17" x14ac:dyDescent="0.25">
      <c r="A19" s="5"/>
      <c r="B19" s="5"/>
      <c r="C19" s="5"/>
      <c r="D19" s="5"/>
      <c r="E19" s="5"/>
      <c r="F19" s="5"/>
      <c r="G19" s="5"/>
      <c r="H19" s="5" t="s">
        <v>23</v>
      </c>
      <c r="I19" s="6">
        <v>44719</v>
      </c>
      <c r="J19" s="5" t="s">
        <v>41</v>
      </c>
      <c r="K19" s="5" t="s">
        <v>412</v>
      </c>
      <c r="L19" s="5"/>
      <c r="M19" s="5"/>
      <c r="N19" s="7"/>
      <c r="O19" s="5" t="s">
        <v>553</v>
      </c>
      <c r="P19" s="8">
        <v>200</v>
      </c>
      <c r="Q19" s="8">
        <f t="shared" si="0"/>
        <v>68548.639999999999</v>
      </c>
    </row>
    <row r="20" spans="1:17" x14ac:dyDescent="0.25">
      <c r="A20" s="5"/>
      <c r="B20" s="5"/>
      <c r="C20" s="5"/>
      <c r="D20" s="5"/>
      <c r="E20" s="5"/>
      <c r="F20" s="5"/>
      <c r="G20" s="5"/>
      <c r="H20" s="5" t="s">
        <v>23</v>
      </c>
      <c r="I20" s="6">
        <v>44719</v>
      </c>
      <c r="J20" s="5" t="s">
        <v>42</v>
      </c>
      <c r="K20" s="5" t="s">
        <v>413</v>
      </c>
      <c r="L20" s="5"/>
      <c r="M20" s="5"/>
      <c r="N20" s="7"/>
      <c r="O20" s="5" t="s">
        <v>553</v>
      </c>
      <c r="P20" s="8">
        <v>390.96</v>
      </c>
      <c r="Q20" s="8">
        <f t="shared" si="0"/>
        <v>68939.600000000006</v>
      </c>
    </row>
    <row r="21" spans="1:17" x14ac:dyDescent="0.25">
      <c r="A21" s="5"/>
      <c r="B21" s="5"/>
      <c r="C21" s="5"/>
      <c r="D21" s="5"/>
      <c r="E21" s="5"/>
      <c r="F21" s="5"/>
      <c r="G21" s="5"/>
      <c r="H21" s="5" t="s">
        <v>23</v>
      </c>
      <c r="I21" s="6">
        <v>44719</v>
      </c>
      <c r="J21" s="5" t="s">
        <v>43</v>
      </c>
      <c r="K21" s="5" t="s">
        <v>413</v>
      </c>
      <c r="L21" s="5"/>
      <c r="M21" s="5"/>
      <c r="N21" s="7"/>
      <c r="O21" s="5" t="s">
        <v>553</v>
      </c>
      <c r="P21" s="8">
        <v>128.25</v>
      </c>
      <c r="Q21" s="8">
        <f t="shared" si="0"/>
        <v>69067.850000000006</v>
      </c>
    </row>
    <row r="22" spans="1:17" x14ac:dyDescent="0.25">
      <c r="A22" s="5"/>
      <c r="B22" s="5"/>
      <c r="C22" s="5"/>
      <c r="D22" s="5"/>
      <c r="E22" s="5"/>
      <c r="F22" s="5"/>
      <c r="G22" s="5"/>
      <c r="H22" s="5" t="s">
        <v>23</v>
      </c>
      <c r="I22" s="6">
        <v>44719</v>
      </c>
      <c r="J22" s="5" t="s">
        <v>44</v>
      </c>
      <c r="K22" s="5" t="s">
        <v>412</v>
      </c>
      <c r="L22" s="5"/>
      <c r="M22" s="5"/>
      <c r="N22" s="7"/>
      <c r="O22" s="5" t="s">
        <v>553</v>
      </c>
      <c r="P22" s="8">
        <v>200</v>
      </c>
      <c r="Q22" s="8">
        <f t="shared" si="0"/>
        <v>69267.850000000006</v>
      </c>
    </row>
    <row r="23" spans="1:17" x14ac:dyDescent="0.25">
      <c r="A23" s="5"/>
      <c r="B23" s="5"/>
      <c r="C23" s="5"/>
      <c r="D23" s="5"/>
      <c r="E23" s="5"/>
      <c r="F23" s="5"/>
      <c r="G23" s="5"/>
      <c r="H23" s="5" t="s">
        <v>23</v>
      </c>
      <c r="I23" s="6">
        <v>44720</v>
      </c>
      <c r="J23" s="5" t="s">
        <v>45</v>
      </c>
      <c r="K23" s="5" t="s">
        <v>413</v>
      </c>
      <c r="L23" s="5"/>
      <c r="M23" s="5"/>
      <c r="N23" s="7"/>
      <c r="O23" s="5" t="s">
        <v>553</v>
      </c>
      <c r="P23" s="8">
        <v>128.25</v>
      </c>
      <c r="Q23" s="8">
        <f t="shared" si="0"/>
        <v>69396.100000000006</v>
      </c>
    </row>
    <row r="24" spans="1:17" x14ac:dyDescent="0.25">
      <c r="A24" s="5"/>
      <c r="B24" s="5"/>
      <c r="C24" s="5"/>
      <c r="D24" s="5"/>
      <c r="E24" s="5"/>
      <c r="F24" s="5"/>
      <c r="G24" s="5"/>
      <c r="H24" s="5" t="s">
        <v>23</v>
      </c>
      <c r="I24" s="6">
        <v>44722</v>
      </c>
      <c r="J24" s="5" t="s">
        <v>46</v>
      </c>
      <c r="K24" s="5" t="s">
        <v>413</v>
      </c>
      <c r="L24" s="5"/>
      <c r="M24" s="5"/>
      <c r="N24" s="7"/>
      <c r="O24" s="5" t="s">
        <v>553</v>
      </c>
      <c r="P24" s="8">
        <v>897.75</v>
      </c>
      <c r="Q24" s="8">
        <f t="shared" si="0"/>
        <v>70293.850000000006</v>
      </c>
    </row>
    <row r="25" spans="1:17" x14ac:dyDescent="0.25">
      <c r="A25" s="5"/>
      <c r="B25" s="5"/>
      <c r="C25" s="5"/>
      <c r="D25" s="5"/>
      <c r="E25" s="5"/>
      <c r="F25" s="5"/>
      <c r="G25" s="5"/>
      <c r="H25" s="5" t="s">
        <v>23</v>
      </c>
      <c r="I25" s="6">
        <v>44725</v>
      </c>
      <c r="J25" s="5" t="s">
        <v>47</v>
      </c>
      <c r="K25" s="5" t="s">
        <v>414</v>
      </c>
      <c r="L25" s="5" t="s">
        <v>468</v>
      </c>
      <c r="M25" s="5"/>
      <c r="N25" s="7"/>
      <c r="O25" s="5" t="s">
        <v>553</v>
      </c>
      <c r="P25" s="8">
        <v>8200</v>
      </c>
      <c r="Q25" s="8">
        <f t="shared" si="0"/>
        <v>78493.850000000006</v>
      </c>
    </row>
    <row r="26" spans="1:17" x14ac:dyDescent="0.25">
      <c r="A26" s="5"/>
      <c r="B26" s="5"/>
      <c r="C26" s="5"/>
      <c r="D26" s="5"/>
      <c r="E26" s="5"/>
      <c r="F26" s="5"/>
      <c r="G26" s="5"/>
      <c r="H26" s="5" t="s">
        <v>23</v>
      </c>
      <c r="I26" s="6">
        <v>44725</v>
      </c>
      <c r="J26" s="5" t="s">
        <v>48</v>
      </c>
      <c r="K26" s="5" t="s">
        <v>413</v>
      </c>
      <c r="L26" s="5"/>
      <c r="M26" s="5"/>
      <c r="N26" s="7"/>
      <c r="O26" s="5" t="s">
        <v>553</v>
      </c>
      <c r="P26" s="8">
        <v>813.02</v>
      </c>
      <c r="Q26" s="8">
        <f t="shared" si="0"/>
        <v>79306.87</v>
      </c>
    </row>
    <row r="27" spans="1:17" x14ac:dyDescent="0.25">
      <c r="A27" s="5"/>
      <c r="B27" s="5"/>
      <c r="C27" s="5"/>
      <c r="D27" s="5"/>
      <c r="E27" s="5"/>
      <c r="F27" s="5"/>
      <c r="G27" s="5"/>
      <c r="H27" s="5" t="s">
        <v>23</v>
      </c>
      <c r="I27" s="6">
        <v>44725</v>
      </c>
      <c r="J27" s="5" t="s">
        <v>49</v>
      </c>
      <c r="K27" s="5" t="s">
        <v>412</v>
      </c>
      <c r="L27" s="5"/>
      <c r="M27" s="5"/>
      <c r="N27" s="7"/>
      <c r="O27" s="5" t="s">
        <v>553</v>
      </c>
      <c r="P27" s="8">
        <v>240</v>
      </c>
      <c r="Q27" s="8">
        <f t="shared" si="0"/>
        <v>79546.87</v>
      </c>
    </row>
    <row r="28" spans="1:17" x14ac:dyDescent="0.25">
      <c r="A28" s="5"/>
      <c r="B28" s="5"/>
      <c r="C28" s="5"/>
      <c r="D28" s="5"/>
      <c r="E28" s="5"/>
      <c r="F28" s="5"/>
      <c r="G28" s="5"/>
      <c r="H28" s="5" t="s">
        <v>23</v>
      </c>
      <c r="I28" s="6">
        <v>44726</v>
      </c>
      <c r="J28" s="5" t="s">
        <v>50</v>
      </c>
      <c r="K28" s="5" t="s">
        <v>413</v>
      </c>
      <c r="L28" s="5"/>
      <c r="M28" s="5"/>
      <c r="N28" s="7"/>
      <c r="O28" s="5" t="s">
        <v>553</v>
      </c>
      <c r="P28" s="8">
        <v>395.41</v>
      </c>
      <c r="Q28" s="8">
        <f t="shared" si="0"/>
        <v>79942.28</v>
      </c>
    </row>
    <row r="29" spans="1:17" x14ac:dyDescent="0.25">
      <c r="A29" s="5"/>
      <c r="B29" s="5"/>
      <c r="C29" s="5"/>
      <c r="D29" s="5"/>
      <c r="E29" s="5"/>
      <c r="F29" s="5"/>
      <c r="G29" s="5"/>
      <c r="H29" s="5" t="s">
        <v>23</v>
      </c>
      <c r="I29" s="6">
        <v>44726</v>
      </c>
      <c r="J29" s="5" t="s">
        <v>51</v>
      </c>
      <c r="K29" s="5" t="s">
        <v>413</v>
      </c>
      <c r="L29" s="5"/>
      <c r="M29" s="5"/>
      <c r="N29" s="7"/>
      <c r="O29" s="5" t="s">
        <v>553</v>
      </c>
      <c r="P29" s="8">
        <v>547.55999999999995</v>
      </c>
      <c r="Q29" s="8">
        <f t="shared" si="0"/>
        <v>80489.84</v>
      </c>
    </row>
    <row r="30" spans="1:17" x14ac:dyDescent="0.25">
      <c r="A30" s="5"/>
      <c r="B30" s="5"/>
      <c r="C30" s="5"/>
      <c r="D30" s="5"/>
      <c r="E30" s="5"/>
      <c r="F30" s="5"/>
      <c r="G30" s="5"/>
      <c r="H30" s="5" t="s">
        <v>23</v>
      </c>
      <c r="I30" s="6">
        <v>44727</v>
      </c>
      <c r="J30" s="5" t="s">
        <v>52</v>
      </c>
      <c r="K30" s="5" t="s">
        <v>413</v>
      </c>
      <c r="L30" s="5"/>
      <c r="M30" s="5"/>
      <c r="N30" s="7"/>
      <c r="O30" s="5" t="s">
        <v>553</v>
      </c>
      <c r="P30" s="8">
        <v>576.84</v>
      </c>
      <c r="Q30" s="8">
        <f t="shared" si="0"/>
        <v>81066.679999999993</v>
      </c>
    </row>
    <row r="31" spans="1:17" x14ac:dyDescent="0.25">
      <c r="A31" s="5"/>
      <c r="B31" s="5"/>
      <c r="C31" s="5"/>
      <c r="D31" s="5"/>
      <c r="E31" s="5"/>
      <c r="F31" s="5"/>
      <c r="G31" s="5"/>
      <c r="H31" s="5" t="s">
        <v>23</v>
      </c>
      <c r="I31" s="6">
        <v>44727</v>
      </c>
      <c r="J31" s="5" t="s">
        <v>53</v>
      </c>
      <c r="K31" s="5" t="s">
        <v>413</v>
      </c>
      <c r="L31" s="5"/>
      <c r="M31" s="5"/>
      <c r="N31" s="7"/>
      <c r="O31" s="5" t="s">
        <v>553</v>
      </c>
      <c r="P31" s="8">
        <v>979.75</v>
      </c>
      <c r="Q31" s="8">
        <f t="shared" si="0"/>
        <v>82046.429999999993</v>
      </c>
    </row>
    <row r="32" spans="1:17" x14ac:dyDescent="0.25">
      <c r="A32" s="5"/>
      <c r="B32" s="5"/>
      <c r="C32" s="5"/>
      <c r="D32" s="5"/>
      <c r="E32" s="5"/>
      <c r="F32" s="5"/>
      <c r="G32" s="5"/>
      <c r="H32" s="5" t="s">
        <v>23</v>
      </c>
      <c r="I32" s="6">
        <v>44727</v>
      </c>
      <c r="J32" s="5" t="s">
        <v>54</v>
      </c>
      <c r="K32" s="5" t="s">
        <v>413</v>
      </c>
      <c r="L32" s="5"/>
      <c r="M32" s="5"/>
      <c r="N32" s="7"/>
      <c r="O32" s="5" t="s">
        <v>553</v>
      </c>
      <c r="P32" s="8">
        <v>844.12</v>
      </c>
      <c r="Q32" s="8">
        <f t="shared" si="0"/>
        <v>82890.55</v>
      </c>
    </row>
    <row r="33" spans="1:17" x14ac:dyDescent="0.25">
      <c r="A33" s="5"/>
      <c r="B33" s="5"/>
      <c r="C33" s="5"/>
      <c r="D33" s="5"/>
      <c r="E33" s="5"/>
      <c r="F33" s="5"/>
      <c r="G33" s="5"/>
      <c r="H33" s="5" t="s">
        <v>23</v>
      </c>
      <c r="I33" s="6">
        <v>44728</v>
      </c>
      <c r="J33" s="5" t="s">
        <v>55</v>
      </c>
      <c r="K33" s="5" t="s">
        <v>413</v>
      </c>
      <c r="L33" s="5"/>
      <c r="M33" s="5"/>
      <c r="N33" s="7"/>
      <c r="O33" s="5" t="s">
        <v>553</v>
      </c>
      <c r="P33" s="8">
        <v>743.52</v>
      </c>
      <c r="Q33" s="8">
        <f t="shared" si="0"/>
        <v>83634.070000000007</v>
      </c>
    </row>
    <row r="34" spans="1:17" x14ac:dyDescent="0.25">
      <c r="A34" s="5"/>
      <c r="B34" s="5"/>
      <c r="C34" s="5"/>
      <c r="D34" s="5"/>
      <c r="E34" s="5"/>
      <c r="F34" s="5"/>
      <c r="G34" s="5"/>
      <c r="H34" s="5" t="s">
        <v>23</v>
      </c>
      <c r="I34" s="6">
        <v>44728</v>
      </c>
      <c r="J34" s="5" t="s">
        <v>56</v>
      </c>
      <c r="K34" s="5" t="s">
        <v>413</v>
      </c>
      <c r="L34" s="5"/>
      <c r="M34" s="5"/>
      <c r="N34" s="7"/>
      <c r="O34" s="5" t="s">
        <v>553</v>
      </c>
      <c r="P34" s="8">
        <v>352.75</v>
      </c>
      <c r="Q34" s="8">
        <f t="shared" si="0"/>
        <v>83986.82</v>
      </c>
    </row>
    <row r="35" spans="1:17" x14ac:dyDescent="0.25">
      <c r="A35" s="5"/>
      <c r="B35" s="5"/>
      <c r="C35" s="5"/>
      <c r="D35" s="5"/>
      <c r="E35" s="5"/>
      <c r="F35" s="5"/>
      <c r="G35" s="5"/>
      <c r="H35" s="5" t="s">
        <v>23</v>
      </c>
      <c r="I35" s="6">
        <v>44732</v>
      </c>
      <c r="J35" s="5" t="s">
        <v>57</v>
      </c>
      <c r="K35" s="5" t="s">
        <v>413</v>
      </c>
      <c r="L35" s="5"/>
      <c r="M35" s="5"/>
      <c r="N35" s="7"/>
      <c r="O35" s="5" t="s">
        <v>553</v>
      </c>
      <c r="P35" s="8">
        <v>645.54</v>
      </c>
      <c r="Q35" s="8">
        <f t="shared" si="0"/>
        <v>84632.36</v>
      </c>
    </row>
    <row r="36" spans="1:17" x14ac:dyDescent="0.25">
      <c r="A36" s="5"/>
      <c r="B36" s="5"/>
      <c r="C36" s="5"/>
      <c r="D36" s="5"/>
      <c r="E36" s="5"/>
      <c r="F36" s="5"/>
      <c r="G36" s="5"/>
      <c r="H36" s="5" t="s">
        <v>23</v>
      </c>
      <c r="I36" s="6">
        <v>44733</v>
      </c>
      <c r="J36" s="5" t="s">
        <v>58</v>
      </c>
      <c r="K36" s="5" t="s">
        <v>412</v>
      </c>
      <c r="L36" s="5"/>
      <c r="M36" s="5"/>
      <c r="N36" s="7"/>
      <c r="O36" s="5" t="s">
        <v>553</v>
      </c>
      <c r="P36" s="8">
        <v>250</v>
      </c>
      <c r="Q36" s="8">
        <f t="shared" si="0"/>
        <v>84882.36</v>
      </c>
    </row>
    <row r="37" spans="1:17" x14ac:dyDescent="0.25">
      <c r="A37" s="5"/>
      <c r="B37" s="5"/>
      <c r="C37" s="5"/>
      <c r="D37" s="5"/>
      <c r="E37" s="5"/>
      <c r="F37" s="5"/>
      <c r="G37" s="5"/>
      <c r="H37" s="5" t="s">
        <v>23</v>
      </c>
      <c r="I37" s="6">
        <v>44733</v>
      </c>
      <c r="J37" s="5" t="s">
        <v>59</v>
      </c>
      <c r="K37" s="5" t="s">
        <v>412</v>
      </c>
      <c r="L37" s="5"/>
      <c r="M37" s="5"/>
      <c r="N37" s="7"/>
      <c r="O37" s="5" t="s">
        <v>553</v>
      </c>
      <c r="P37" s="8">
        <v>250</v>
      </c>
      <c r="Q37" s="8">
        <f t="shared" si="0"/>
        <v>85132.36</v>
      </c>
    </row>
    <row r="38" spans="1:17" x14ac:dyDescent="0.25">
      <c r="A38" s="5"/>
      <c r="B38" s="5"/>
      <c r="C38" s="5"/>
      <c r="D38" s="5"/>
      <c r="E38" s="5"/>
      <c r="F38" s="5"/>
      <c r="G38" s="5"/>
      <c r="H38" s="5" t="s">
        <v>23</v>
      </c>
      <c r="I38" s="6">
        <v>44733</v>
      </c>
      <c r="J38" s="5" t="s">
        <v>60</v>
      </c>
      <c r="K38" s="5" t="s">
        <v>413</v>
      </c>
      <c r="L38" s="5"/>
      <c r="M38" s="5"/>
      <c r="N38" s="7"/>
      <c r="O38" s="5" t="s">
        <v>553</v>
      </c>
      <c r="P38" s="8">
        <v>526.66</v>
      </c>
      <c r="Q38" s="8">
        <f t="shared" si="0"/>
        <v>85659.02</v>
      </c>
    </row>
    <row r="39" spans="1:17" x14ac:dyDescent="0.25">
      <c r="A39" s="5"/>
      <c r="B39" s="5"/>
      <c r="C39" s="5"/>
      <c r="D39" s="5"/>
      <c r="E39" s="5"/>
      <c r="F39" s="5"/>
      <c r="G39" s="5"/>
      <c r="H39" s="5" t="s">
        <v>23</v>
      </c>
      <c r="I39" s="6">
        <v>44733</v>
      </c>
      <c r="J39" s="5" t="s">
        <v>61</v>
      </c>
      <c r="K39" s="5" t="s">
        <v>412</v>
      </c>
      <c r="L39" s="5"/>
      <c r="M39" s="5"/>
      <c r="N39" s="7"/>
      <c r="O39" s="5" t="s">
        <v>553</v>
      </c>
      <c r="P39" s="8">
        <v>250</v>
      </c>
      <c r="Q39" s="8">
        <f t="shared" si="0"/>
        <v>85909.02</v>
      </c>
    </row>
    <row r="40" spans="1:17" x14ac:dyDescent="0.25">
      <c r="A40" s="5"/>
      <c r="B40" s="5"/>
      <c r="C40" s="5"/>
      <c r="D40" s="5"/>
      <c r="E40" s="5"/>
      <c r="F40" s="5"/>
      <c r="G40" s="5"/>
      <c r="H40" s="5" t="s">
        <v>23</v>
      </c>
      <c r="I40" s="6">
        <v>44733</v>
      </c>
      <c r="J40" s="5" t="s">
        <v>62</v>
      </c>
      <c r="K40" s="5" t="s">
        <v>412</v>
      </c>
      <c r="L40" s="5"/>
      <c r="M40" s="5"/>
      <c r="N40" s="7"/>
      <c r="O40" s="5" t="s">
        <v>553</v>
      </c>
      <c r="P40" s="8">
        <v>250</v>
      </c>
      <c r="Q40" s="8">
        <f t="shared" si="0"/>
        <v>86159.02</v>
      </c>
    </row>
    <row r="41" spans="1:17" x14ac:dyDescent="0.25">
      <c r="A41" s="5"/>
      <c r="B41" s="5"/>
      <c r="C41" s="5"/>
      <c r="D41" s="5"/>
      <c r="E41" s="5"/>
      <c r="F41" s="5"/>
      <c r="G41" s="5"/>
      <c r="H41" s="5" t="s">
        <v>23</v>
      </c>
      <c r="I41" s="6">
        <v>44736</v>
      </c>
      <c r="J41" s="5" t="s">
        <v>63</v>
      </c>
      <c r="K41" s="5" t="s">
        <v>412</v>
      </c>
      <c r="L41" s="5"/>
      <c r="M41" s="5"/>
      <c r="N41" s="7"/>
      <c r="O41" s="5" t="s">
        <v>553</v>
      </c>
      <c r="P41" s="8">
        <v>140</v>
      </c>
      <c r="Q41" s="8">
        <f t="shared" si="0"/>
        <v>86299.02</v>
      </c>
    </row>
    <row r="42" spans="1:17" x14ac:dyDescent="0.25">
      <c r="A42" s="5"/>
      <c r="B42" s="5"/>
      <c r="C42" s="5"/>
      <c r="D42" s="5"/>
      <c r="E42" s="5"/>
      <c r="F42" s="5"/>
      <c r="G42" s="5"/>
      <c r="H42" s="5" t="s">
        <v>23</v>
      </c>
      <c r="I42" s="6">
        <v>44736</v>
      </c>
      <c r="J42" s="5" t="s">
        <v>64</v>
      </c>
      <c r="K42" s="5" t="s">
        <v>412</v>
      </c>
      <c r="L42" s="5"/>
      <c r="M42" s="5"/>
      <c r="N42" s="7"/>
      <c r="O42" s="5" t="s">
        <v>553</v>
      </c>
      <c r="P42" s="8">
        <v>1839.95</v>
      </c>
      <c r="Q42" s="8">
        <f t="shared" si="0"/>
        <v>88138.97</v>
      </c>
    </row>
    <row r="43" spans="1:17" x14ac:dyDescent="0.25">
      <c r="A43" s="5"/>
      <c r="B43" s="5"/>
      <c r="C43" s="5"/>
      <c r="D43" s="5"/>
      <c r="E43" s="5"/>
      <c r="F43" s="5"/>
      <c r="G43" s="5"/>
      <c r="H43" s="5" t="s">
        <v>23</v>
      </c>
      <c r="I43" s="6">
        <v>44736</v>
      </c>
      <c r="J43" s="5" t="s">
        <v>65</v>
      </c>
      <c r="K43" s="5" t="s">
        <v>413</v>
      </c>
      <c r="L43" s="5"/>
      <c r="M43" s="5"/>
      <c r="N43" s="7"/>
      <c r="O43" s="5" t="s">
        <v>553</v>
      </c>
      <c r="P43" s="8">
        <v>765.56</v>
      </c>
      <c r="Q43" s="8">
        <f t="shared" si="0"/>
        <v>88904.53</v>
      </c>
    </row>
    <row r="44" spans="1:17" x14ac:dyDescent="0.25">
      <c r="A44" s="5"/>
      <c r="B44" s="5"/>
      <c r="C44" s="5"/>
      <c r="D44" s="5"/>
      <c r="E44" s="5"/>
      <c r="F44" s="5"/>
      <c r="G44" s="5"/>
      <c r="H44" s="5" t="s">
        <v>23</v>
      </c>
      <c r="I44" s="6">
        <v>44736</v>
      </c>
      <c r="J44" s="5" t="s">
        <v>66</v>
      </c>
      <c r="K44" s="5" t="s">
        <v>413</v>
      </c>
      <c r="L44" s="5"/>
      <c r="M44" s="5"/>
      <c r="N44" s="7"/>
      <c r="O44" s="5" t="s">
        <v>553</v>
      </c>
      <c r="P44" s="8">
        <v>632.54999999999995</v>
      </c>
      <c r="Q44" s="8">
        <f t="shared" si="0"/>
        <v>89537.08</v>
      </c>
    </row>
    <row r="45" spans="1:17" x14ac:dyDescent="0.25">
      <c r="A45" s="5"/>
      <c r="B45" s="5"/>
      <c r="C45" s="5"/>
      <c r="D45" s="5"/>
      <c r="E45" s="5"/>
      <c r="F45" s="5"/>
      <c r="G45" s="5"/>
      <c r="H45" s="5" t="s">
        <v>23</v>
      </c>
      <c r="I45" s="6">
        <v>44736</v>
      </c>
      <c r="J45" s="5" t="s">
        <v>67</v>
      </c>
      <c r="K45" s="5" t="s">
        <v>412</v>
      </c>
      <c r="L45" s="5"/>
      <c r="M45" s="5"/>
      <c r="N45" s="7"/>
      <c r="O45" s="5" t="s">
        <v>553</v>
      </c>
      <c r="P45" s="8">
        <v>140</v>
      </c>
      <c r="Q45" s="8">
        <f t="shared" si="0"/>
        <v>89677.08</v>
      </c>
    </row>
    <row r="46" spans="1:17" x14ac:dyDescent="0.25">
      <c r="A46" s="5"/>
      <c r="B46" s="5"/>
      <c r="C46" s="5"/>
      <c r="D46" s="5"/>
      <c r="E46" s="5"/>
      <c r="F46" s="5"/>
      <c r="G46" s="5"/>
      <c r="H46" s="5" t="s">
        <v>23</v>
      </c>
      <c r="I46" s="6">
        <v>44736</v>
      </c>
      <c r="J46" s="5" t="s">
        <v>68</v>
      </c>
      <c r="K46" s="5" t="s">
        <v>412</v>
      </c>
      <c r="L46" s="5"/>
      <c r="M46" s="5"/>
      <c r="N46" s="7"/>
      <c r="O46" s="5" t="s">
        <v>553</v>
      </c>
      <c r="P46" s="8">
        <v>1839.95</v>
      </c>
      <c r="Q46" s="8">
        <f t="shared" si="0"/>
        <v>91517.03</v>
      </c>
    </row>
    <row r="47" spans="1:17" x14ac:dyDescent="0.25">
      <c r="A47" s="5"/>
      <c r="B47" s="5"/>
      <c r="C47" s="5"/>
      <c r="D47" s="5"/>
      <c r="E47" s="5"/>
      <c r="F47" s="5"/>
      <c r="G47" s="5"/>
      <c r="H47" s="5" t="s">
        <v>23</v>
      </c>
      <c r="I47" s="6">
        <v>44739</v>
      </c>
      <c r="J47" s="5" t="s">
        <v>69</v>
      </c>
      <c r="K47" s="5" t="s">
        <v>412</v>
      </c>
      <c r="L47" s="5"/>
      <c r="M47" s="5"/>
      <c r="N47" s="7"/>
      <c r="O47" s="5" t="s">
        <v>553</v>
      </c>
      <c r="P47" s="8">
        <v>889.84</v>
      </c>
      <c r="Q47" s="8">
        <f t="shared" si="0"/>
        <v>92406.87</v>
      </c>
    </row>
    <row r="48" spans="1:17" x14ac:dyDescent="0.25">
      <c r="A48" s="5"/>
      <c r="B48" s="5"/>
      <c r="C48" s="5"/>
      <c r="D48" s="5"/>
      <c r="E48" s="5"/>
      <c r="F48" s="5"/>
      <c r="G48" s="5"/>
      <c r="H48" s="5" t="s">
        <v>23</v>
      </c>
      <c r="I48" s="6">
        <v>44739</v>
      </c>
      <c r="J48" s="5" t="s">
        <v>70</v>
      </c>
      <c r="K48" s="5" t="s">
        <v>412</v>
      </c>
      <c r="L48" s="5"/>
      <c r="M48" s="5"/>
      <c r="N48" s="7"/>
      <c r="O48" s="5" t="s">
        <v>553</v>
      </c>
      <c r="P48" s="8">
        <v>889.84</v>
      </c>
      <c r="Q48" s="8">
        <f t="shared" si="0"/>
        <v>93296.71</v>
      </c>
    </row>
    <row r="49" spans="1:17" x14ac:dyDescent="0.25">
      <c r="A49" s="5"/>
      <c r="B49" s="5"/>
      <c r="C49" s="5"/>
      <c r="D49" s="5"/>
      <c r="E49" s="5"/>
      <c r="F49" s="5"/>
      <c r="G49" s="5"/>
      <c r="H49" s="5" t="s">
        <v>23</v>
      </c>
      <c r="I49" s="6">
        <v>44741</v>
      </c>
      <c r="J49" s="5" t="s">
        <v>71</v>
      </c>
      <c r="K49" s="5" t="s">
        <v>412</v>
      </c>
      <c r="L49" s="5"/>
      <c r="M49" s="5"/>
      <c r="N49" s="7"/>
      <c r="O49" s="5" t="s">
        <v>553</v>
      </c>
      <c r="P49" s="8">
        <v>1300</v>
      </c>
      <c r="Q49" s="8">
        <f t="shared" si="0"/>
        <v>94596.71</v>
      </c>
    </row>
    <row r="50" spans="1:17" x14ac:dyDescent="0.25">
      <c r="A50" s="5"/>
      <c r="B50" s="5"/>
      <c r="C50" s="5"/>
      <c r="D50" s="5"/>
      <c r="E50" s="5"/>
      <c r="F50" s="5"/>
      <c r="G50" s="5"/>
      <c r="H50" s="5" t="s">
        <v>23</v>
      </c>
      <c r="I50" s="6">
        <v>44741</v>
      </c>
      <c r="J50" s="5" t="s">
        <v>72</v>
      </c>
      <c r="K50" s="5" t="s">
        <v>412</v>
      </c>
      <c r="L50" s="5"/>
      <c r="M50" s="5"/>
      <c r="N50" s="7"/>
      <c r="O50" s="5" t="s">
        <v>553</v>
      </c>
      <c r="P50" s="8">
        <v>1300</v>
      </c>
      <c r="Q50" s="8">
        <f t="shared" si="0"/>
        <v>95896.71</v>
      </c>
    </row>
    <row r="51" spans="1:17" x14ac:dyDescent="0.25">
      <c r="A51" s="5"/>
      <c r="B51" s="5"/>
      <c r="C51" s="5"/>
      <c r="D51" s="5"/>
      <c r="E51" s="5"/>
      <c r="F51" s="5"/>
      <c r="G51" s="5"/>
      <c r="H51" s="5" t="s">
        <v>23</v>
      </c>
      <c r="I51" s="6">
        <v>44743</v>
      </c>
      <c r="J51" s="5" t="s">
        <v>73</v>
      </c>
      <c r="K51" s="5" t="s">
        <v>415</v>
      </c>
      <c r="L51" s="5" t="s">
        <v>469</v>
      </c>
      <c r="M51" s="5"/>
      <c r="N51" s="7"/>
      <c r="O51" s="5" t="s">
        <v>553</v>
      </c>
      <c r="P51" s="8">
        <v>2500</v>
      </c>
      <c r="Q51" s="8">
        <f t="shared" si="0"/>
        <v>98396.71</v>
      </c>
    </row>
    <row r="52" spans="1:17" x14ac:dyDescent="0.25">
      <c r="A52" s="5"/>
      <c r="B52" s="5"/>
      <c r="C52" s="5"/>
      <c r="D52" s="5"/>
      <c r="E52" s="5"/>
      <c r="F52" s="5"/>
      <c r="G52" s="5"/>
      <c r="H52" s="5" t="s">
        <v>23</v>
      </c>
      <c r="I52" s="6">
        <v>44743</v>
      </c>
      <c r="J52" s="5" t="s">
        <v>73</v>
      </c>
      <c r="K52" s="5" t="s">
        <v>415</v>
      </c>
      <c r="L52" s="5" t="s">
        <v>470</v>
      </c>
      <c r="M52" s="5"/>
      <c r="N52" s="7"/>
      <c r="O52" s="5" t="s">
        <v>553</v>
      </c>
      <c r="P52" s="8">
        <v>58</v>
      </c>
      <c r="Q52" s="8">
        <f t="shared" si="0"/>
        <v>98454.71</v>
      </c>
    </row>
    <row r="53" spans="1:17" x14ac:dyDescent="0.25">
      <c r="A53" s="5"/>
      <c r="B53" s="5"/>
      <c r="C53" s="5"/>
      <c r="D53" s="5"/>
      <c r="E53" s="5"/>
      <c r="F53" s="5"/>
      <c r="G53" s="5"/>
      <c r="H53" s="5" t="s">
        <v>23</v>
      </c>
      <c r="I53" s="6">
        <v>44743</v>
      </c>
      <c r="J53" s="5" t="s">
        <v>74</v>
      </c>
      <c r="K53" s="5" t="s">
        <v>416</v>
      </c>
      <c r="L53" s="5" t="s">
        <v>471</v>
      </c>
      <c r="M53" s="5"/>
      <c r="N53" s="7"/>
      <c r="O53" s="5" t="s">
        <v>553</v>
      </c>
      <c r="P53" s="8">
        <v>0</v>
      </c>
      <c r="Q53" s="8">
        <f t="shared" si="0"/>
        <v>98454.71</v>
      </c>
    </row>
    <row r="54" spans="1:17" x14ac:dyDescent="0.25">
      <c r="A54" s="5"/>
      <c r="B54" s="5"/>
      <c r="C54" s="5"/>
      <c r="D54" s="5"/>
      <c r="E54" s="5"/>
      <c r="F54" s="5"/>
      <c r="G54" s="5"/>
      <c r="H54" s="5" t="s">
        <v>23</v>
      </c>
      <c r="I54" s="6">
        <v>44743</v>
      </c>
      <c r="J54" s="5" t="s">
        <v>74</v>
      </c>
      <c r="K54" s="5" t="s">
        <v>416</v>
      </c>
      <c r="L54" s="5" t="s">
        <v>472</v>
      </c>
      <c r="M54" s="5"/>
      <c r="N54" s="7"/>
      <c r="O54" s="5" t="s">
        <v>553</v>
      </c>
      <c r="P54" s="8">
        <v>0</v>
      </c>
      <c r="Q54" s="8">
        <f t="shared" si="0"/>
        <v>98454.71</v>
      </c>
    </row>
    <row r="55" spans="1:17" x14ac:dyDescent="0.25">
      <c r="A55" s="5"/>
      <c r="B55" s="5"/>
      <c r="C55" s="5"/>
      <c r="D55" s="5"/>
      <c r="E55" s="5"/>
      <c r="F55" s="5"/>
      <c r="G55" s="5"/>
      <c r="H55" s="5" t="s">
        <v>23</v>
      </c>
      <c r="I55" s="6">
        <v>44743</v>
      </c>
      <c r="J55" s="5" t="s">
        <v>74</v>
      </c>
      <c r="K55" s="5" t="s">
        <v>416</v>
      </c>
      <c r="L55" s="5"/>
      <c r="M55" s="5"/>
      <c r="N55" s="7"/>
      <c r="O55" s="5" t="s">
        <v>553</v>
      </c>
      <c r="P55" s="8">
        <v>2000</v>
      </c>
      <c r="Q55" s="8">
        <f t="shared" si="0"/>
        <v>100454.71</v>
      </c>
    </row>
    <row r="56" spans="1:17" x14ac:dyDescent="0.25">
      <c r="A56" s="5"/>
      <c r="B56" s="5"/>
      <c r="C56" s="5"/>
      <c r="D56" s="5"/>
      <c r="E56" s="5"/>
      <c r="F56" s="5"/>
      <c r="G56" s="5"/>
      <c r="H56" s="5" t="s">
        <v>23</v>
      </c>
      <c r="I56" s="6">
        <v>44743</v>
      </c>
      <c r="J56" s="5" t="s">
        <v>75</v>
      </c>
      <c r="K56" s="5" t="s">
        <v>413</v>
      </c>
      <c r="L56" s="5"/>
      <c r="M56" s="5"/>
      <c r="N56" s="7"/>
      <c r="O56" s="5" t="s">
        <v>553</v>
      </c>
      <c r="P56" s="8">
        <v>562.54999999999995</v>
      </c>
      <c r="Q56" s="8">
        <f t="shared" si="0"/>
        <v>101017.26</v>
      </c>
    </row>
    <row r="57" spans="1:17" x14ac:dyDescent="0.25">
      <c r="A57" s="5"/>
      <c r="B57" s="5"/>
      <c r="C57" s="5"/>
      <c r="D57" s="5"/>
      <c r="E57" s="5"/>
      <c r="F57" s="5"/>
      <c r="G57" s="5"/>
      <c r="H57" s="5" t="s">
        <v>23</v>
      </c>
      <c r="I57" s="6">
        <v>44743</v>
      </c>
      <c r="J57" s="5" t="s">
        <v>76</v>
      </c>
      <c r="K57" s="5" t="s">
        <v>413</v>
      </c>
      <c r="L57" s="5"/>
      <c r="M57" s="5"/>
      <c r="N57" s="7"/>
      <c r="O57" s="5" t="s">
        <v>553</v>
      </c>
      <c r="P57" s="8">
        <v>1044.08</v>
      </c>
      <c r="Q57" s="8">
        <f t="shared" si="0"/>
        <v>102061.34</v>
      </c>
    </row>
    <row r="58" spans="1:17" x14ac:dyDescent="0.25">
      <c r="A58" s="5"/>
      <c r="B58" s="5"/>
      <c r="C58" s="5"/>
      <c r="D58" s="5"/>
      <c r="E58" s="5"/>
      <c r="F58" s="5"/>
      <c r="G58" s="5"/>
      <c r="H58" s="5" t="s">
        <v>23</v>
      </c>
      <c r="I58" s="6">
        <v>44743</v>
      </c>
      <c r="J58" s="5" t="s">
        <v>77</v>
      </c>
      <c r="K58" s="5" t="s">
        <v>413</v>
      </c>
      <c r="L58" s="5"/>
      <c r="M58" s="5"/>
      <c r="N58" s="7"/>
      <c r="O58" s="5" t="s">
        <v>553</v>
      </c>
      <c r="P58" s="8">
        <v>854.78</v>
      </c>
      <c r="Q58" s="8">
        <f t="shared" si="0"/>
        <v>102916.12</v>
      </c>
    </row>
    <row r="59" spans="1:17" x14ac:dyDescent="0.25">
      <c r="A59" s="5"/>
      <c r="B59" s="5"/>
      <c r="C59" s="5"/>
      <c r="D59" s="5"/>
      <c r="E59" s="5"/>
      <c r="F59" s="5"/>
      <c r="G59" s="5"/>
      <c r="H59" s="5" t="s">
        <v>23</v>
      </c>
      <c r="I59" s="6">
        <v>44743</v>
      </c>
      <c r="J59" s="5" t="s">
        <v>78</v>
      </c>
      <c r="K59" s="5" t="s">
        <v>413</v>
      </c>
      <c r="L59" s="5"/>
      <c r="M59" s="5"/>
      <c r="N59" s="7"/>
      <c r="O59" s="5" t="s">
        <v>553</v>
      </c>
      <c r="P59" s="8">
        <v>732.14</v>
      </c>
      <c r="Q59" s="8">
        <f t="shared" si="0"/>
        <v>103648.26</v>
      </c>
    </row>
    <row r="60" spans="1:17" x14ac:dyDescent="0.25">
      <c r="A60" s="5"/>
      <c r="B60" s="5"/>
      <c r="C60" s="5"/>
      <c r="D60" s="5"/>
      <c r="E60" s="5"/>
      <c r="F60" s="5"/>
      <c r="G60" s="5"/>
      <c r="H60" s="5" t="s">
        <v>23</v>
      </c>
      <c r="I60" s="6">
        <v>44743</v>
      </c>
      <c r="J60" s="5" t="s">
        <v>79</v>
      </c>
      <c r="K60" s="5" t="s">
        <v>413</v>
      </c>
      <c r="L60" s="5"/>
      <c r="M60" s="5"/>
      <c r="N60" s="7"/>
      <c r="O60" s="5" t="s">
        <v>553</v>
      </c>
      <c r="P60" s="8">
        <v>666.41</v>
      </c>
      <c r="Q60" s="8">
        <f t="shared" si="0"/>
        <v>104314.67</v>
      </c>
    </row>
    <row r="61" spans="1:17" x14ac:dyDescent="0.25">
      <c r="A61" s="5"/>
      <c r="B61" s="5"/>
      <c r="C61" s="5"/>
      <c r="D61" s="5"/>
      <c r="E61" s="5"/>
      <c r="F61" s="5"/>
      <c r="G61" s="5"/>
      <c r="H61" s="5" t="s">
        <v>23</v>
      </c>
      <c r="I61" s="6">
        <v>44743</v>
      </c>
      <c r="J61" s="5" t="s">
        <v>80</v>
      </c>
      <c r="K61" s="5" t="s">
        <v>413</v>
      </c>
      <c r="L61" s="5"/>
      <c r="M61" s="5"/>
      <c r="N61" s="7"/>
      <c r="O61" s="5" t="s">
        <v>553</v>
      </c>
      <c r="P61" s="8">
        <v>423.12</v>
      </c>
      <c r="Q61" s="8">
        <f t="shared" si="0"/>
        <v>104737.79</v>
      </c>
    </row>
    <row r="62" spans="1:17" x14ac:dyDescent="0.25">
      <c r="A62" s="5"/>
      <c r="B62" s="5"/>
      <c r="C62" s="5"/>
      <c r="D62" s="5"/>
      <c r="E62" s="5"/>
      <c r="F62" s="5"/>
      <c r="G62" s="5"/>
      <c r="H62" s="5" t="s">
        <v>23</v>
      </c>
      <c r="I62" s="6">
        <v>44743</v>
      </c>
      <c r="J62" s="5" t="s">
        <v>81</v>
      </c>
      <c r="K62" s="5" t="s">
        <v>413</v>
      </c>
      <c r="L62" s="5"/>
      <c r="M62" s="5"/>
      <c r="N62" s="7"/>
      <c r="O62" s="5" t="s">
        <v>553</v>
      </c>
      <c r="P62" s="8">
        <v>616.29999999999995</v>
      </c>
      <c r="Q62" s="8">
        <f t="shared" si="0"/>
        <v>105354.09</v>
      </c>
    </row>
    <row r="63" spans="1:17" x14ac:dyDescent="0.25">
      <c r="A63" s="5"/>
      <c r="B63" s="5"/>
      <c r="C63" s="5"/>
      <c r="D63" s="5"/>
      <c r="E63" s="5"/>
      <c r="F63" s="5"/>
      <c r="G63" s="5"/>
      <c r="H63" s="5" t="s">
        <v>23</v>
      </c>
      <c r="I63" s="6">
        <v>44743</v>
      </c>
      <c r="J63" s="5" t="s">
        <v>82</v>
      </c>
      <c r="K63" s="5" t="s">
        <v>413</v>
      </c>
      <c r="L63" s="5"/>
      <c r="M63" s="5"/>
      <c r="N63" s="7"/>
      <c r="O63" s="5" t="s">
        <v>553</v>
      </c>
      <c r="P63" s="8">
        <v>443.8</v>
      </c>
      <c r="Q63" s="8">
        <f t="shared" si="0"/>
        <v>105797.89</v>
      </c>
    </row>
    <row r="64" spans="1:17" x14ac:dyDescent="0.25">
      <c r="A64" s="5"/>
      <c r="B64" s="5"/>
      <c r="C64" s="5"/>
      <c r="D64" s="5"/>
      <c r="E64" s="5"/>
      <c r="F64" s="5"/>
      <c r="G64" s="5"/>
      <c r="H64" s="5" t="s">
        <v>23</v>
      </c>
      <c r="I64" s="6">
        <v>44743</v>
      </c>
      <c r="J64" s="5" t="s">
        <v>83</v>
      </c>
      <c r="K64" s="5" t="s">
        <v>413</v>
      </c>
      <c r="L64" s="5"/>
      <c r="M64" s="5"/>
      <c r="N64" s="7"/>
      <c r="O64" s="5" t="s">
        <v>553</v>
      </c>
      <c r="P64" s="8">
        <v>123.92</v>
      </c>
      <c r="Q64" s="8">
        <f t="shared" si="0"/>
        <v>105921.81</v>
      </c>
    </row>
    <row r="65" spans="1:17" x14ac:dyDescent="0.25">
      <c r="A65" s="5"/>
      <c r="B65" s="5"/>
      <c r="C65" s="5"/>
      <c r="D65" s="5"/>
      <c r="E65" s="5"/>
      <c r="F65" s="5"/>
      <c r="G65" s="5"/>
      <c r="H65" s="5" t="s">
        <v>23</v>
      </c>
      <c r="I65" s="6">
        <v>44743</v>
      </c>
      <c r="J65" s="5" t="s">
        <v>84</v>
      </c>
      <c r="K65" s="5" t="s">
        <v>413</v>
      </c>
      <c r="L65" s="5"/>
      <c r="M65" s="5"/>
      <c r="N65" s="7"/>
      <c r="O65" s="5" t="s">
        <v>553</v>
      </c>
      <c r="P65" s="8">
        <v>546.26</v>
      </c>
      <c r="Q65" s="8">
        <f t="shared" si="0"/>
        <v>106468.07</v>
      </c>
    </row>
    <row r="66" spans="1:17" x14ac:dyDescent="0.25">
      <c r="A66" s="5"/>
      <c r="B66" s="5"/>
      <c r="C66" s="5"/>
      <c r="D66" s="5"/>
      <c r="E66" s="5"/>
      <c r="F66" s="5"/>
      <c r="G66" s="5"/>
      <c r="H66" s="5" t="s">
        <v>23</v>
      </c>
      <c r="I66" s="6">
        <v>44743</v>
      </c>
      <c r="J66" s="5" t="s">
        <v>85</v>
      </c>
      <c r="K66" s="5" t="s">
        <v>413</v>
      </c>
      <c r="L66" s="5"/>
      <c r="M66" s="5"/>
      <c r="N66" s="7"/>
      <c r="O66" s="5" t="s">
        <v>553</v>
      </c>
      <c r="P66" s="8">
        <v>652.04999999999995</v>
      </c>
      <c r="Q66" s="8">
        <f t="shared" si="0"/>
        <v>107120.12</v>
      </c>
    </row>
    <row r="67" spans="1:17" x14ac:dyDescent="0.25">
      <c r="A67" s="5"/>
      <c r="B67" s="5"/>
      <c r="C67" s="5"/>
      <c r="D67" s="5"/>
      <c r="E67" s="5"/>
      <c r="F67" s="5"/>
      <c r="G67" s="5"/>
      <c r="H67" s="5" t="s">
        <v>23</v>
      </c>
      <c r="I67" s="6">
        <v>44743</v>
      </c>
      <c r="J67" s="5" t="s">
        <v>86</v>
      </c>
      <c r="K67" s="5" t="s">
        <v>413</v>
      </c>
      <c r="L67" s="5"/>
      <c r="M67" s="5"/>
      <c r="N67" s="7"/>
      <c r="O67" s="5" t="s">
        <v>553</v>
      </c>
      <c r="P67" s="8">
        <v>802.14</v>
      </c>
      <c r="Q67" s="8">
        <f t="shared" si="0"/>
        <v>107922.26</v>
      </c>
    </row>
    <row r="68" spans="1:17" x14ac:dyDescent="0.25">
      <c r="A68" s="5"/>
      <c r="B68" s="5"/>
      <c r="C68" s="5"/>
      <c r="D68" s="5"/>
      <c r="E68" s="5"/>
      <c r="F68" s="5"/>
      <c r="G68" s="5"/>
      <c r="H68" s="5" t="s">
        <v>23</v>
      </c>
      <c r="I68" s="6">
        <v>44743</v>
      </c>
      <c r="J68" s="5" t="s">
        <v>87</v>
      </c>
      <c r="K68" s="5" t="s">
        <v>413</v>
      </c>
      <c r="L68" s="5"/>
      <c r="M68" s="5"/>
      <c r="N68" s="7"/>
      <c r="O68" s="5" t="s">
        <v>553</v>
      </c>
      <c r="P68" s="8">
        <v>546.29999999999995</v>
      </c>
      <c r="Q68" s="8">
        <f t="shared" si="0"/>
        <v>108468.56</v>
      </c>
    </row>
    <row r="69" spans="1:17" x14ac:dyDescent="0.25">
      <c r="A69" s="5"/>
      <c r="B69" s="5"/>
      <c r="C69" s="5"/>
      <c r="D69" s="5"/>
      <c r="E69" s="5"/>
      <c r="F69" s="5"/>
      <c r="G69" s="5"/>
      <c r="H69" s="5" t="s">
        <v>23</v>
      </c>
      <c r="I69" s="6">
        <v>44743</v>
      </c>
      <c r="J69" s="5" t="s">
        <v>88</v>
      </c>
      <c r="K69" s="5" t="s">
        <v>413</v>
      </c>
      <c r="L69" s="5"/>
      <c r="M69" s="5"/>
      <c r="N69" s="7"/>
      <c r="O69" s="5" t="s">
        <v>553</v>
      </c>
      <c r="P69" s="8">
        <v>546.29999999999995</v>
      </c>
      <c r="Q69" s="8">
        <f t="shared" ref="Q69:Q132" si="1">ROUND(Q68+P69,5)</f>
        <v>109014.86</v>
      </c>
    </row>
    <row r="70" spans="1:17" x14ac:dyDescent="0.25">
      <c r="A70" s="5"/>
      <c r="B70" s="5"/>
      <c r="C70" s="5"/>
      <c r="D70" s="5"/>
      <c r="E70" s="5"/>
      <c r="F70" s="5"/>
      <c r="G70" s="5"/>
      <c r="H70" s="5" t="s">
        <v>23</v>
      </c>
      <c r="I70" s="6">
        <v>44743</v>
      </c>
      <c r="J70" s="5" t="s">
        <v>89</v>
      </c>
      <c r="K70" s="5" t="s">
        <v>412</v>
      </c>
      <c r="L70" s="5"/>
      <c r="M70" s="5"/>
      <c r="N70" s="7"/>
      <c r="O70" s="5" t="s">
        <v>553</v>
      </c>
      <c r="P70" s="8">
        <v>3009.5</v>
      </c>
      <c r="Q70" s="8">
        <f t="shared" si="1"/>
        <v>112024.36</v>
      </c>
    </row>
    <row r="71" spans="1:17" x14ac:dyDescent="0.25">
      <c r="A71" s="5"/>
      <c r="B71" s="5"/>
      <c r="C71" s="5"/>
      <c r="D71" s="5"/>
      <c r="E71" s="5"/>
      <c r="F71" s="5"/>
      <c r="G71" s="5"/>
      <c r="H71" s="5" t="s">
        <v>23</v>
      </c>
      <c r="I71" s="6">
        <v>44743</v>
      </c>
      <c r="J71" s="5" t="s">
        <v>90</v>
      </c>
      <c r="K71" s="5" t="s">
        <v>412</v>
      </c>
      <c r="L71" s="5"/>
      <c r="M71" s="5"/>
      <c r="N71" s="7"/>
      <c r="O71" s="5" t="s">
        <v>553</v>
      </c>
      <c r="P71" s="8">
        <v>429.94</v>
      </c>
      <c r="Q71" s="8">
        <f t="shared" si="1"/>
        <v>112454.3</v>
      </c>
    </row>
    <row r="72" spans="1:17" x14ac:dyDescent="0.25">
      <c r="A72" s="5"/>
      <c r="B72" s="5"/>
      <c r="C72" s="5"/>
      <c r="D72" s="5"/>
      <c r="E72" s="5"/>
      <c r="F72" s="5"/>
      <c r="G72" s="5"/>
      <c r="H72" s="5" t="s">
        <v>23</v>
      </c>
      <c r="I72" s="6">
        <v>44743</v>
      </c>
      <c r="J72" s="5" t="s">
        <v>91</v>
      </c>
      <c r="K72" s="5" t="s">
        <v>412</v>
      </c>
      <c r="L72" s="5"/>
      <c r="M72" s="5"/>
      <c r="N72" s="7"/>
      <c r="O72" s="5" t="s">
        <v>553</v>
      </c>
      <c r="P72" s="8">
        <v>552.61</v>
      </c>
      <c r="Q72" s="8">
        <f t="shared" si="1"/>
        <v>113006.91</v>
      </c>
    </row>
    <row r="73" spans="1:17" x14ac:dyDescent="0.25">
      <c r="A73" s="5"/>
      <c r="B73" s="5"/>
      <c r="C73" s="5"/>
      <c r="D73" s="5"/>
      <c r="E73" s="5"/>
      <c r="F73" s="5"/>
      <c r="G73" s="5"/>
      <c r="H73" s="5" t="s">
        <v>23</v>
      </c>
      <c r="I73" s="6">
        <v>44743</v>
      </c>
      <c r="J73" s="5" t="s">
        <v>92</v>
      </c>
      <c r="K73" s="5" t="s">
        <v>412</v>
      </c>
      <c r="L73" s="5"/>
      <c r="M73" s="5"/>
      <c r="N73" s="7"/>
      <c r="O73" s="5" t="s">
        <v>553</v>
      </c>
      <c r="P73" s="8">
        <v>1207.6400000000001</v>
      </c>
      <c r="Q73" s="8">
        <f t="shared" si="1"/>
        <v>114214.55</v>
      </c>
    </row>
    <row r="74" spans="1:17" x14ac:dyDescent="0.25">
      <c r="A74" s="5"/>
      <c r="B74" s="5"/>
      <c r="C74" s="5"/>
      <c r="D74" s="5"/>
      <c r="E74" s="5"/>
      <c r="F74" s="5"/>
      <c r="G74" s="5"/>
      <c r="H74" s="5" t="s">
        <v>23</v>
      </c>
      <c r="I74" s="6">
        <v>44743</v>
      </c>
      <c r="J74" s="5" t="s">
        <v>93</v>
      </c>
      <c r="K74" s="5" t="s">
        <v>412</v>
      </c>
      <c r="L74" s="5"/>
      <c r="M74" s="5"/>
      <c r="N74" s="7"/>
      <c r="O74" s="5" t="s">
        <v>553</v>
      </c>
      <c r="P74" s="8">
        <v>508.48</v>
      </c>
      <c r="Q74" s="8">
        <f t="shared" si="1"/>
        <v>114723.03</v>
      </c>
    </row>
    <row r="75" spans="1:17" x14ac:dyDescent="0.25">
      <c r="A75" s="5"/>
      <c r="B75" s="5"/>
      <c r="C75" s="5"/>
      <c r="D75" s="5"/>
      <c r="E75" s="5"/>
      <c r="F75" s="5"/>
      <c r="G75" s="5"/>
      <c r="H75" s="5" t="s">
        <v>23</v>
      </c>
      <c r="I75" s="6">
        <v>44743</v>
      </c>
      <c r="J75" s="5" t="s">
        <v>94</v>
      </c>
      <c r="K75" s="5" t="s">
        <v>412</v>
      </c>
      <c r="L75" s="5"/>
      <c r="M75" s="5"/>
      <c r="N75" s="7"/>
      <c r="O75" s="5" t="s">
        <v>553</v>
      </c>
      <c r="P75" s="8">
        <v>2146.96</v>
      </c>
      <c r="Q75" s="8">
        <f t="shared" si="1"/>
        <v>116869.99</v>
      </c>
    </row>
    <row r="76" spans="1:17" x14ac:dyDescent="0.25">
      <c r="A76" s="5"/>
      <c r="B76" s="5"/>
      <c r="C76" s="5"/>
      <c r="D76" s="5"/>
      <c r="E76" s="5"/>
      <c r="F76" s="5"/>
      <c r="G76" s="5"/>
      <c r="H76" s="5" t="s">
        <v>23</v>
      </c>
      <c r="I76" s="6">
        <v>44743</v>
      </c>
      <c r="J76" s="5" t="s">
        <v>95</v>
      </c>
      <c r="K76" s="5" t="s">
        <v>412</v>
      </c>
      <c r="L76" s="5"/>
      <c r="M76" s="5"/>
      <c r="N76" s="7"/>
      <c r="O76" s="5" t="s">
        <v>553</v>
      </c>
      <c r="P76" s="8">
        <v>1295.7</v>
      </c>
      <c r="Q76" s="8">
        <f t="shared" si="1"/>
        <v>118165.69</v>
      </c>
    </row>
    <row r="77" spans="1:17" x14ac:dyDescent="0.25">
      <c r="A77" s="5"/>
      <c r="B77" s="5"/>
      <c r="C77" s="5"/>
      <c r="D77" s="5"/>
      <c r="E77" s="5"/>
      <c r="F77" s="5"/>
      <c r="G77" s="5"/>
      <c r="H77" s="5" t="s">
        <v>23</v>
      </c>
      <c r="I77" s="6">
        <v>44743</v>
      </c>
      <c r="J77" s="5" t="s">
        <v>96</v>
      </c>
      <c r="K77" s="5" t="s">
        <v>412</v>
      </c>
      <c r="L77" s="5"/>
      <c r="M77" s="5"/>
      <c r="N77" s="7"/>
      <c r="O77" s="5" t="s">
        <v>553</v>
      </c>
      <c r="P77" s="8">
        <v>1723.05</v>
      </c>
      <c r="Q77" s="8">
        <f t="shared" si="1"/>
        <v>119888.74</v>
      </c>
    </row>
    <row r="78" spans="1:17" x14ac:dyDescent="0.25">
      <c r="A78" s="5"/>
      <c r="B78" s="5"/>
      <c r="C78" s="5"/>
      <c r="D78" s="5"/>
      <c r="E78" s="5"/>
      <c r="F78" s="5"/>
      <c r="G78" s="5"/>
      <c r="H78" s="5" t="s">
        <v>23</v>
      </c>
      <c r="I78" s="6">
        <v>44743</v>
      </c>
      <c r="J78" s="5" t="s">
        <v>97</v>
      </c>
      <c r="K78" s="5" t="s">
        <v>412</v>
      </c>
      <c r="L78" s="5" t="s">
        <v>473</v>
      </c>
      <c r="M78" s="5"/>
      <c r="N78" s="7"/>
      <c r="O78" s="5" t="s">
        <v>553</v>
      </c>
      <c r="P78" s="8">
        <v>1500</v>
      </c>
      <c r="Q78" s="8">
        <f t="shared" si="1"/>
        <v>121388.74</v>
      </c>
    </row>
    <row r="79" spans="1:17" x14ac:dyDescent="0.25">
      <c r="A79" s="5"/>
      <c r="B79" s="5"/>
      <c r="C79" s="5"/>
      <c r="D79" s="5"/>
      <c r="E79" s="5"/>
      <c r="F79" s="5"/>
      <c r="G79" s="5"/>
      <c r="H79" s="5" t="s">
        <v>23</v>
      </c>
      <c r="I79" s="6">
        <v>44743</v>
      </c>
      <c r="J79" s="5" t="s">
        <v>97</v>
      </c>
      <c r="K79" s="5" t="s">
        <v>412</v>
      </c>
      <c r="L79" s="5" t="s">
        <v>474</v>
      </c>
      <c r="M79" s="5"/>
      <c r="N79" s="7"/>
      <c r="O79" s="5" t="s">
        <v>553</v>
      </c>
      <c r="P79" s="8">
        <v>805.6</v>
      </c>
      <c r="Q79" s="8">
        <f t="shared" si="1"/>
        <v>122194.34</v>
      </c>
    </row>
    <row r="80" spans="1:17" x14ac:dyDescent="0.25">
      <c r="A80" s="5"/>
      <c r="B80" s="5"/>
      <c r="C80" s="5"/>
      <c r="D80" s="5"/>
      <c r="E80" s="5"/>
      <c r="F80" s="5"/>
      <c r="G80" s="5"/>
      <c r="H80" s="5" t="s">
        <v>23</v>
      </c>
      <c r="I80" s="6">
        <v>44743</v>
      </c>
      <c r="J80" s="5" t="s">
        <v>98</v>
      </c>
      <c r="K80" s="5" t="s">
        <v>413</v>
      </c>
      <c r="L80" s="5"/>
      <c r="M80" s="5"/>
      <c r="N80" s="7"/>
      <c r="O80" s="5" t="s">
        <v>553</v>
      </c>
      <c r="P80" s="8">
        <v>930.58</v>
      </c>
      <c r="Q80" s="8">
        <f t="shared" si="1"/>
        <v>123124.92</v>
      </c>
    </row>
    <row r="81" spans="1:17" x14ac:dyDescent="0.25">
      <c r="A81" s="5"/>
      <c r="B81" s="5"/>
      <c r="C81" s="5"/>
      <c r="D81" s="5"/>
      <c r="E81" s="5"/>
      <c r="F81" s="5"/>
      <c r="G81" s="5"/>
      <c r="H81" s="5" t="s">
        <v>23</v>
      </c>
      <c r="I81" s="6">
        <v>44743</v>
      </c>
      <c r="J81" s="5" t="s">
        <v>99</v>
      </c>
      <c r="K81" s="5" t="s">
        <v>413</v>
      </c>
      <c r="L81" s="5"/>
      <c r="M81" s="5"/>
      <c r="N81" s="7"/>
      <c r="O81" s="5" t="s">
        <v>553</v>
      </c>
      <c r="P81" s="8">
        <v>565.5</v>
      </c>
      <c r="Q81" s="8">
        <f t="shared" si="1"/>
        <v>123690.42</v>
      </c>
    </row>
    <row r="82" spans="1:17" x14ac:dyDescent="0.25">
      <c r="A82" s="5"/>
      <c r="B82" s="5"/>
      <c r="C82" s="5"/>
      <c r="D82" s="5"/>
      <c r="E82" s="5"/>
      <c r="F82" s="5"/>
      <c r="G82" s="5"/>
      <c r="H82" s="5" t="s">
        <v>23</v>
      </c>
      <c r="I82" s="6">
        <v>44743</v>
      </c>
      <c r="J82" s="5" t="s">
        <v>100</v>
      </c>
      <c r="K82" s="5" t="s">
        <v>413</v>
      </c>
      <c r="L82" s="5"/>
      <c r="M82" s="5"/>
      <c r="N82" s="7"/>
      <c r="O82" s="5" t="s">
        <v>553</v>
      </c>
      <c r="P82" s="8">
        <v>236.46</v>
      </c>
      <c r="Q82" s="8">
        <f t="shared" si="1"/>
        <v>123926.88</v>
      </c>
    </row>
    <row r="83" spans="1:17" x14ac:dyDescent="0.25">
      <c r="A83" s="5"/>
      <c r="B83" s="5"/>
      <c r="C83" s="5"/>
      <c r="D83" s="5"/>
      <c r="E83" s="5"/>
      <c r="F83" s="5"/>
      <c r="G83" s="5"/>
      <c r="H83" s="5" t="s">
        <v>23</v>
      </c>
      <c r="I83" s="6">
        <v>44743</v>
      </c>
      <c r="J83" s="5" t="s">
        <v>101</v>
      </c>
      <c r="K83" s="5" t="s">
        <v>413</v>
      </c>
      <c r="L83" s="5"/>
      <c r="M83" s="5"/>
      <c r="N83" s="7"/>
      <c r="O83" s="5" t="s">
        <v>553</v>
      </c>
      <c r="P83" s="8">
        <v>546.29999999999995</v>
      </c>
      <c r="Q83" s="8">
        <f t="shared" si="1"/>
        <v>124473.18</v>
      </c>
    </row>
    <row r="84" spans="1:17" x14ac:dyDescent="0.25">
      <c r="A84" s="5"/>
      <c r="B84" s="5"/>
      <c r="C84" s="5"/>
      <c r="D84" s="5"/>
      <c r="E84" s="5"/>
      <c r="F84" s="5"/>
      <c r="G84" s="5"/>
      <c r="H84" s="5" t="s">
        <v>23</v>
      </c>
      <c r="I84" s="6">
        <v>44743</v>
      </c>
      <c r="J84" s="5" t="s">
        <v>102</v>
      </c>
      <c r="K84" s="5" t="s">
        <v>413</v>
      </c>
      <c r="L84" s="5"/>
      <c r="M84" s="5"/>
      <c r="N84" s="7"/>
      <c r="O84" s="5" t="s">
        <v>553</v>
      </c>
      <c r="P84" s="8">
        <v>500.58</v>
      </c>
      <c r="Q84" s="8">
        <f t="shared" si="1"/>
        <v>124973.75999999999</v>
      </c>
    </row>
    <row r="85" spans="1:17" x14ac:dyDescent="0.25">
      <c r="A85" s="5"/>
      <c r="B85" s="5"/>
      <c r="C85" s="5"/>
      <c r="D85" s="5"/>
      <c r="E85" s="5"/>
      <c r="F85" s="5"/>
      <c r="G85" s="5"/>
      <c r="H85" s="5" t="s">
        <v>23</v>
      </c>
      <c r="I85" s="6">
        <v>44743</v>
      </c>
      <c r="J85" s="5" t="s">
        <v>103</v>
      </c>
      <c r="K85" s="5" t="s">
        <v>413</v>
      </c>
      <c r="L85" s="5"/>
      <c r="M85" s="5"/>
      <c r="N85" s="7"/>
      <c r="O85" s="5" t="s">
        <v>553</v>
      </c>
      <c r="P85" s="8">
        <v>813.02</v>
      </c>
      <c r="Q85" s="8">
        <f t="shared" si="1"/>
        <v>125786.78</v>
      </c>
    </row>
    <row r="86" spans="1:17" x14ac:dyDescent="0.25">
      <c r="A86" s="5"/>
      <c r="B86" s="5"/>
      <c r="C86" s="5"/>
      <c r="D86" s="5"/>
      <c r="E86" s="5"/>
      <c r="F86" s="5"/>
      <c r="G86" s="5"/>
      <c r="H86" s="5" t="s">
        <v>23</v>
      </c>
      <c r="I86" s="6">
        <v>44743</v>
      </c>
      <c r="J86" s="5" t="s">
        <v>104</v>
      </c>
      <c r="K86" s="5" t="s">
        <v>413</v>
      </c>
      <c r="L86" s="5"/>
      <c r="M86" s="5"/>
      <c r="N86" s="7"/>
      <c r="O86" s="5" t="s">
        <v>553</v>
      </c>
      <c r="P86" s="8">
        <v>226.52</v>
      </c>
      <c r="Q86" s="8">
        <f t="shared" si="1"/>
        <v>126013.3</v>
      </c>
    </row>
    <row r="87" spans="1:17" x14ac:dyDescent="0.25">
      <c r="A87" s="5"/>
      <c r="B87" s="5"/>
      <c r="C87" s="5"/>
      <c r="D87" s="5"/>
      <c r="E87" s="5"/>
      <c r="F87" s="5"/>
      <c r="G87" s="5"/>
      <c r="H87" s="5" t="s">
        <v>23</v>
      </c>
      <c r="I87" s="6">
        <v>44743</v>
      </c>
      <c r="J87" s="5" t="s">
        <v>105</v>
      </c>
      <c r="K87" s="5" t="s">
        <v>413</v>
      </c>
      <c r="L87" s="5"/>
      <c r="M87" s="5"/>
      <c r="N87" s="7"/>
      <c r="O87" s="5" t="s">
        <v>553</v>
      </c>
      <c r="P87" s="8">
        <v>867.44</v>
      </c>
      <c r="Q87" s="8">
        <f t="shared" si="1"/>
        <v>126880.74</v>
      </c>
    </row>
    <row r="88" spans="1:17" x14ac:dyDescent="0.25">
      <c r="A88" s="5"/>
      <c r="B88" s="5"/>
      <c r="C88" s="5"/>
      <c r="D88" s="5"/>
      <c r="E88" s="5"/>
      <c r="F88" s="5"/>
      <c r="G88" s="5"/>
      <c r="H88" s="5" t="s">
        <v>23</v>
      </c>
      <c r="I88" s="6">
        <v>44744</v>
      </c>
      <c r="J88" s="5" t="s">
        <v>106</v>
      </c>
      <c r="K88" s="5" t="s">
        <v>413</v>
      </c>
      <c r="L88" s="5"/>
      <c r="M88" s="5"/>
      <c r="N88" s="7"/>
      <c r="O88" s="5" t="s">
        <v>553</v>
      </c>
      <c r="P88" s="8">
        <v>517.54999999999995</v>
      </c>
      <c r="Q88" s="8">
        <f t="shared" si="1"/>
        <v>127398.29</v>
      </c>
    </row>
    <row r="89" spans="1:17" x14ac:dyDescent="0.25">
      <c r="A89" s="5"/>
      <c r="B89" s="5"/>
      <c r="C89" s="5"/>
      <c r="D89" s="5"/>
      <c r="E89" s="5"/>
      <c r="F89" s="5"/>
      <c r="G89" s="5"/>
      <c r="H89" s="5" t="s">
        <v>23</v>
      </c>
      <c r="I89" s="6">
        <v>44744</v>
      </c>
      <c r="J89" s="5" t="s">
        <v>107</v>
      </c>
      <c r="K89" s="5" t="s">
        <v>413</v>
      </c>
      <c r="L89" s="5"/>
      <c r="M89" s="5"/>
      <c r="N89" s="7"/>
      <c r="O89" s="5" t="s">
        <v>553</v>
      </c>
      <c r="P89" s="8">
        <v>863.29</v>
      </c>
      <c r="Q89" s="8">
        <f t="shared" si="1"/>
        <v>128261.58</v>
      </c>
    </row>
    <row r="90" spans="1:17" x14ac:dyDescent="0.25">
      <c r="A90" s="5"/>
      <c r="B90" s="5"/>
      <c r="C90" s="5"/>
      <c r="D90" s="5"/>
      <c r="E90" s="5"/>
      <c r="F90" s="5"/>
      <c r="G90" s="5"/>
      <c r="H90" s="5" t="s">
        <v>23</v>
      </c>
      <c r="I90" s="6">
        <v>44744</v>
      </c>
      <c r="J90" s="5" t="s">
        <v>108</v>
      </c>
      <c r="K90" s="5" t="s">
        <v>413</v>
      </c>
      <c r="L90" s="5"/>
      <c r="M90" s="5"/>
      <c r="N90" s="7"/>
      <c r="O90" s="5" t="s">
        <v>553</v>
      </c>
      <c r="P90" s="8">
        <v>800.53</v>
      </c>
      <c r="Q90" s="8">
        <f t="shared" si="1"/>
        <v>129062.11</v>
      </c>
    </row>
    <row r="91" spans="1:17" x14ac:dyDescent="0.25">
      <c r="A91" s="5"/>
      <c r="B91" s="5"/>
      <c r="C91" s="5"/>
      <c r="D91" s="5"/>
      <c r="E91" s="5"/>
      <c r="F91" s="5"/>
      <c r="G91" s="5"/>
      <c r="H91" s="5" t="s">
        <v>23</v>
      </c>
      <c r="I91" s="6">
        <v>44744</v>
      </c>
      <c r="J91" s="5" t="s">
        <v>109</v>
      </c>
      <c r="K91" s="5" t="s">
        <v>413</v>
      </c>
      <c r="L91" s="5"/>
      <c r="M91" s="5"/>
      <c r="N91" s="7"/>
      <c r="O91" s="5" t="s">
        <v>553</v>
      </c>
      <c r="P91" s="8">
        <v>546.29999999999995</v>
      </c>
      <c r="Q91" s="8">
        <f t="shared" si="1"/>
        <v>129608.41</v>
      </c>
    </row>
    <row r="92" spans="1:17" x14ac:dyDescent="0.25">
      <c r="A92" s="5"/>
      <c r="B92" s="5"/>
      <c r="C92" s="5"/>
      <c r="D92" s="5"/>
      <c r="E92" s="5"/>
      <c r="F92" s="5"/>
      <c r="G92" s="5"/>
      <c r="H92" s="5" t="s">
        <v>23</v>
      </c>
      <c r="I92" s="6">
        <v>44744</v>
      </c>
      <c r="J92" s="5" t="s">
        <v>110</v>
      </c>
      <c r="K92" s="5" t="s">
        <v>413</v>
      </c>
      <c r="L92" s="5"/>
      <c r="M92" s="5"/>
      <c r="N92" s="7"/>
      <c r="O92" s="5" t="s">
        <v>553</v>
      </c>
      <c r="P92" s="8">
        <v>869.29</v>
      </c>
      <c r="Q92" s="8">
        <f t="shared" si="1"/>
        <v>130477.7</v>
      </c>
    </row>
    <row r="93" spans="1:17" x14ac:dyDescent="0.25">
      <c r="A93" s="5"/>
      <c r="B93" s="5"/>
      <c r="C93" s="5"/>
      <c r="D93" s="5"/>
      <c r="E93" s="5"/>
      <c r="F93" s="5"/>
      <c r="G93" s="5"/>
      <c r="H93" s="5" t="s">
        <v>23</v>
      </c>
      <c r="I93" s="6">
        <v>44744</v>
      </c>
      <c r="J93" s="5" t="s">
        <v>111</v>
      </c>
      <c r="K93" s="5" t="s">
        <v>413</v>
      </c>
      <c r="L93" s="5"/>
      <c r="M93" s="5"/>
      <c r="N93" s="7"/>
      <c r="O93" s="5" t="s">
        <v>553</v>
      </c>
      <c r="P93" s="8">
        <v>1366.16</v>
      </c>
      <c r="Q93" s="8">
        <f t="shared" si="1"/>
        <v>131843.85999999999</v>
      </c>
    </row>
    <row r="94" spans="1:17" x14ac:dyDescent="0.25">
      <c r="A94" s="5"/>
      <c r="B94" s="5"/>
      <c r="C94" s="5"/>
      <c r="D94" s="5"/>
      <c r="E94" s="5"/>
      <c r="F94" s="5"/>
      <c r="G94" s="5"/>
      <c r="H94" s="5" t="s">
        <v>23</v>
      </c>
      <c r="I94" s="6">
        <v>44744</v>
      </c>
      <c r="J94" s="5" t="s">
        <v>112</v>
      </c>
      <c r="K94" s="5" t="s">
        <v>413</v>
      </c>
      <c r="L94" s="5"/>
      <c r="M94" s="5"/>
      <c r="N94" s="7"/>
      <c r="O94" s="5" t="s">
        <v>553</v>
      </c>
      <c r="P94" s="8">
        <v>1069.73</v>
      </c>
      <c r="Q94" s="8">
        <f t="shared" si="1"/>
        <v>132913.59</v>
      </c>
    </row>
    <row r="95" spans="1:17" x14ac:dyDescent="0.25">
      <c r="A95" s="5"/>
      <c r="B95" s="5"/>
      <c r="C95" s="5"/>
      <c r="D95" s="5"/>
      <c r="E95" s="5"/>
      <c r="F95" s="5"/>
      <c r="G95" s="5"/>
      <c r="H95" s="5" t="s">
        <v>23</v>
      </c>
      <c r="I95" s="6">
        <v>44744</v>
      </c>
      <c r="J95" s="5" t="s">
        <v>113</v>
      </c>
      <c r="K95" s="5" t="s">
        <v>413</v>
      </c>
      <c r="L95" s="5"/>
      <c r="M95" s="5"/>
      <c r="N95" s="7"/>
      <c r="O95" s="5" t="s">
        <v>553</v>
      </c>
      <c r="P95" s="8">
        <v>92.94</v>
      </c>
      <c r="Q95" s="8">
        <f t="shared" si="1"/>
        <v>133006.53</v>
      </c>
    </row>
    <row r="96" spans="1:17" x14ac:dyDescent="0.25">
      <c r="A96" s="5"/>
      <c r="B96" s="5"/>
      <c r="C96" s="5"/>
      <c r="D96" s="5"/>
      <c r="E96" s="5"/>
      <c r="F96" s="5"/>
      <c r="G96" s="5"/>
      <c r="H96" s="5" t="s">
        <v>23</v>
      </c>
      <c r="I96" s="6">
        <v>44744</v>
      </c>
      <c r="J96" s="5" t="s">
        <v>114</v>
      </c>
      <c r="K96" s="5" t="s">
        <v>413</v>
      </c>
      <c r="L96" s="5"/>
      <c r="M96" s="5"/>
      <c r="N96" s="7"/>
      <c r="O96" s="5" t="s">
        <v>553</v>
      </c>
      <c r="P96" s="8">
        <v>558.9</v>
      </c>
      <c r="Q96" s="8">
        <f t="shared" si="1"/>
        <v>133565.43</v>
      </c>
    </row>
    <row r="97" spans="1:17" x14ac:dyDescent="0.25">
      <c r="A97" s="5"/>
      <c r="B97" s="5"/>
      <c r="C97" s="5"/>
      <c r="D97" s="5"/>
      <c r="E97" s="5"/>
      <c r="F97" s="5"/>
      <c r="G97" s="5"/>
      <c r="H97" s="5" t="s">
        <v>23</v>
      </c>
      <c r="I97" s="6">
        <v>44744</v>
      </c>
      <c r="J97" s="5" t="s">
        <v>115</v>
      </c>
      <c r="K97" s="5" t="s">
        <v>413</v>
      </c>
      <c r="L97" s="5"/>
      <c r="M97" s="5"/>
      <c r="N97" s="7"/>
      <c r="O97" s="5" t="s">
        <v>553</v>
      </c>
      <c r="P97" s="8">
        <v>873.45</v>
      </c>
      <c r="Q97" s="8">
        <f t="shared" si="1"/>
        <v>134438.88</v>
      </c>
    </row>
    <row r="98" spans="1:17" x14ac:dyDescent="0.25">
      <c r="A98" s="5"/>
      <c r="B98" s="5"/>
      <c r="C98" s="5"/>
      <c r="D98" s="5"/>
      <c r="E98" s="5"/>
      <c r="F98" s="5"/>
      <c r="G98" s="5"/>
      <c r="H98" s="5" t="s">
        <v>23</v>
      </c>
      <c r="I98" s="6">
        <v>44744</v>
      </c>
      <c r="J98" s="5" t="s">
        <v>116</v>
      </c>
      <c r="K98" s="5" t="s">
        <v>413</v>
      </c>
      <c r="L98" s="5"/>
      <c r="M98" s="5"/>
      <c r="N98" s="7"/>
      <c r="O98" s="5" t="s">
        <v>553</v>
      </c>
      <c r="P98" s="8">
        <v>153.9</v>
      </c>
      <c r="Q98" s="8">
        <f t="shared" si="1"/>
        <v>134592.78</v>
      </c>
    </row>
    <row r="99" spans="1:17" x14ac:dyDescent="0.25">
      <c r="A99" s="5"/>
      <c r="B99" s="5"/>
      <c r="C99" s="5"/>
      <c r="D99" s="5"/>
      <c r="E99" s="5"/>
      <c r="F99" s="5"/>
      <c r="G99" s="5"/>
      <c r="H99" s="5" t="s">
        <v>23</v>
      </c>
      <c r="I99" s="6">
        <v>44744</v>
      </c>
      <c r="J99" s="5" t="s">
        <v>117</v>
      </c>
      <c r="K99" s="5" t="s">
        <v>413</v>
      </c>
      <c r="L99" s="5"/>
      <c r="M99" s="5"/>
      <c r="N99" s="7"/>
      <c r="O99" s="5" t="s">
        <v>553</v>
      </c>
      <c r="P99" s="8">
        <v>476.2</v>
      </c>
      <c r="Q99" s="8">
        <f t="shared" si="1"/>
        <v>135068.98000000001</v>
      </c>
    </row>
    <row r="100" spans="1:17" x14ac:dyDescent="0.25">
      <c r="A100" s="5"/>
      <c r="B100" s="5"/>
      <c r="C100" s="5"/>
      <c r="D100" s="5"/>
      <c r="E100" s="5"/>
      <c r="F100" s="5"/>
      <c r="G100" s="5"/>
      <c r="H100" s="5" t="s">
        <v>23</v>
      </c>
      <c r="I100" s="6">
        <v>44744</v>
      </c>
      <c r="J100" s="5" t="s">
        <v>118</v>
      </c>
      <c r="K100" s="5" t="s">
        <v>413</v>
      </c>
      <c r="L100" s="5"/>
      <c r="M100" s="5"/>
      <c r="N100" s="7"/>
      <c r="O100" s="5" t="s">
        <v>553</v>
      </c>
      <c r="P100" s="8">
        <v>743.52</v>
      </c>
      <c r="Q100" s="8">
        <f t="shared" si="1"/>
        <v>135812.5</v>
      </c>
    </row>
    <row r="101" spans="1:17" x14ac:dyDescent="0.25">
      <c r="A101" s="5"/>
      <c r="B101" s="5"/>
      <c r="C101" s="5"/>
      <c r="D101" s="5"/>
      <c r="E101" s="5"/>
      <c r="F101" s="5"/>
      <c r="G101" s="5"/>
      <c r="H101" s="5" t="s">
        <v>23</v>
      </c>
      <c r="I101" s="6">
        <v>44745</v>
      </c>
      <c r="J101" s="5" t="s">
        <v>119</v>
      </c>
      <c r="K101" s="5" t="s">
        <v>412</v>
      </c>
      <c r="L101" s="5"/>
      <c r="M101" s="5"/>
      <c r="N101" s="7"/>
      <c r="O101" s="5" t="s">
        <v>553</v>
      </c>
      <c r="P101" s="8">
        <v>1495.7</v>
      </c>
      <c r="Q101" s="8">
        <f t="shared" si="1"/>
        <v>137308.20000000001</v>
      </c>
    </row>
    <row r="102" spans="1:17" x14ac:dyDescent="0.25">
      <c r="A102" s="5"/>
      <c r="B102" s="5"/>
      <c r="C102" s="5"/>
      <c r="D102" s="5"/>
      <c r="E102" s="5"/>
      <c r="F102" s="5"/>
      <c r="G102" s="5"/>
      <c r="H102" s="5" t="s">
        <v>23</v>
      </c>
      <c r="I102" s="6">
        <v>44746</v>
      </c>
      <c r="J102" s="5" t="s">
        <v>120</v>
      </c>
      <c r="K102" s="5" t="s">
        <v>412</v>
      </c>
      <c r="L102" s="5"/>
      <c r="M102" s="5"/>
      <c r="N102" s="7"/>
      <c r="O102" s="5" t="s">
        <v>553</v>
      </c>
      <c r="P102" s="8">
        <v>4830.1400000000003</v>
      </c>
      <c r="Q102" s="8">
        <f t="shared" si="1"/>
        <v>142138.34</v>
      </c>
    </row>
    <row r="103" spans="1:17" x14ac:dyDescent="0.25">
      <c r="A103" s="5"/>
      <c r="B103" s="5"/>
      <c r="C103" s="5"/>
      <c r="D103" s="5"/>
      <c r="E103" s="5"/>
      <c r="F103" s="5"/>
      <c r="G103" s="5"/>
      <c r="H103" s="5" t="s">
        <v>23</v>
      </c>
      <c r="I103" s="6">
        <v>44746</v>
      </c>
      <c r="J103" s="5" t="s">
        <v>121</v>
      </c>
      <c r="K103" s="5" t="s">
        <v>413</v>
      </c>
      <c r="L103" s="5"/>
      <c r="M103" s="5"/>
      <c r="N103" s="7"/>
      <c r="O103" s="5" t="s">
        <v>553</v>
      </c>
      <c r="P103" s="8">
        <v>838.35</v>
      </c>
      <c r="Q103" s="8">
        <f t="shared" si="1"/>
        <v>142976.69</v>
      </c>
    </row>
    <row r="104" spans="1:17" x14ac:dyDescent="0.25">
      <c r="A104" s="5"/>
      <c r="B104" s="5"/>
      <c r="C104" s="5"/>
      <c r="D104" s="5"/>
      <c r="E104" s="5"/>
      <c r="F104" s="5"/>
      <c r="G104" s="5"/>
      <c r="H104" s="5" t="s">
        <v>23</v>
      </c>
      <c r="I104" s="6">
        <v>44746</v>
      </c>
      <c r="J104" s="5" t="s">
        <v>122</v>
      </c>
      <c r="K104" s="5" t="s">
        <v>413</v>
      </c>
      <c r="L104" s="5"/>
      <c r="M104" s="5"/>
      <c r="N104" s="7"/>
      <c r="O104" s="5" t="s">
        <v>553</v>
      </c>
      <c r="P104" s="8">
        <v>467.44</v>
      </c>
      <c r="Q104" s="8">
        <f t="shared" si="1"/>
        <v>143444.13</v>
      </c>
    </row>
    <row r="105" spans="1:17" x14ac:dyDescent="0.25">
      <c r="A105" s="5"/>
      <c r="B105" s="5"/>
      <c r="C105" s="5"/>
      <c r="D105" s="5"/>
      <c r="E105" s="5"/>
      <c r="F105" s="5"/>
      <c r="G105" s="5"/>
      <c r="H105" s="5" t="s">
        <v>23</v>
      </c>
      <c r="I105" s="6">
        <v>44746</v>
      </c>
      <c r="J105" s="5" t="s">
        <v>123</v>
      </c>
      <c r="K105" s="5" t="s">
        <v>413</v>
      </c>
      <c r="L105" s="5"/>
      <c r="M105" s="5"/>
      <c r="N105" s="7"/>
      <c r="O105" s="5" t="s">
        <v>553</v>
      </c>
      <c r="P105" s="8">
        <v>0</v>
      </c>
      <c r="Q105" s="8">
        <f t="shared" si="1"/>
        <v>143444.13</v>
      </c>
    </row>
    <row r="106" spans="1:17" x14ac:dyDescent="0.25">
      <c r="A106" s="5"/>
      <c r="B106" s="5"/>
      <c r="C106" s="5"/>
      <c r="D106" s="5"/>
      <c r="E106" s="5"/>
      <c r="F106" s="5"/>
      <c r="G106" s="5"/>
      <c r="H106" s="5" t="s">
        <v>23</v>
      </c>
      <c r="I106" s="6">
        <v>44746</v>
      </c>
      <c r="J106" s="5" t="s">
        <v>124</v>
      </c>
      <c r="K106" s="5" t="s">
        <v>413</v>
      </c>
      <c r="L106" s="5"/>
      <c r="M106" s="5"/>
      <c r="N106" s="7"/>
      <c r="O106" s="5" t="s">
        <v>553</v>
      </c>
      <c r="P106" s="8">
        <v>284.7</v>
      </c>
      <c r="Q106" s="8">
        <f t="shared" si="1"/>
        <v>143728.82999999999</v>
      </c>
    </row>
    <row r="107" spans="1:17" x14ac:dyDescent="0.25">
      <c r="A107" s="5"/>
      <c r="B107" s="5"/>
      <c r="C107" s="5"/>
      <c r="D107" s="5"/>
      <c r="E107" s="5"/>
      <c r="F107" s="5"/>
      <c r="G107" s="5"/>
      <c r="H107" s="5" t="s">
        <v>23</v>
      </c>
      <c r="I107" s="6">
        <v>44746</v>
      </c>
      <c r="J107" s="5" t="s">
        <v>125</v>
      </c>
      <c r="K107" s="5" t="s">
        <v>413</v>
      </c>
      <c r="L107" s="5"/>
      <c r="M107" s="5"/>
      <c r="N107" s="7"/>
      <c r="O107" s="5" t="s">
        <v>553</v>
      </c>
      <c r="P107" s="8">
        <v>838.35</v>
      </c>
      <c r="Q107" s="8">
        <f t="shared" si="1"/>
        <v>144567.18</v>
      </c>
    </row>
    <row r="108" spans="1:17" x14ac:dyDescent="0.25">
      <c r="A108" s="5"/>
      <c r="B108" s="5"/>
      <c r="C108" s="5"/>
      <c r="D108" s="5"/>
      <c r="E108" s="5"/>
      <c r="F108" s="5"/>
      <c r="G108" s="5"/>
      <c r="H108" s="5" t="s">
        <v>23</v>
      </c>
      <c r="I108" s="6">
        <v>44746</v>
      </c>
      <c r="J108" s="5" t="s">
        <v>126</v>
      </c>
      <c r="K108" s="5" t="s">
        <v>413</v>
      </c>
      <c r="L108" s="5"/>
      <c r="M108" s="5"/>
      <c r="N108" s="7"/>
      <c r="O108" s="5" t="s">
        <v>553</v>
      </c>
      <c r="P108" s="8">
        <v>586.29999999999995</v>
      </c>
      <c r="Q108" s="8">
        <f t="shared" si="1"/>
        <v>145153.48000000001</v>
      </c>
    </row>
    <row r="109" spans="1:17" x14ac:dyDescent="0.25">
      <c r="A109" s="5"/>
      <c r="B109" s="5"/>
      <c r="C109" s="5"/>
      <c r="D109" s="5"/>
      <c r="E109" s="5"/>
      <c r="F109" s="5"/>
      <c r="G109" s="5"/>
      <c r="H109" s="5" t="s">
        <v>23</v>
      </c>
      <c r="I109" s="6">
        <v>44749</v>
      </c>
      <c r="J109" s="5" t="s">
        <v>127</v>
      </c>
      <c r="K109" s="5" t="s">
        <v>413</v>
      </c>
      <c r="L109" s="5"/>
      <c r="M109" s="5"/>
      <c r="N109" s="7"/>
      <c r="O109" s="5" t="s">
        <v>553</v>
      </c>
      <c r="P109" s="8">
        <v>92.94</v>
      </c>
      <c r="Q109" s="8">
        <f t="shared" si="1"/>
        <v>145246.42000000001</v>
      </c>
    </row>
    <row r="110" spans="1:17" x14ac:dyDescent="0.25">
      <c r="A110" s="5"/>
      <c r="B110" s="5"/>
      <c r="C110" s="5"/>
      <c r="D110" s="5"/>
      <c r="E110" s="5"/>
      <c r="F110" s="5"/>
      <c r="G110" s="5"/>
      <c r="H110" s="5" t="s">
        <v>23</v>
      </c>
      <c r="I110" s="6">
        <v>44749</v>
      </c>
      <c r="J110" s="5" t="s">
        <v>128</v>
      </c>
      <c r="K110" s="5" t="s">
        <v>413</v>
      </c>
      <c r="L110" s="5"/>
      <c r="M110" s="5"/>
      <c r="N110" s="7"/>
      <c r="O110" s="5" t="s">
        <v>553</v>
      </c>
      <c r="P110" s="8">
        <v>476.2</v>
      </c>
      <c r="Q110" s="8">
        <f t="shared" si="1"/>
        <v>145722.62</v>
      </c>
    </row>
    <row r="111" spans="1:17" x14ac:dyDescent="0.25">
      <c r="A111" s="5"/>
      <c r="B111" s="5"/>
      <c r="C111" s="5"/>
      <c r="D111" s="5"/>
      <c r="E111" s="5"/>
      <c r="F111" s="5"/>
      <c r="G111" s="5"/>
      <c r="H111" s="5" t="s">
        <v>23</v>
      </c>
      <c r="I111" s="6">
        <v>44749</v>
      </c>
      <c r="J111" s="5" t="s">
        <v>129</v>
      </c>
      <c r="K111" s="5" t="s">
        <v>413</v>
      </c>
      <c r="L111" s="5"/>
      <c r="M111" s="5"/>
      <c r="N111" s="7"/>
      <c r="O111" s="5" t="s">
        <v>553</v>
      </c>
      <c r="P111" s="8">
        <v>230.85</v>
      </c>
      <c r="Q111" s="8">
        <f t="shared" si="1"/>
        <v>145953.47</v>
      </c>
    </row>
    <row r="112" spans="1:17" x14ac:dyDescent="0.25">
      <c r="A112" s="5"/>
      <c r="B112" s="5"/>
      <c r="C112" s="5"/>
      <c r="D112" s="5"/>
      <c r="E112" s="5"/>
      <c r="F112" s="5"/>
      <c r="G112" s="5"/>
      <c r="H112" s="5" t="s">
        <v>23</v>
      </c>
      <c r="I112" s="6">
        <v>44751</v>
      </c>
      <c r="J112" s="5" t="s">
        <v>130</v>
      </c>
      <c r="K112" s="5" t="s">
        <v>413</v>
      </c>
      <c r="L112" s="5"/>
      <c r="M112" s="5"/>
      <c r="N112" s="7"/>
      <c r="O112" s="5" t="s">
        <v>553</v>
      </c>
      <c r="P112" s="8">
        <v>901.52</v>
      </c>
      <c r="Q112" s="8">
        <f t="shared" si="1"/>
        <v>146854.99</v>
      </c>
    </row>
    <row r="113" spans="1:17" x14ac:dyDescent="0.25">
      <c r="A113" s="5"/>
      <c r="B113" s="5"/>
      <c r="C113" s="5"/>
      <c r="D113" s="5"/>
      <c r="E113" s="5"/>
      <c r="F113" s="5"/>
      <c r="G113" s="5"/>
      <c r="H113" s="5" t="s">
        <v>23</v>
      </c>
      <c r="I113" s="6">
        <v>44753</v>
      </c>
      <c r="J113" s="5" t="s">
        <v>131</v>
      </c>
      <c r="K113" s="5" t="s">
        <v>413</v>
      </c>
      <c r="L113" s="5"/>
      <c r="M113" s="5"/>
      <c r="N113" s="7"/>
      <c r="O113" s="5" t="s">
        <v>553</v>
      </c>
      <c r="P113" s="8">
        <v>123.92</v>
      </c>
      <c r="Q113" s="8">
        <f t="shared" si="1"/>
        <v>146978.91</v>
      </c>
    </row>
    <row r="114" spans="1:17" x14ac:dyDescent="0.25">
      <c r="A114" s="5"/>
      <c r="B114" s="5"/>
      <c r="C114" s="5"/>
      <c r="D114" s="5"/>
      <c r="E114" s="5"/>
      <c r="F114" s="5"/>
      <c r="G114" s="5"/>
      <c r="H114" s="5" t="s">
        <v>23</v>
      </c>
      <c r="I114" s="6">
        <v>44753</v>
      </c>
      <c r="J114" s="5" t="s">
        <v>132</v>
      </c>
      <c r="K114" s="5" t="s">
        <v>412</v>
      </c>
      <c r="L114" s="5"/>
      <c r="M114" s="5"/>
      <c r="N114" s="7"/>
      <c r="O114" s="5" t="s">
        <v>553</v>
      </c>
      <c r="P114" s="8">
        <v>1295.7</v>
      </c>
      <c r="Q114" s="8">
        <f t="shared" si="1"/>
        <v>148274.60999999999</v>
      </c>
    </row>
    <row r="115" spans="1:17" x14ac:dyDescent="0.25">
      <c r="A115" s="5"/>
      <c r="B115" s="5"/>
      <c r="C115" s="5"/>
      <c r="D115" s="5"/>
      <c r="E115" s="5"/>
      <c r="F115" s="5"/>
      <c r="G115" s="5"/>
      <c r="H115" s="5" t="s">
        <v>23</v>
      </c>
      <c r="I115" s="6">
        <v>44754</v>
      </c>
      <c r="J115" s="5" t="s">
        <v>133</v>
      </c>
      <c r="K115" s="5" t="s">
        <v>413</v>
      </c>
      <c r="L115" s="5"/>
      <c r="M115" s="5"/>
      <c r="N115" s="7"/>
      <c r="O115" s="5" t="s">
        <v>553</v>
      </c>
      <c r="P115" s="8">
        <v>1102</v>
      </c>
      <c r="Q115" s="8">
        <f t="shared" si="1"/>
        <v>149376.60999999999</v>
      </c>
    </row>
    <row r="116" spans="1:17" x14ac:dyDescent="0.25">
      <c r="A116" s="5"/>
      <c r="B116" s="5"/>
      <c r="C116" s="5"/>
      <c r="D116" s="5"/>
      <c r="E116" s="5"/>
      <c r="F116" s="5"/>
      <c r="G116" s="5"/>
      <c r="H116" s="5" t="s">
        <v>23</v>
      </c>
      <c r="I116" s="6">
        <v>44754</v>
      </c>
      <c r="J116" s="5" t="s">
        <v>134</v>
      </c>
      <c r="K116" s="5" t="s">
        <v>413</v>
      </c>
      <c r="L116" s="5"/>
      <c r="M116" s="5"/>
      <c r="N116" s="7"/>
      <c r="O116" s="5" t="s">
        <v>553</v>
      </c>
      <c r="P116" s="8">
        <v>743.52</v>
      </c>
      <c r="Q116" s="8">
        <f t="shared" si="1"/>
        <v>150120.13</v>
      </c>
    </row>
    <row r="117" spans="1:17" x14ac:dyDescent="0.25">
      <c r="A117" s="5"/>
      <c r="B117" s="5"/>
      <c r="C117" s="5"/>
      <c r="D117" s="5"/>
      <c r="E117" s="5"/>
      <c r="F117" s="5"/>
      <c r="G117" s="5"/>
      <c r="H117" s="5" t="s">
        <v>23</v>
      </c>
      <c r="I117" s="6">
        <v>44754</v>
      </c>
      <c r="J117" s="5" t="s">
        <v>135</v>
      </c>
      <c r="K117" s="5" t="s">
        <v>413</v>
      </c>
      <c r="L117" s="5"/>
      <c r="M117" s="5"/>
      <c r="N117" s="7"/>
      <c r="O117" s="5" t="s">
        <v>553</v>
      </c>
      <c r="P117" s="8">
        <v>364.2</v>
      </c>
      <c r="Q117" s="8">
        <f t="shared" si="1"/>
        <v>150484.32999999999</v>
      </c>
    </row>
    <row r="118" spans="1:17" x14ac:dyDescent="0.25">
      <c r="A118" s="5"/>
      <c r="B118" s="5"/>
      <c r="C118" s="5"/>
      <c r="D118" s="5"/>
      <c r="E118" s="5"/>
      <c r="F118" s="5"/>
      <c r="G118" s="5"/>
      <c r="H118" s="5" t="s">
        <v>23</v>
      </c>
      <c r="I118" s="6">
        <v>44754</v>
      </c>
      <c r="J118" s="5" t="s">
        <v>136</v>
      </c>
      <c r="K118" s="5" t="s">
        <v>413</v>
      </c>
      <c r="L118" s="5"/>
      <c r="M118" s="5"/>
      <c r="N118" s="7"/>
      <c r="O118" s="5" t="s">
        <v>553</v>
      </c>
      <c r="P118" s="8">
        <v>608.22</v>
      </c>
      <c r="Q118" s="8">
        <f t="shared" si="1"/>
        <v>151092.54999999999</v>
      </c>
    </row>
    <row r="119" spans="1:17" x14ac:dyDescent="0.25">
      <c r="A119" s="5"/>
      <c r="B119" s="5"/>
      <c r="C119" s="5"/>
      <c r="D119" s="5"/>
      <c r="E119" s="5"/>
      <c r="F119" s="5"/>
      <c r="G119" s="5"/>
      <c r="H119" s="5" t="s">
        <v>23</v>
      </c>
      <c r="I119" s="6">
        <v>44754</v>
      </c>
      <c r="J119" s="5" t="s">
        <v>137</v>
      </c>
      <c r="K119" s="5" t="s">
        <v>413</v>
      </c>
      <c r="L119" s="5"/>
      <c r="M119" s="5"/>
      <c r="N119" s="7"/>
      <c r="O119" s="5" t="s">
        <v>553</v>
      </c>
      <c r="P119" s="8">
        <v>226.66</v>
      </c>
      <c r="Q119" s="8">
        <f t="shared" si="1"/>
        <v>151319.21</v>
      </c>
    </row>
    <row r="120" spans="1:17" x14ac:dyDescent="0.25">
      <c r="A120" s="5"/>
      <c r="B120" s="5"/>
      <c r="C120" s="5"/>
      <c r="D120" s="5"/>
      <c r="E120" s="5"/>
      <c r="F120" s="5"/>
      <c r="G120" s="5"/>
      <c r="H120" s="5" t="s">
        <v>23</v>
      </c>
      <c r="I120" s="6">
        <v>44754</v>
      </c>
      <c r="J120" s="5" t="s">
        <v>138</v>
      </c>
      <c r="K120" s="5" t="s">
        <v>413</v>
      </c>
      <c r="L120" s="5"/>
      <c r="M120" s="5"/>
      <c r="N120" s="7"/>
      <c r="O120" s="5" t="s">
        <v>553</v>
      </c>
      <c r="P120" s="8">
        <v>364.2</v>
      </c>
      <c r="Q120" s="8">
        <f t="shared" si="1"/>
        <v>151683.41</v>
      </c>
    </row>
    <row r="121" spans="1:17" x14ac:dyDescent="0.25">
      <c r="A121" s="5"/>
      <c r="B121" s="5"/>
      <c r="C121" s="5"/>
      <c r="D121" s="5"/>
      <c r="E121" s="5"/>
      <c r="F121" s="5"/>
      <c r="G121" s="5"/>
      <c r="H121" s="5" t="s">
        <v>23</v>
      </c>
      <c r="I121" s="6">
        <v>44754</v>
      </c>
      <c r="J121" s="5" t="s">
        <v>139</v>
      </c>
      <c r="K121" s="5" t="s">
        <v>413</v>
      </c>
      <c r="L121" s="5"/>
      <c r="M121" s="5"/>
      <c r="N121" s="7"/>
      <c r="O121" s="5" t="s">
        <v>553</v>
      </c>
      <c r="P121" s="8">
        <v>476.2</v>
      </c>
      <c r="Q121" s="8">
        <f t="shared" si="1"/>
        <v>152159.60999999999</v>
      </c>
    </row>
    <row r="122" spans="1:17" x14ac:dyDescent="0.25">
      <c r="A122" s="5"/>
      <c r="B122" s="5"/>
      <c r="C122" s="5"/>
      <c r="D122" s="5"/>
      <c r="E122" s="5"/>
      <c r="F122" s="5"/>
      <c r="G122" s="5"/>
      <c r="H122" s="5" t="s">
        <v>23</v>
      </c>
      <c r="I122" s="6">
        <v>44756</v>
      </c>
      <c r="J122" s="5" t="s">
        <v>121</v>
      </c>
      <c r="K122" s="5" t="s">
        <v>413</v>
      </c>
      <c r="L122" s="5"/>
      <c r="M122" s="5"/>
      <c r="N122" s="7"/>
      <c r="O122" s="5" t="s">
        <v>553</v>
      </c>
      <c r="P122" s="8">
        <v>443.38</v>
      </c>
      <c r="Q122" s="8">
        <f t="shared" si="1"/>
        <v>152602.99</v>
      </c>
    </row>
    <row r="123" spans="1:17" x14ac:dyDescent="0.25">
      <c r="A123" s="5"/>
      <c r="B123" s="5"/>
      <c r="C123" s="5"/>
      <c r="D123" s="5"/>
      <c r="E123" s="5"/>
      <c r="F123" s="5"/>
      <c r="G123" s="5"/>
      <c r="H123" s="5" t="s">
        <v>23</v>
      </c>
      <c r="I123" s="6">
        <v>44756</v>
      </c>
      <c r="J123" s="5" t="s">
        <v>79</v>
      </c>
      <c r="K123" s="5" t="s">
        <v>417</v>
      </c>
      <c r="L123" s="5" t="s">
        <v>475</v>
      </c>
      <c r="M123" s="5"/>
      <c r="N123" s="7"/>
      <c r="O123" s="5" t="s">
        <v>553</v>
      </c>
      <c r="P123" s="8">
        <v>0</v>
      </c>
      <c r="Q123" s="8">
        <f t="shared" si="1"/>
        <v>152602.99</v>
      </c>
    </row>
    <row r="124" spans="1:17" x14ac:dyDescent="0.25">
      <c r="A124" s="5"/>
      <c r="B124" s="5"/>
      <c r="C124" s="5"/>
      <c r="D124" s="5"/>
      <c r="E124" s="5"/>
      <c r="F124" s="5"/>
      <c r="G124" s="5"/>
      <c r="H124" s="5" t="s">
        <v>23</v>
      </c>
      <c r="I124" s="6">
        <v>44756</v>
      </c>
      <c r="J124" s="5" t="s">
        <v>79</v>
      </c>
      <c r="K124" s="5" t="s">
        <v>417</v>
      </c>
      <c r="L124" s="5" t="s">
        <v>476</v>
      </c>
      <c r="M124" s="5"/>
      <c r="N124" s="7"/>
      <c r="O124" s="5" t="s">
        <v>553</v>
      </c>
      <c r="P124" s="8">
        <v>1600</v>
      </c>
      <c r="Q124" s="8">
        <f t="shared" si="1"/>
        <v>154202.99</v>
      </c>
    </row>
    <row r="125" spans="1:17" x14ac:dyDescent="0.25">
      <c r="A125" s="5"/>
      <c r="B125" s="5"/>
      <c r="C125" s="5"/>
      <c r="D125" s="5"/>
      <c r="E125" s="5"/>
      <c r="F125" s="5"/>
      <c r="G125" s="5"/>
      <c r="H125" s="5" t="s">
        <v>23</v>
      </c>
      <c r="I125" s="6">
        <v>44756</v>
      </c>
      <c r="J125" s="5" t="s">
        <v>79</v>
      </c>
      <c r="K125" s="5" t="s">
        <v>417</v>
      </c>
      <c r="L125" s="5" t="s">
        <v>477</v>
      </c>
      <c r="M125" s="5"/>
      <c r="N125" s="7"/>
      <c r="O125" s="5" t="s">
        <v>553</v>
      </c>
      <c r="P125" s="8">
        <v>400</v>
      </c>
      <c r="Q125" s="8">
        <f t="shared" si="1"/>
        <v>154602.99</v>
      </c>
    </row>
    <row r="126" spans="1:17" x14ac:dyDescent="0.25">
      <c r="A126" s="5"/>
      <c r="B126" s="5"/>
      <c r="C126" s="5"/>
      <c r="D126" s="5"/>
      <c r="E126" s="5"/>
      <c r="F126" s="5"/>
      <c r="G126" s="5"/>
      <c r="H126" s="5" t="s">
        <v>23</v>
      </c>
      <c r="I126" s="6">
        <v>44756</v>
      </c>
      <c r="J126" s="5" t="s">
        <v>79</v>
      </c>
      <c r="K126" s="5" t="s">
        <v>417</v>
      </c>
      <c r="L126" s="5" t="s">
        <v>478</v>
      </c>
      <c r="M126" s="5"/>
      <c r="N126" s="7"/>
      <c r="O126" s="5" t="s">
        <v>553</v>
      </c>
      <c r="P126" s="8">
        <v>600</v>
      </c>
      <c r="Q126" s="8">
        <f t="shared" si="1"/>
        <v>155202.99</v>
      </c>
    </row>
    <row r="127" spans="1:17" x14ac:dyDescent="0.25">
      <c r="A127" s="5"/>
      <c r="B127" s="5"/>
      <c r="C127" s="5"/>
      <c r="D127" s="5"/>
      <c r="E127" s="5"/>
      <c r="F127" s="5"/>
      <c r="G127" s="5"/>
      <c r="H127" s="5" t="s">
        <v>23</v>
      </c>
      <c r="I127" s="6">
        <v>44756</v>
      </c>
      <c r="J127" s="5" t="s">
        <v>79</v>
      </c>
      <c r="K127" s="5" t="s">
        <v>417</v>
      </c>
      <c r="L127" s="5" t="s">
        <v>479</v>
      </c>
      <c r="M127" s="5"/>
      <c r="N127" s="7"/>
      <c r="O127" s="5" t="s">
        <v>553</v>
      </c>
      <c r="P127" s="8">
        <v>2500</v>
      </c>
      <c r="Q127" s="8">
        <f t="shared" si="1"/>
        <v>157702.99</v>
      </c>
    </row>
    <row r="128" spans="1:17" x14ac:dyDescent="0.25">
      <c r="A128" s="5"/>
      <c r="B128" s="5"/>
      <c r="C128" s="5"/>
      <c r="D128" s="5"/>
      <c r="E128" s="5"/>
      <c r="F128" s="5"/>
      <c r="G128" s="5"/>
      <c r="H128" s="5" t="s">
        <v>23</v>
      </c>
      <c r="I128" s="6">
        <v>44756</v>
      </c>
      <c r="J128" s="5" t="s">
        <v>80</v>
      </c>
      <c r="K128" s="5" t="s">
        <v>418</v>
      </c>
      <c r="L128" s="5" t="s">
        <v>480</v>
      </c>
      <c r="M128" s="5"/>
      <c r="N128" s="7"/>
      <c r="O128" s="5" t="s">
        <v>553</v>
      </c>
      <c r="P128" s="8">
        <v>0</v>
      </c>
      <c r="Q128" s="8">
        <f t="shared" si="1"/>
        <v>157702.99</v>
      </c>
    </row>
    <row r="129" spans="1:17" x14ac:dyDescent="0.25">
      <c r="A129" s="5"/>
      <c r="B129" s="5"/>
      <c r="C129" s="5"/>
      <c r="D129" s="5"/>
      <c r="E129" s="5"/>
      <c r="F129" s="5"/>
      <c r="G129" s="5"/>
      <c r="H129" s="5" t="s">
        <v>23</v>
      </c>
      <c r="I129" s="6">
        <v>44756</v>
      </c>
      <c r="J129" s="5" t="s">
        <v>80</v>
      </c>
      <c r="K129" s="5" t="s">
        <v>418</v>
      </c>
      <c r="L129" s="5" t="s">
        <v>481</v>
      </c>
      <c r="M129" s="5"/>
      <c r="N129" s="7"/>
      <c r="O129" s="5" t="s">
        <v>553</v>
      </c>
      <c r="P129" s="8">
        <v>0</v>
      </c>
      <c r="Q129" s="8">
        <f t="shared" si="1"/>
        <v>157702.99</v>
      </c>
    </row>
    <row r="130" spans="1:17" x14ac:dyDescent="0.25">
      <c r="A130" s="5"/>
      <c r="B130" s="5"/>
      <c r="C130" s="5"/>
      <c r="D130" s="5"/>
      <c r="E130" s="5"/>
      <c r="F130" s="5"/>
      <c r="G130" s="5"/>
      <c r="H130" s="5" t="s">
        <v>23</v>
      </c>
      <c r="I130" s="6">
        <v>44756</v>
      </c>
      <c r="J130" s="5" t="s">
        <v>80</v>
      </c>
      <c r="K130" s="5" t="s">
        <v>418</v>
      </c>
      <c r="L130" s="5"/>
      <c r="M130" s="5"/>
      <c r="N130" s="7"/>
      <c r="O130" s="5" t="s">
        <v>553</v>
      </c>
      <c r="P130" s="8">
        <v>20000</v>
      </c>
      <c r="Q130" s="8">
        <f t="shared" si="1"/>
        <v>177702.99</v>
      </c>
    </row>
    <row r="131" spans="1:17" x14ac:dyDescent="0.25">
      <c r="A131" s="5"/>
      <c r="B131" s="5"/>
      <c r="C131" s="5"/>
      <c r="D131" s="5"/>
      <c r="E131" s="5"/>
      <c r="F131" s="5"/>
      <c r="G131" s="5"/>
      <c r="H131" s="5" t="s">
        <v>23</v>
      </c>
      <c r="I131" s="6">
        <v>44756</v>
      </c>
      <c r="J131" s="5" t="s">
        <v>82</v>
      </c>
      <c r="K131" s="5" t="s">
        <v>408</v>
      </c>
      <c r="L131" s="5"/>
      <c r="M131" s="5"/>
      <c r="N131" s="7"/>
      <c r="O131" s="5" t="s">
        <v>553</v>
      </c>
      <c r="P131" s="8">
        <v>8150.44</v>
      </c>
      <c r="Q131" s="8">
        <f t="shared" si="1"/>
        <v>185853.43</v>
      </c>
    </row>
    <row r="132" spans="1:17" x14ac:dyDescent="0.25">
      <c r="A132" s="5"/>
      <c r="B132" s="5"/>
      <c r="C132" s="5"/>
      <c r="D132" s="5"/>
      <c r="E132" s="5"/>
      <c r="F132" s="5"/>
      <c r="G132" s="5"/>
      <c r="H132" s="5" t="s">
        <v>23</v>
      </c>
      <c r="I132" s="6">
        <v>44757</v>
      </c>
      <c r="J132" s="5" t="s">
        <v>140</v>
      </c>
      <c r="K132" s="5" t="s">
        <v>412</v>
      </c>
      <c r="L132" s="5"/>
      <c r="M132" s="5"/>
      <c r="N132" s="7"/>
      <c r="O132" s="5" t="s">
        <v>553</v>
      </c>
      <c r="P132" s="8">
        <v>805.6</v>
      </c>
      <c r="Q132" s="8">
        <f t="shared" si="1"/>
        <v>186659.03</v>
      </c>
    </row>
    <row r="133" spans="1:17" x14ac:dyDescent="0.25">
      <c r="A133" s="5"/>
      <c r="B133" s="5"/>
      <c r="C133" s="5"/>
      <c r="D133" s="5"/>
      <c r="E133" s="5"/>
      <c r="F133" s="5"/>
      <c r="G133" s="5"/>
      <c r="H133" s="5" t="s">
        <v>23</v>
      </c>
      <c r="I133" s="6">
        <v>44759</v>
      </c>
      <c r="J133" s="5" t="s">
        <v>141</v>
      </c>
      <c r="K133" s="5" t="s">
        <v>412</v>
      </c>
      <c r="L133" s="5"/>
      <c r="M133" s="5"/>
      <c r="N133" s="7"/>
      <c r="O133" s="5" t="s">
        <v>553</v>
      </c>
      <c r="P133" s="8">
        <v>88.26</v>
      </c>
      <c r="Q133" s="8">
        <f t="shared" ref="Q133:Q196" si="2">ROUND(Q132+P133,5)</f>
        <v>186747.29</v>
      </c>
    </row>
    <row r="134" spans="1:17" x14ac:dyDescent="0.25">
      <c r="A134" s="5"/>
      <c r="B134" s="5"/>
      <c r="C134" s="5"/>
      <c r="D134" s="5"/>
      <c r="E134" s="5"/>
      <c r="F134" s="5"/>
      <c r="G134" s="5"/>
      <c r="H134" s="5" t="s">
        <v>23</v>
      </c>
      <c r="I134" s="6">
        <v>44760</v>
      </c>
      <c r="J134" s="5" t="s">
        <v>142</v>
      </c>
      <c r="K134" s="5" t="s">
        <v>412</v>
      </c>
      <c r="L134" s="5"/>
      <c r="M134" s="5"/>
      <c r="N134" s="7"/>
      <c r="O134" s="5" t="s">
        <v>553</v>
      </c>
      <c r="P134" s="8">
        <v>250</v>
      </c>
      <c r="Q134" s="8">
        <f t="shared" si="2"/>
        <v>186997.29</v>
      </c>
    </row>
    <row r="135" spans="1:17" x14ac:dyDescent="0.25">
      <c r="A135" s="5"/>
      <c r="B135" s="5"/>
      <c r="C135" s="5"/>
      <c r="D135" s="5"/>
      <c r="E135" s="5"/>
      <c r="F135" s="5"/>
      <c r="G135" s="5"/>
      <c r="H135" s="5" t="s">
        <v>23</v>
      </c>
      <c r="I135" s="6">
        <v>44761</v>
      </c>
      <c r="J135" s="5" t="s">
        <v>143</v>
      </c>
      <c r="K135" s="5" t="s">
        <v>412</v>
      </c>
      <c r="L135" s="5"/>
      <c r="M135" s="5"/>
      <c r="N135" s="7"/>
      <c r="O135" s="5" t="s">
        <v>553</v>
      </c>
      <c r="P135" s="8">
        <v>2146.96</v>
      </c>
      <c r="Q135" s="8">
        <f t="shared" si="2"/>
        <v>189144.25</v>
      </c>
    </row>
    <row r="136" spans="1:17" x14ac:dyDescent="0.25">
      <c r="A136" s="5"/>
      <c r="B136" s="5"/>
      <c r="C136" s="5"/>
      <c r="D136" s="5"/>
      <c r="E136" s="5"/>
      <c r="F136" s="5"/>
      <c r="G136" s="5"/>
      <c r="H136" s="5" t="s">
        <v>23</v>
      </c>
      <c r="I136" s="6">
        <v>44762</v>
      </c>
      <c r="J136" s="5" t="s">
        <v>144</v>
      </c>
      <c r="K136" s="5" t="s">
        <v>413</v>
      </c>
      <c r="L136" s="5"/>
      <c r="M136" s="5"/>
      <c r="N136" s="7"/>
      <c r="O136" s="5" t="s">
        <v>553</v>
      </c>
      <c r="P136" s="8">
        <v>901.52</v>
      </c>
      <c r="Q136" s="8">
        <f t="shared" si="2"/>
        <v>190045.77</v>
      </c>
    </row>
    <row r="137" spans="1:17" x14ac:dyDescent="0.25">
      <c r="A137" s="5"/>
      <c r="B137" s="5"/>
      <c r="C137" s="5"/>
      <c r="D137" s="5"/>
      <c r="E137" s="5"/>
      <c r="F137" s="5"/>
      <c r="G137" s="5"/>
      <c r="H137" s="5" t="s">
        <v>23</v>
      </c>
      <c r="I137" s="6">
        <v>44762</v>
      </c>
      <c r="J137" s="5" t="s">
        <v>145</v>
      </c>
      <c r="K137" s="5" t="s">
        <v>413</v>
      </c>
      <c r="L137" s="5"/>
      <c r="M137" s="5"/>
      <c r="N137" s="7"/>
      <c r="O137" s="5" t="s">
        <v>553</v>
      </c>
      <c r="P137" s="8">
        <v>535</v>
      </c>
      <c r="Q137" s="8">
        <f t="shared" si="2"/>
        <v>190580.77</v>
      </c>
    </row>
    <row r="138" spans="1:17" x14ac:dyDescent="0.25">
      <c r="A138" s="5"/>
      <c r="B138" s="5"/>
      <c r="C138" s="5"/>
      <c r="D138" s="5"/>
      <c r="E138" s="5"/>
      <c r="F138" s="5"/>
      <c r="G138" s="5"/>
      <c r="H138" s="5" t="s">
        <v>23</v>
      </c>
      <c r="I138" s="6">
        <v>44762</v>
      </c>
      <c r="J138" s="5" t="s">
        <v>75</v>
      </c>
      <c r="K138" s="5" t="s">
        <v>412</v>
      </c>
      <c r="L138" s="5"/>
      <c r="M138" s="5"/>
      <c r="N138" s="7"/>
      <c r="O138" s="5" t="s">
        <v>553</v>
      </c>
      <c r="P138" s="8">
        <v>1723.45</v>
      </c>
      <c r="Q138" s="8">
        <f t="shared" si="2"/>
        <v>192304.22</v>
      </c>
    </row>
    <row r="139" spans="1:17" x14ac:dyDescent="0.25">
      <c r="A139" s="5"/>
      <c r="B139" s="5"/>
      <c r="C139" s="5"/>
      <c r="D139" s="5"/>
      <c r="E139" s="5"/>
      <c r="F139" s="5"/>
      <c r="G139" s="5"/>
      <c r="H139" s="5" t="s">
        <v>23</v>
      </c>
      <c r="I139" s="6">
        <v>44762</v>
      </c>
      <c r="J139" s="5" t="s">
        <v>146</v>
      </c>
      <c r="K139" s="5" t="s">
        <v>412</v>
      </c>
      <c r="L139" s="5"/>
      <c r="M139" s="5"/>
      <c r="N139" s="7"/>
      <c r="O139" s="5" t="s">
        <v>553</v>
      </c>
      <c r="P139" s="8">
        <v>508.48</v>
      </c>
      <c r="Q139" s="8">
        <f t="shared" si="2"/>
        <v>192812.7</v>
      </c>
    </row>
    <row r="140" spans="1:17" x14ac:dyDescent="0.25">
      <c r="A140" s="5"/>
      <c r="B140" s="5"/>
      <c r="C140" s="5"/>
      <c r="D140" s="5"/>
      <c r="E140" s="5"/>
      <c r="F140" s="5"/>
      <c r="G140" s="5"/>
      <c r="H140" s="5" t="s">
        <v>23</v>
      </c>
      <c r="I140" s="6">
        <v>44764</v>
      </c>
      <c r="J140" s="5" t="s">
        <v>147</v>
      </c>
      <c r="K140" s="5" t="s">
        <v>412</v>
      </c>
      <c r="L140" s="5"/>
      <c r="M140" s="5"/>
      <c r="N140" s="7"/>
      <c r="O140" s="5" t="s">
        <v>553</v>
      </c>
      <c r="P140" s="8">
        <v>429.94</v>
      </c>
      <c r="Q140" s="8">
        <f t="shared" si="2"/>
        <v>193242.64</v>
      </c>
    </row>
    <row r="141" spans="1:17" x14ac:dyDescent="0.25">
      <c r="A141" s="5"/>
      <c r="B141" s="5"/>
      <c r="C141" s="5"/>
      <c r="D141" s="5"/>
      <c r="E141" s="5"/>
      <c r="F141" s="5"/>
      <c r="G141" s="5"/>
      <c r="H141" s="5" t="s">
        <v>23</v>
      </c>
      <c r="I141" s="6">
        <v>44767</v>
      </c>
      <c r="J141" s="5" t="s">
        <v>148</v>
      </c>
      <c r="K141" s="5" t="s">
        <v>412</v>
      </c>
      <c r="L141" s="5"/>
      <c r="M141" s="5"/>
      <c r="N141" s="7"/>
      <c r="O141" s="5" t="s">
        <v>553</v>
      </c>
      <c r="P141" s="8">
        <v>572.04</v>
      </c>
      <c r="Q141" s="8">
        <f t="shared" si="2"/>
        <v>193814.68</v>
      </c>
    </row>
    <row r="142" spans="1:17" x14ac:dyDescent="0.25">
      <c r="A142" s="5"/>
      <c r="B142" s="5"/>
      <c r="C142" s="5"/>
      <c r="D142" s="5"/>
      <c r="E142" s="5"/>
      <c r="F142" s="5"/>
      <c r="G142" s="5"/>
      <c r="H142" s="5" t="s">
        <v>23</v>
      </c>
      <c r="I142" s="6">
        <v>44767</v>
      </c>
      <c r="J142" s="5" t="s">
        <v>149</v>
      </c>
      <c r="K142" s="5" t="s">
        <v>412</v>
      </c>
      <c r="L142" s="5"/>
      <c r="M142" s="5"/>
      <c r="N142" s="7"/>
      <c r="O142" s="5" t="s">
        <v>553</v>
      </c>
      <c r="P142" s="8">
        <v>3009.5</v>
      </c>
      <c r="Q142" s="8">
        <f t="shared" si="2"/>
        <v>196824.18</v>
      </c>
    </row>
    <row r="143" spans="1:17" x14ac:dyDescent="0.25">
      <c r="A143" s="5"/>
      <c r="B143" s="5"/>
      <c r="C143" s="5"/>
      <c r="D143" s="5"/>
      <c r="E143" s="5"/>
      <c r="F143" s="5"/>
      <c r="G143" s="5"/>
      <c r="H143" s="5" t="s">
        <v>23</v>
      </c>
      <c r="I143" s="6">
        <v>44768</v>
      </c>
      <c r="J143" s="5" t="s">
        <v>150</v>
      </c>
      <c r="K143" s="5" t="s">
        <v>413</v>
      </c>
      <c r="L143" s="5"/>
      <c r="M143" s="5"/>
      <c r="N143" s="7"/>
      <c r="O143" s="5" t="s">
        <v>553</v>
      </c>
      <c r="P143" s="8">
        <v>467.44</v>
      </c>
      <c r="Q143" s="8">
        <f t="shared" si="2"/>
        <v>197291.62</v>
      </c>
    </row>
    <row r="144" spans="1:17" x14ac:dyDescent="0.25">
      <c r="A144" s="5"/>
      <c r="B144" s="5"/>
      <c r="C144" s="5"/>
      <c r="D144" s="5"/>
      <c r="E144" s="5"/>
      <c r="F144" s="5"/>
      <c r="G144" s="5"/>
      <c r="H144" s="5" t="s">
        <v>23</v>
      </c>
      <c r="I144" s="6">
        <v>44769</v>
      </c>
      <c r="J144" s="5" t="s">
        <v>151</v>
      </c>
      <c r="K144" s="5" t="s">
        <v>411</v>
      </c>
      <c r="L144" s="5"/>
      <c r="M144" s="5"/>
      <c r="N144" s="7"/>
      <c r="O144" s="5" t="s">
        <v>553</v>
      </c>
      <c r="P144" s="8">
        <v>2250</v>
      </c>
      <c r="Q144" s="8">
        <f t="shared" si="2"/>
        <v>199541.62</v>
      </c>
    </row>
    <row r="145" spans="1:17" x14ac:dyDescent="0.25">
      <c r="A145" s="5"/>
      <c r="B145" s="5"/>
      <c r="C145" s="5"/>
      <c r="D145" s="5"/>
      <c r="E145" s="5"/>
      <c r="F145" s="5"/>
      <c r="G145" s="5"/>
      <c r="H145" s="5" t="s">
        <v>23</v>
      </c>
      <c r="I145" s="6">
        <v>44769</v>
      </c>
      <c r="J145" s="5" t="s">
        <v>152</v>
      </c>
      <c r="K145" s="5" t="s">
        <v>413</v>
      </c>
      <c r="L145" s="5"/>
      <c r="M145" s="5"/>
      <c r="N145" s="7"/>
      <c r="O145" s="5" t="s">
        <v>553</v>
      </c>
      <c r="P145" s="8">
        <v>60</v>
      </c>
      <c r="Q145" s="8">
        <f t="shared" si="2"/>
        <v>199601.62</v>
      </c>
    </row>
    <row r="146" spans="1:17" x14ac:dyDescent="0.25">
      <c r="A146" s="5"/>
      <c r="B146" s="5"/>
      <c r="C146" s="5"/>
      <c r="D146" s="5"/>
      <c r="E146" s="5"/>
      <c r="F146" s="5"/>
      <c r="G146" s="5"/>
      <c r="H146" s="5" t="s">
        <v>23</v>
      </c>
      <c r="I146" s="6">
        <v>44771</v>
      </c>
      <c r="J146" s="5" t="s">
        <v>153</v>
      </c>
      <c r="K146" s="5" t="s">
        <v>413</v>
      </c>
      <c r="L146" s="5"/>
      <c r="M146" s="5"/>
      <c r="N146" s="7"/>
      <c r="O146" s="5" t="s">
        <v>553</v>
      </c>
      <c r="P146" s="8">
        <v>343.15</v>
      </c>
      <c r="Q146" s="8">
        <f t="shared" si="2"/>
        <v>199944.77</v>
      </c>
    </row>
    <row r="147" spans="1:17" x14ac:dyDescent="0.25">
      <c r="A147" s="5"/>
      <c r="B147" s="5"/>
      <c r="C147" s="5"/>
      <c r="D147" s="5"/>
      <c r="E147" s="5"/>
      <c r="F147" s="5"/>
      <c r="G147" s="5"/>
      <c r="H147" s="5" t="s">
        <v>23</v>
      </c>
      <c r="I147" s="6">
        <v>44771</v>
      </c>
      <c r="J147" s="5" t="s">
        <v>154</v>
      </c>
      <c r="K147" s="5" t="s">
        <v>413</v>
      </c>
      <c r="L147" s="5"/>
      <c r="M147" s="5"/>
      <c r="N147" s="7"/>
      <c r="O147" s="5" t="s">
        <v>553</v>
      </c>
      <c r="P147" s="8">
        <v>772.54</v>
      </c>
      <c r="Q147" s="8">
        <f t="shared" si="2"/>
        <v>200717.31</v>
      </c>
    </row>
    <row r="148" spans="1:17" x14ac:dyDescent="0.25">
      <c r="A148" s="5"/>
      <c r="B148" s="5"/>
      <c r="C148" s="5"/>
      <c r="D148" s="5"/>
      <c r="E148" s="5"/>
      <c r="F148" s="5"/>
      <c r="G148" s="5"/>
      <c r="H148" s="5" t="s">
        <v>23</v>
      </c>
      <c r="I148" s="6">
        <v>44771</v>
      </c>
      <c r="J148" s="5" t="s">
        <v>155</v>
      </c>
      <c r="K148" s="5" t="s">
        <v>413</v>
      </c>
      <c r="L148" s="5"/>
      <c r="M148" s="5"/>
      <c r="N148" s="7"/>
      <c r="O148" s="5" t="s">
        <v>553</v>
      </c>
      <c r="P148" s="8">
        <v>761.88</v>
      </c>
      <c r="Q148" s="8">
        <f t="shared" si="2"/>
        <v>201479.19</v>
      </c>
    </row>
    <row r="149" spans="1:17" x14ac:dyDescent="0.25">
      <c r="A149" s="5"/>
      <c r="B149" s="5"/>
      <c r="C149" s="5"/>
      <c r="D149" s="5"/>
      <c r="E149" s="5"/>
      <c r="F149" s="5"/>
      <c r="G149" s="5"/>
      <c r="H149" s="5" t="s">
        <v>23</v>
      </c>
      <c r="I149" s="6">
        <v>44771</v>
      </c>
      <c r="J149" s="5" t="s">
        <v>156</v>
      </c>
      <c r="K149" s="5" t="s">
        <v>413</v>
      </c>
      <c r="L149" s="5"/>
      <c r="M149" s="5"/>
      <c r="N149" s="7"/>
      <c r="O149" s="5" t="s">
        <v>553</v>
      </c>
      <c r="P149" s="8">
        <v>932.1</v>
      </c>
      <c r="Q149" s="8">
        <f t="shared" si="2"/>
        <v>202411.29</v>
      </c>
    </row>
    <row r="150" spans="1:17" x14ac:dyDescent="0.25">
      <c r="A150" s="5"/>
      <c r="B150" s="5"/>
      <c r="C150" s="5"/>
      <c r="D150" s="5"/>
      <c r="E150" s="5"/>
      <c r="F150" s="5"/>
      <c r="G150" s="5"/>
      <c r="H150" s="5" t="s">
        <v>23</v>
      </c>
      <c r="I150" s="6">
        <v>44771</v>
      </c>
      <c r="J150" s="5" t="s">
        <v>157</v>
      </c>
      <c r="K150" s="5" t="s">
        <v>412</v>
      </c>
      <c r="L150" s="5"/>
      <c r="M150" s="5"/>
      <c r="N150" s="7"/>
      <c r="O150" s="5" t="s">
        <v>553</v>
      </c>
      <c r="P150" s="8">
        <v>1207.6400000000001</v>
      </c>
      <c r="Q150" s="8">
        <f t="shared" si="2"/>
        <v>203618.93</v>
      </c>
    </row>
    <row r="151" spans="1:17" x14ac:dyDescent="0.25">
      <c r="A151" s="5"/>
      <c r="B151" s="5"/>
      <c r="C151" s="5"/>
      <c r="D151" s="5"/>
      <c r="E151" s="5"/>
      <c r="F151" s="5"/>
      <c r="G151" s="5"/>
      <c r="H151" s="5" t="s">
        <v>23</v>
      </c>
      <c r="I151" s="6">
        <v>44771</v>
      </c>
      <c r="J151" s="5" t="s">
        <v>158</v>
      </c>
      <c r="K151" s="5" t="s">
        <v>412</v>
      </c>
      <c r="L151" s="5"/>
      <c r="M151" s="5"/>
      <c r="N151" s="7"/>
      <c r="O151" s="5" t="s">
        <v>553</v>
      </c>
      <c r="P151" s="8">
        <v>552.61</v>
      </c>
      <c r="Q151" s="8">
        <f t="shared" si="2"/>
        <v>204171.54</v>
      </c>
    </row>
    <row r="152" spans="1:17" x14ac:dyDescent="0.25">
      <c r="A152" s="5"/>
      <c r="B152" s="5"/>
      <c r="C152" s="5"/>
      <c r="D152" s="5"/>
      <c r="E152" s="5"/>
      <c r="F152" s="5"/>
      <c r="G152" s="5"/>
      <c r="H152" s="5" t="s">
        <v>23</v>
      </c>
      <c r="I152" s="6">
        <v>44774</v>
      </c>
      <c r="J152" s="5" t="s">
        <v>159</v>
      </c>
      <c r="K152" s="5" t="s">
        <v>419</v>
      </c>
      <c r="L152" s="5" t="s">
        <v>482</v>
      </c>
      <c r="M152" s="5"/>
      <c r="N152" s="7"/>
      <c r="O152" s="5" t="s">
        <v>553</v>
      </c>
      <c r="P152" s="8">
        <v>0</v>
      </c>
      <c r="Q152" s="8">
        <f t="shared" si="2"/>
        <v>204171.54</v>
      </c>
    </row>
    <row r="153" spans="1:17" x14ac:dyDescent="0.25">
      <c r="A153" s="5"/>
      <c r="B153" s="5"/>
      <c r="C153" s="5"/>
      <c r="D153" s="5"/>
      <c r="E153" s="5"/>
      <c r="F153" s="5"/>
      <c r="G153" s="5"/>
      <c r="H153" s="5" t="s">
        <v>23</v>
      </c>
      <c r="I153" s="6">
        <v>44774</v>
      </c>
      <c r="J153" s="5" t="s">
        <v>159</v>
      </c>
      <c r="K153" s="5" t="s">
        <v>419</v>
      </c>
      <c r="L153" s="5" t="s">
        <v>483</v>
      </c>
      <c r="M153" s="5"/>
      <c r="N153" s="7"/>
      <c r="O153" s="5" t="s">
        <v>553</v>
      </c>
      <c r="P153" s="8">
        <v>0</v>
      </c>
      <c r="Q153" s="8">
        <f t="shared" si="2"/>
        <v>204171.54</v>
      </c>
    </row>
    <row r="154" spans="1:17" x14ac:dyDescent="0.25">
      <c r="A154" s="5"/>
      <c r="B154" s="5"/>
      <c r="C154" s="5"/>
      <c r="D154" s="5"/>
      <c r="E154" s="5"/>
      <c r="F154" s="5"/>
      <c r="G154" s="5"/>
      <c r="H154" s="5" t="s">
        <v>23</v>
      </c>
      <c r="I154" s="6">
        <v>44774</v>
      </c>
      <c r="J154" s="5" t="s">
        <v>159</v>
      </c>
      <c r="K154" s="5" t="s">
        <v>419</v>
      </c>
      <c r="L154" s="5" t="s">
        <v>484</v>
      </c>
      <c r="M154" s="5"/>
      <c r="N154" s="7"/>
      <c r="O154" s="5" t="s">
        <v>553</v>
      </c>
      <c r="P154" s="8">
        <v>0</v>
      </c>
      <c r="Q154" s="8">
        <f t="shared" si="2"/>
        <v>204171.54</v>
      </c>
    </row>
    <row r="155" spans="1:17" x14ac:dyDescent="0.25">
      <c r="A155" s="5"/>
      <c r="B155" s="5"/>
      <c r="C155" s="5"/>
      <c r="D155" s="5"/>
      <c r="E155" s="5"/>
      <c r="F155" s="5"/>
      <c r="G155" s="5"/>
      <c r="H155" s="5" t="s">
        <v>23</v>
      </c>
      <c r="I155" s="6">
        <v>44774</v>
      </c>
      <c r="J155" s="5" t="s">
        <v>159</v>
      </c>
      <c r="K155" s="5" t="s">
        <v>419</v>
      </c>
      <c r="L155" s="5" t="s">
        <v>485</v>
      </c>
      <c r="M155" s="5"/>
      <c r="N155" s="7"/>
      <c r="O155" s="5" t="s">
        <v>553</v>
      </c>
      <c r="P155" s="8">
        <v>0</v>
      </c>
      <c r="Q155" s="8">
        <f t="shared" si="2"/>
        <v>204171.54</v>
      </c>
    </row>
    <row r="156" spans="1:17" x14ac:dyDescent="0.25">
      <c r="A156" s="5"/>
      <c r="B156" s="5"/>
      <c r="C156" s="5"/>
      <c r="D156" s="5"/>
      <c r="E156" s="5"/>
      <c r="F156" s="5"/>
      <c r="G156" s="5"/>
      <c r="H156" s="5" t="s">
        <v>23</v>
      </c>
      <c r="I156" s="6">
        <v>44774</v>
      </c>
      <c r="J156" s="5" t="s">
        <v>159</v>
      </c>
      <c r="K156" s="5" t="s">
        <v>419</v>
      </c>
      <c r="L156" s="5" t="s">
        <v>486</v>
      </c>
      <c r="M156" s="5"/>
      <c r="N156" s="7"/>
      <c r="O156" s="5" t="s">
        <v>553</v>
      </c>
      <c r="P156" s="8">
        <v>0</v>
      </c>
      <c r="Q156" s="8">
        <f t="shared" si="2"/>
        <v>204171.54</v>
      </c>
    </row>
    <row r="157" spans="1:17" x14ac:dyDescent="0.25">
      <c r="A157" s="5"/>
      <c r="B157" s="5"/>
      <c r="C157" s="5"/>
      <c r="D157" s="5"/>
      <c r="E157" s="5"/>
      <c r="F157" s="5"/>
      <c r="G157" s="5"/>
      <c r="H157" s="5" t="s">
        <v>23</v>
      </c>
      <c r="I157" s="6">
        <v>44774</v>
      </c>
      <c r="J157" s="5" t="s">
        <v>159</v>
      </c>
      <c r="K157" s="5" t="s">
        <v>419</v>
      </c>
      <c r="L157" s="5" t="s">
        <v>487</v>
      </c>
      <c r="M157" s="5"/>
      <c r="N157" s="7"/>
      <c r="O157" s="5" t="s">
        <v>553</v>
      </c>
      <c r="P157" s="8">
        <v>0</v>
      </c>
      <c r="Q157" s="8">
        <f t="shared" si="2"/>
        <v>204171.54</v>
      </c>
    </row>
    <row r="158" spans="1:17" x14ac:dyDescent="0.25">
      <c r="A158" s="5"/>
      <c r="B158" s="5"/>
      <c r="C158" s="5"/>
      <c r="D158" s="5"/>
      <c r="E158" s="5"/>
      <c r="F158" s="5"/>
      <c r="G158" s="5"/>
      <c r="H158" s="5" t="s">
        <v>23</v>
      </c>
      <c r="I158" s="6">
        <v>44774</v>
      </c>
      <c r="J158" s="5" t="s">
        <v>159</v>
      </c>
      <c r="K158" s="5" t="s">
        <v>419</v>
      </c>
      <c r="L158" s="5"/>
      <c r="M158" s="5"/>
      <c r="N158" s="7"/>
      <c r="O158" s="5" t="s">
        <v>553</v>
      </c>
      <c r="P158" s="8">
        <v>1860</v>
      </c>
      <c r="Q158" s="8">
        <f t="shared" si="2"/>
        <v>206031.54</v>
      </c>
    </row>
    <row r="159" spans="1:17" x14ac:dyDescent="0.25">
      <c r="A159" s="5"/>
      <c r="B159" s="5"/>
      <c r="C159" s="5"/>
      <c r="D159" s="5"/>
      <c r="E159" s="5"/>
      <c r="F159" s="5"/>
      <c r="G159" s="5"/>
      <c r="H159" s="5" t="s">
        <v>23</v>
      </c>
      <c r="I159" s="6">
        <v>44775</v>
      </c>
      <c r="J159" s="5" t="s">
        <v>160</v>
      </c>
      <c r="K159" s="5" t="s">
        <v>413</v>
      </c>
      <c r="L159" s="5"/>
      <c r="M159" s="5"/>
      <c r="N159" s="7"/>
      <c r="O159" s="5" t="s">
        <v>553</v>
      </c>
      <c r="P159" s="8">
        <v>1157.73</v>
      </c>
      <c r="Q159" s="8">
        <f t="shared" si="2"/>
        <v>207189.27</v>
      </c>
    </row>
    <row r="160" spans="1:17" x14ac:dyDescent="0.25">
      <c r="A160" s="5"/>
      <c r="B160" s="5"/>
      <c r="C160" s="5"/>
      <c r="D160" s="5"/>
      <c r="E160" s="5"/>
      <c r="F160" s="5"/>
      <c r="G160" s="5"/>
      <c r="H160" s="5" t="s">
        <v>23</v>
      </c>
      <c r="I160" s="6">
        <v>44775</v>
      </c>
      <c r="J160" s="5" t="s">
        <v>161</v>
      </c>
      <c r="K160" s="5" t="s">
        <v>412</v>
      </c>
      <c r="L160" s="5"/>
      <c r="M160" s="5"/>
      <c r="N160" s="7"/>
      <c r="O160" s="5" t="s">
        <v>553</v>
      </c>
      <c r="P160" s="8">
        <v>3195.73</v>
      </c>
      <c r="Q160" s="8">
        <f t="shared" si="2"/>
        <v>210385</v>
      </c>
    </row>
    <row r="161" spans="1:17" x14ac:dyDescent="0.25">
      <c r="A161" s="5"/>
      <c r="B161" s="5"/>
      <c r="C161" s="5"/>
      <c r="D161" s="5"/>
      <c r="E161" s="5"/>
      <c r="F161" s="5"/>
      <c r="G161" s="5"/>
      <c r="H161" s="5" t="s">
        <v>23</v>
      </c>
      <c r="I161" s="6">
        <v>44776</v>
      </c>
      <c r="J161" s="5" t="s">
        <v>162</v>
      </c>
      <c r="K161" s="5" t="s">
        <v>413</v>
      </c>
      <c r="L161" s="5"/>
      <c r="M161" s="5"/>
      <c r="N161" s="7"/>
      <c r="O161" s="5" t="s">
        <v>553</v>
      </c>
      <c r="P161" s="8">
        <v>838.35</v>
      </c>
      <c r="Q161" s="8">
        <f t="shared" si="2"/>
        <v>211223.35</v>
      </c>
    </row>
    <row r="162" spans="1:17" x14ac:dyDescent="0.25">
      <c r="A162" s="5"/>
      <c r="B162" s="5"/>
      <c r="C162" s="5"/>
      <c r="D162" s="5"/>
      <c r="E162" s="5"/>
      <c r="F162" s="5"/>
      <c r="G162" s="5"/>
      <c r="H162" s="5" t="s">
        <v>23</v>
      </c>
      <c r="I162" s="6">
        <v>44776</v>
      </c>
      <c r="J162" s="5" t="s">
        <v>163</v>
      </c>
      <c r="K162" s="5" t="s">
        <v>413</v>
      </c>
      <c r="L162" s="5"/>
      <c r="M162" s="5"/>
      <c r="N162" s="7"/>
      <c r="O162" s="5" t="s">
        <v>553</v>
      </c>
      <c r="P162" s="8">
        <v>51.3</v>
      </c>
      <c r="Q162" s="8">
        <f t="shared" si="2"/>
        <v>211274.65</v>
      </c>
    </row>
    <row r="163" spans="1:17" x14ac:dyDescent="0.25">
      <c r="A163" s="5"/>
      <c r="B163" s="5"/>
      <c r="C163" s="5"/>
      <c r="D163" s="5"/>
      <c r="E163" s="5"/>
      <c r="F163" s="5"/>
      <c r="G163" s="5"/>
      <c r="H163" s="5" t="s">
        <v>23</v>
      </c>
      <c r="I163" s="6">
        <v>44776</v>
      </c>
      <c r="J163" s="5" t="s">
        <v>164</v>
      </c>
      <c r="K163" s="5" t="s">
        <v>413</v>
      </c>
      <c r="L163" s="5"/>
      <c r="M163" s="5"/>
      <c r="N163" s="7"/>
      <c r="O163" s="5" t="s">
        <v>553</v>
      </c>
      <c r="P163" s="8">
        <v>261</v>
      </c>
      <c r="Q163" s="8">
        <f t="shared" si="2"/>
        <v>211535.65</v>
      </c>
    </row>
    <row r="164" spans="1:17" x14ac:dyDescent="0.25">
      <c r="A164" s="5"/>
      <c r="B164" s="5"/>
      <c r="C164" s="5"/>
      <c r="D164" s="5"/>
      <c r="E164" s="5"/>
      <c r="F164" s="5"/>
      <c r="G164" s="5"/>
      <c r="H164" s="5" t="s">
        <v>23</v>
      </c>
      <c r="I164" s="6">
        <v>44776</v>
      </c>
      <c r="J164" s="5" t="s">
        <v>165</v>
      </c>
      <c r="K164" s="5" t="s">
        <v>413</v>
      </c>
      <c r="L164" s="5"/>
      <c r="M164" s="5"/>
      <c r="N164" s="7"/>
      <c r="O164" s="5" t="s">
        <v>553</v>
      </c>
      <c r="P164" s="8">
        <v>76.95</v>
      </c>
      <c r="Q164" s="8">
        <f t="shared" si="2"/>
        <v>211612.6</v>
      </c>
    </row>
    <row r="165" spans="1:17" x14ac:dyDescent="0.25">
      <c r="A165" s="5"/>
      <c r="B165" s="5"/>
      <c r="C165" s="5"/>
      <c r="D165" s="5"/>
      <c r="E165" s="5"/>
      <c r="F165" s="5"/>
      <c r="G165" s="5"/>
      <c r="H165" s="5" t="s">
        <v>23</v>
      </c>
      <c r="I165" s="6">
        <v>44776</v>
      </c>
      <c r="J165" s="5" t="s">
        <v>166</v>
      </c>
      <c r="K165" s="5" t="s">
        <v>413</v>
      </c>
      <c r="L165" s="5"/>
      <c r="M165" s="5"/>
      <c r="N165" s="7"/>
      <c r="O165" s="5" t="s">
        <v>553</v>
      </c>
      <c r="P165" s="8">
        <v>355.77</v>
      </c>
      <c r="Q165" s="8">
        <f t="shared" si="2"/>
        <v>211968.37</v>
      </c>
    </row>
    <row r="166" spans="1:17" x14ac:dyDescent="0.25">
      <c r="A166" s="5"/>
      <c r="B166" s="5"/>
      <c r="C166" s="5"/>
      <c r="D166" s="5"/>
      <c r="E166" s="5"/>
      <c r="F166" s="5"/>
      <c r="G166" s="5"/>
      <c r="H166" s="5" t="s">
        <v>23</v>
      </c>
      <c r="I166" s="6">
        <v>44776</v>
      </c>
      <c r="J166" s="5" t="s">
        <v>167</v>
      </c>
      <c r="K166" s="5" t="s">
        <v>413</v>
      </c>
      <c r="L166" s="5"/>
      <c r="M166" s="5"/>
      <c r="N166" s="7"/>
      <c r="O166" s="5" t="s">
        <v>553</v>
      </c>
      <c r="P166" s="8">
        <v>401.48</v>
      </c>
      <c r="Q166" s="8">
        <f t="shared" si="2"/>
        <v>212369.85</v>
      </c>
    </row>
    <row r="167" spans="1:17" x14ac:dyDescent="0.25">
      <c r="A167" s="5"/>
      <c r="B167" s="5"/>
      <c r="C167" s="5"/>
      <c r="D167" s="5"/>
      <c r="E167" s="5"/>
      <c r="F167" s="5"/>
      <c r="G167" s="5"/>
      <c r="H167" s="5" t="s">
        <v>23</v>
      </c>
      <c r="I167" s="6">
        <v>44776</v>
      </c>
      <c r="J167" s="5" t="s">
        <v>168</v>
      </c>
      <c r="K167" s="5" t="s">
        <v>413</v>
      </c>
      <c r="L167" s="5"/>
      <c r="M167" s="5"/>
      <c r="N167" s="7"/>
      <c r="O167" s="5" t="s">
        <v>553</v>
      </c>
      <c r="P167" s="8">
        <v>546.29999999999995</v>
      </c>
      <c r="Q167" s="8">
        <f t="shared" si="2"/>
        <v>212916.15</v>
      </c>
    </row>
    <row r="168" spans="1:17" x14ac:dyDescent="0.25">
      <c r="A168" s="5"/>
      <c r="B168" s="5"/>
      <c r="C168" s="5"/>
      <c r="D168" s="5"/>
      <c r="E168" s="5"/>
      <c r="F168" s="5"/>
      <c r="G168" s="5"/>
      <c r="H168" s="5" t="s">
        <v>23</v>
      </c>
      <c r="I168" s="6">
        <v>44776</v>
      </c>
      <c r="J168" s="5" t="s">
        <v>169</v>
      </c>
      <c r="K168" s="5" t="s">
        <v>413</v>
      </c>
      <c r="L168" s="5"/>
      <c r="M168" s="5"/>
      <c r="N168" s="7"/>
      <c r="O168" s="5" t="s">
        <v>553</v>
      </c>
      <c r="P168" s="8">
        <v>123.92</v>
      </c>
      <c r="Q168" s="8">
        <f t="shared" si="2"/>
        <v>213040.07</v>
      </c>
    </row>
    <row r="169" spans="1:17" x14ac:dyDescent="0.25">
      <c r="A169" s="5"/>
      <c r="B169" s="5"/>
      <c r="C169" s="5"/>
      <c r="D169" s="5"/>
      <c r="E169" s="5"/>
      <c r="F169" s="5"/>
      <c r="G169" s="5"/>
      <c r="H169" s="5" t="s">
        <v>23</v>
      </c>
      <c r="I169" s="6">
        <v>44776</v>
      </c>
      <c r="J169" s="5" t="s">
        <v>170</v>
      </c>
      <c r="K169" s="5" t="s">
        <v>413</v>
      </c>
      <c r="L169" s="5"/>
      <c r="M169" s="5"/>
      <c r="N169" s="7"/>
      <c r="O169" s="5" t="s">
        <v>553</v>
      </c>
      <c r="P169" s="8">
        <v>908.35</v>
      </c>
      <c r="Q169" s="8">
        <f t="shared" si="2"/>
        <v>213948.42</v>
      </c>
    </row>
    <row r="170" spans="1:17" x14ac:dyDescent="0.25">
      <c r="A170" s="5"/>
      <c r="B170" s="5"/>
      <c r="C170" s="5"/>
      <c r="D170" s="5"/>
      <c r="E170" s="5"/>
      <c r="F170" s="5"/>
      <c r="G170" s="5"/>
      <c r="H170" s="5" t="s">
        <v>23</v>
      </c>
      <c r="I170" s="6">
        <v>44776</v>
      </c>
      <c r="J170" s="5" t="s">
        <v>171</v>
      </c>
      <c r="K170" s="5" t="s">
        <v>412</v>
      </c>
      <c r="L170" s="5"/>
      <c r="M170" s="5"/>
      <c r="N170" s="7"/>
      <c r="O170" s="5" t="s">
        <v>553</v>
      </c>
      <c r="P170" s="8">
        <v>2952.76</v>
      </c>
      <c r="Q170" s="8">
        <f t="shared" si="2"/>
        <v>216901.18</v>
      </c>
    </row>
    <row r="171" spans="1:17" x14ac:dyDescent="0.25">
      <c r="A171" s="5"/>
      <c r="B171" s="5"/>
      <c r="C171" s="5"/>
      <c r="D171" s="5"/>
      <c r="E171" s="5"/>
      <c r="F171" s="5"/>
      <c r="G171" s="5"/>
      <c r="H171" s="5" t="s">
        <v>23</v>
      </c>
      <c r="I171" s="6">
        <v>44776</v>
      </c>
      <c r="J171" s="5" t="s">
        <v>172</v>
      </c>
      <c r="K171" s="5" t="s">
        <v>420</v>
      </c>
      <c r="L171" s="5" t="s">
        <v>488</v>
      </c>
      <c r="M171" s="5"/>
      <c r="N171" s="7"/>
      <c r="O171" s="5" t="s">
        <v>553</v>
      </c>
      <c r="P171" s="8">
        <v>0</v>
      </c>
      <c r="Q171" s="8">
        <f t="shared" si="2"/>
        <v>216901.18</v>
      </c>
    </row>
    <row r="172" spans="1:17" x14ac:dyDescent="0.25">
      <c r="A172" s="5"/>
      <c r="B172" s="5"/>
      <c r="C172" s="5"/>
      <c r="D172" s="5"/>
      <c r="E172" s="5"/>
      <c r="F172" s="5"/>
      <c r="G172" s="5"/>
      <c r="H172" s="5" t="s">
        <v>23</v>
      </c>
      <c r="I172" s="6">
        <v>44776</v>
      </c>
      <c r="J172" s="5" t="s">
        <v>172</v>
      </c>
      <c r="K172" s="5" t="s">
        <v>420</v>
      </c>
      <c r="L172" s="5" t="s">
        <v>489</v>
      </c>
      <c r="M172" s="5"/>
      <c r="N172" s="7"/>
      <c r="O172" s="5" t="s">
        <v>553</v>
      </c>
      <c r="P172" s="8">
        <v>3410</v>
      </c>
      <c r="Q172" s="8">
        <f t="shared" si="2"/>
        <v>220311.18</v>
      </c>
    </row>
    <row r="173" spans="1:17" x14ac:dyDescent="0.25">
      <c r="A173" s="5"/>
      <c r="B173" s="5"/>
      <c r="C173" s="5"/>
      <c r="D173" s="5"/>
      <c r="E173" s="5"/>
      <c r="F173" s="5"/>
      <c r="G173" s="5"/>
      <c r="H173" s="5" t="s">
        <v>23</v>
      </c>
      <c r="I173" s="6">
        <v>44776</v>
      </c>
      <c r="J173" s="5" t="s">
        <v>173</v>
      </c>
      <c r="K173" s="5" t="s">
        <v>421</v>
      </c>
      <c r="L173" s="5" t="s">
        <v>490</v>
      </c>
      <c r="M173" s="5"/>
      <c r="N173" s="7"/>
      <c r="O173" s="5" t="s">
        <v>553</v>
      </c>
      <c r="P173" s="8">
        <v>0</v>
      </c>
      <c r="Q173" s="8">
        <f t="shared" si="2"/>
        <v>220311.18</v>
      </c>
    </row>
    <row r="174" spans="1:17" x14ac:dyDescent="0.25">
      <c r="A174" s="5"/>
      <c r="B174" s="5"/>
      <c r="C174" s="5"/>
      <c r="D174" s="5"/>
      <c r="E174" s="5"/>
      <c r="F174" s="5"/>
      <c r="G174" s="5"/>
      <c r="H174" s="5" t="s">
        <v>23</v>
      </c>
      <c r="I174" s="6">
        <v>44776</v>
      </c>
      <c r="J174" s="5" t="s">
        <v>173</v>
      </c>
      <c r="K174" s="5" t="s">
        <v>421</v>
      </c>
      <c r="L174" s="5" t="s">
        <v>491</v>
      </c>
      <c r="M174" s="5"/>
      <c r="N174" s="7"/>
      <c r="O174" s="5" t="s">
        <v>553</v>
      </c>
      <c r="P174" s="8">
        <v>0</v>
      </c>
      <c r="Q174" s="8">
        <f t="shared" si="2"/>
        <v>220311.18</v>
      </c>
    </row>
    <row r="175" spans="1:17" x14ac:dyDescent="0.25">
      <c r="A175" s="5"/>
      <c r="B175" s="5"/>
      <c r="C175" s="5"/>
      <c r="D175" s="5"/>
      <c r="E175" s="5"/>
      <c r="F175" s="5"/>
      <c r="G175" s="5"/>
      <c r="H175" s="5" t="s">
        <v>23</v>
      </c>
      <c r="I175" s="6">
        <v>44776</v>
      </c>
      <c r="J175" s="5" t="s">
        <v>173</v>
      </c>
      <c r="K175" s="5" t="s">
        <v>421</v>
      </c>
      <c r="L175" s="5" t="s">
        <v>492</v>
      </c>
      <c r="M175" s="5"/>
      <c r="N175" s="7"/>
      <c r="O175" s="5" t="s">
        <v>553</v>
      </c>
      <c r="P175" s="8">
        <v>0</v>
      </c>
      <c r="Q175" s="8">
        <f t="shared" si="2"/>
        <v>220311.18</v>
      </c>
    </row>
    <row r="176" spans="1:17" x14ac:dyDescent="0.25">
      <c r="A176" s="5"/>
      <c r="B176" s="5"/>
      <c r="C176" s="5"/>
      <c r="D176" s="5"/>
      <c r="E176" s="5"/>
      <c r="F176" s="5"/>
      <c r="G176" s="5"/>
      <c r="H176" s="5" t="s">
        <v>23</v>
      </c>
      <c r="I176" s="6">
        <v>44776</v>
      </c>
      <c r="J176" s="5" t="s">
        <v>173</v>
      </c>
      <c r="K176" s="5" t="s">
        <v>421</v>
      </c>
      <c r="L176" s="5"/>
      <c r="M176" s="5"/>
      <c r="N176" s="7"/>
      <c r="O176" s="5" t="s">
        <v>553</v>
      </c>
      <c r="P176" s="8">
        <v>1300</v>
      </c>
      <c r="Q176" s="8">
        <f t="shared" si="2"/>
        <v>221611.18</v>
      </c>
    </row>
    <row r="177" spans="1:17" x14ac:dyDescent="0.25">
      <c r="A177" s="5"/>
      <c r="B177" s="5"/>
      <c r="C177" s="5"/>
      <c r="D177" s="5"/>
      <c r="E177" s="5"/>
      <c r="F177" s="5"/>
      <c r="G177" s="5"/>
      <c r="H177" s="5" t="s">
        <v>23</v>
      </c>
      <c r="I177" s="6">
        <v>44776</v>
      </c>
      <c r="J177" s="5" t="s">
        <v>174</v>
      </c>
      <c r="K177" s="5" t="s">
        <v>413</v>
      </c>
      <c r="L177" s="5"/>
      <c r="M177" s="5"/>
      <c r="N177" s="7"/>
      <c r="O177" s="5" t="s">
        <v>553</v>
      </c>
      <c r="P177" s="8">
        <v>891.52</v>
      </c>
      <c r="Q177" s="8">
        <f t="shared" si="2"/>
        <v>222502.7</v>
      </c>
    </row>
    <row r="178" spans="1:17" x14ac:dyDescent="0.25">
      <c r="A178" s="5"/>
      <c r="B178" s="5"/>
      <c r="C178" s="5"/>
      <c r="D178" s="5"/>
      <c r="E178" s="5"/>
      <c r="F178" s="5"/>
      <c r="G178" s="5"/>
      <c r="H178" s="5" t="s">
        <v>23</v>
      </c>
      <c r="I178" s="6">
        <v>44776</v>
      </c>
      <c r="J178" s="5" t="s">
        <v>175</v>
      </c>
      <c r="K178" s="5" t="s">
        <v>413</v>
      </c>
      <c r="L178" s="5"/>
      <c r="M178" s="5"/>
      <c r="N178" s="7"/>
      <c r="O178" s="5" t="s">
        <v>553</v>
      </c>
      <c r="P178" s="8">
        <v>495.47</v>
      </c>
      <c r="Q178" s="8">
        <f t="shared" si="2"/>
        <v>222998.17</v>
      </c>
    </row>
    <row r="179" spans="1:17" x14ac:dyDescent="0.25">
      <c r="A179" s="5"/>
      <c r="B179" s="5"/>
      <c r="C179" s="5"/>
      <c r="D179" s="5"/>
      <c r="E179" s="5"/>
      <c r="F179" s="5"/>
      <c r="G179" s="5"/>
      <c r="H179" s="5" t="s">
        <v>23</v>
      </c>
      <c r="I179" s="6">
        <v>44777</v>
      </c>
      <c r="J179" s="5" t="s">
        <v>176</v>
      </c>
      <c r="K179" s="5" t="s">
        <v>412</v>
      </c>
      <c r="L179" s="5"/>
      <c r="M179" s="5"/>
      <c r="N179" s="7"/>
      <c r="O179" s="5" t="s">
        <v>553</v>
      </c>
      <c r="P179" s="8">
        <v>1102</v>
      </c>
      <c r="Q179" s="8">
        <f t="shared" si="2"/>
        <v>224100.17</v>
      </c>
    </row>
    <row r="180" spans="1:17" x14ac:dyDescent="0.25">
      <c r="A180" s="5"/>
      <c r="B180" s="5"/>
      <c r="C180" s="5"/>
      <c r="D180" s="5"/>
      <c r="E180" s="5"/>
      <c r="F180" s="5"/>
      <c r="G180" s="5"/>
      <c r="H180" s="5" t="s">
        <v>23</v>
      </c>
      <c r="I180" s="6">
        <v>44778</v>
      </c>
      <c r="J180" s="5" t="s">
        <v>177</v>
      </c>
      <c r="K180" s="5" t="s">
        <v>413</v>
      </c>
      <c r="L180" s="5"/>
      <c r="M180" s="5"/>
      <c r="N180" s="7"/>
      <c r="O180" s="5" t="s">
        <v>553</v>
      </c>
      <c r="P180" s="8">
        <v>687.5</v>
      </c>
      <c r="Q180" s="8">
        <f t="shared" si="2"/>
        <v>224787.67</v>
      </c>
    </row>
    <row r="181" spans="1:17" x14ac:dyDescent="0.25">
      <c r="A181" s="5"/>
      <c r="B181" s="5"/>
      <c r="C181" s="5"/>
      <c r="D181" s="5"/>
      <c r="E181" s="5"/>
      <c r="F181" s="5"/>
      <c r="G181" s="5"/>
      <c r="H181" s="5" t="s">
        <v>23</v>
      </c>
      <c r="I181" s="6">
        <v>44778</v>
      </c>
      <c r="J181" s="5" t="s">
        <v>178</v>
      </c>
      <c r="K181" s="5" t="s">
        <v>413</v>
      </c>
      <c r="L181" s="5"/>
      <c r="M181" s="5"/>
      <c r="N181" s="7"/>
      <c r="O181" s="5" t="s">
        <v>553</v>
      </c>
      <c r="P181" s="8">
        <v>966.81</v>
      </c>
      <c r="Q181" s="8">
        <f t="shared" si="2"/>
        <v>225754.48</v>
      </c>
    </row>
    <row r="182" spans="1:17" x14ac:dyDescent="0.25">
      <c r="A182" s="5"/>
      <c r="B182" s="5"/>
      <c r="C182" s="5"/>
      <c r="D182" s="5"/>
      <c r="E182" s="5"/>
      <c r="F182" s="5"/>
      <c r="G182" s="5"/>
      <c r="H182" s="5" t="s">
        <v>23</v>
      </c>
      <c r="I182" s="6">
        <v>44778</v>
      </c>
      <c r="J182" s="5" t="s">
        <v>179</v>
      </c>
      <c r="K182" s="5" t="s">
        <v>413</v>
      </c>
      <c r="L182" s="5"/>
      <c r="M182" s="5"/>
      <c r="N182" s="7"/>
      <c r="O182" s="5" t="s">
        <v>553</v>
      </c>
      <c r="P182" s="8">
        <v>913.78</v>
      </c>
      <c r="Q182" s="8">
        <f t="shared" si="2"/>
        <v>226668.26</v>
      </c>
    </row>
    <row r="183" spans="1:17" x14ac:dyDescent="0.25">
      <c r="A183" s="5"/>
      <c r="B183" s="5"/>
      <c r="C183" s="5"/>
      <c r="D183" s="5"/>
      <c r="E183" s="5"/>
      <c r="F183" s="5"/>
      <c r="G183" s="5"/>
      <c r="H183" s="5" t="s">
        <v>23</v>
      </c>
      <c r="I183" s="6">
        <v>44778</v>
      </c>
      <c r="J183" s="5" t="s">
        <v>180</v>
      </c>
      <c r="K183" s="5" t="s">
        <v>413</v>
      </c>
      <c r="L183" s="5"/>
      <c r="M183" s="5"/>
      <c r="N183" s="7"/>
      <c r="O183" s="5" t="s">
        <v>553</v>
      </c>
      <c r="P183" s="8">
        <v>880.53</v>
      </c>
      <c r="Q183" s="8">
        <f t="shared" si="2"/>
        <v>227548.79</v>
      </c>
    </row>
    <row r="184" spans="1:17" x14ac:dyDescent="0.25">
      <c r="A184" s="5"/>
      <c r="B184" s="5"/>
      <c r="C184" s="5"/>
      <c r="D184" s="5"/>
      <c r="E184" s="5"/>
      <c r="F184" s="5"/>
      <c r="G184" s="5"/>
      <c r="H184" s="5" t="s">
        <v>23</v>
      </c>
      <c r="I184" s="6">
        <v>44778</v>
      </c>
      <c r="J184" s="5" t="s">
        <v>181</v>
      </c>
      <c r="K184" s="5" t="s">
        <v>413</v>
      </c>
      <c r="L184" s="5"/>
      <c r="M184" s="5"/>
      <c r="N184" s="7"/>
      <c r="O184" s="5" t="s">
        <v>553</v>
      </c>
      <c r="P184" s="8">
        <v>338.14</v>
      </c>
      <c r="Q184" s="8">
        <f t="shared" si="2"/>
        <v>227886.93</v>
      </c>
    </row>
    <row r="185" spans="1:17" x14ac:dyDescent="0.25">
      <c r="A185" s="5"/>
      <c r="B185" s="5"/>
      <c r="C185" s="5"/>
      <c r="D185" s="5"/>
      <c r="E185" s="5"/>
      <c r="F185" s="5"/>
      <c r="G185" s="5"/>
      <c r="H185" s="5" t="s">
        <v>23</v>
      </c>
      <c r="I185" s="6">
        <v>44778</v>
      </c>
      <c r="J185" s="5" t="s">
        <v>182</v>
      </c>
      <c r="K185" s="5" t="s">
        <v>413</v>
      </c>
      <c r="L185" s="5"/>
      <c r="M185" s="5"/>
      <c r="N185" s="7"/>
      <c r="O185" s="5" t="s">
        <v>553</v>
      </c>
      <c r="P185" s="8">
        <v>860.54</v>
      </c>
      <c r="Q185" s="8">
        <f t="shared" si="2"/>
        <v>228747.47</v>
      </c>
    </row>
    <row r="186" spans="1:17" x14ac:dyDescent="0.25">
      <c r="A186" s="5"/>
      <c r="B186" s="5"/>
      <c r="C186" s="5"/>
      <c r="D186" s="5"/>
      <c r="E186" s="5"/>
      <c r="F186" s="5"/>
      <c r="G186" s="5"/>
      <c r="H186" s="5" t="s">
        <v>23</v>
      </c>
      <c r="I186" s="6">
        <v>44778</v>
      </c>
      <c r="J186" s="5" t="s">
        <v>183</v>
      </c>
      <c r="K186" s="5" t="s">
        <v>413</v>
      </c>
      <c r="L186" s="5"/>
      <c r="M186" s="5"/>
      <c r="N186" s="7"/>
      <c r="O186" s="5" t="s">
        <v>553</v>
      </c>
      <c r="P186" s="8">
        <v>943.29</v>
      </c>
      <c r="Q186" s="8">
        <f t="shared" si="2"/>
        <v>229690.76</v>
      </c>
    </row>
    <row r="187" spans="1:17" x14ac:dyDescent="0.25">
      <c r="A187" s="5"/>
      <c r="B187" s="5"/>
      <c r="C187" s="5"/>
      <c r="D187" s="5"/>
      <c r="E187" s="5"/>
      <c r="F187" s="5"/>
      <c r="G187" s="5"/>
      <c r="H187" s="5" t="s">
        <v>23</v>
      </c>
      <c r="I187" s="6">
        <v>44778</v>
      </c>
      <c r="J187" s="5" t="s">
        <v>184</v>
      </c>
      <c r="K187" s="5" t="s">
        <v>413</v>
      </c>
      <c r="L187" s="5"/>
      <c r="M187" s="5"/>
      <c r="N187" s="7"/>
      <c r="O187" s="5" t="s">
        <v>553</v>
      </c>
      <c r="P187" s="8">
        <v>116.95</v>
      </c>
      <c r="Q187" s="8">
        <f t="shared" si="2"/>
        <v>229807.71</v>
      </c>
    </row>
    <row r="188" spans="1:17" x14ac:dyDescent="0.25">
      <c r="A188" s="5"/>
      <c r="B188" s="5"/>
      <c r="C188" s="5"/>
      <c r="D188" s="5"/>
      <c r="E188" s="5"/>
      <c r="F188" s="5"/>
      <c r="G188" s="5"/>
      <c r="H188" s="5" t="s">
        <v>23</v>
      </c>
      <c r="I188" s="6">
        <v>44778</v>
      </c>
      <c r="J188" s="5" t="s">
        <v>185</v>
      </c>
      <c r="K188" s="5" t="s">
        <v>413</v>
      </c>
      <c r="L188" s="5"/>
      <c r="M188" s="5"/>
      <c r="N188" s="7"/>
      <c r="O188" s="5" t="s">
        <v>553</v>
      </c>
      <c r="P188" s="8">
        <v>116.95</v>
      </c>
      <c r="Q188" s="8">
        <f t="shared" si="2"/>
        <v>229924.66</v>
      </c>
    </row>
    <row r="189" spans="1:17" x14ac:dyDescent="0.25">
      <c r="A189" s="5"/>
      <c r="B189" s="5"/>
      <c r="C189" s="5"/>
      <c r="D189" s="5"/>
      <c r="E189" s="5"/>
      <c r="F189" s="5"/>
      <c r="G189" s="5"/>
      <c r="H189" s="5" t="s">
        <v>23</v>
      </c>
      <c r="I189" s="6">
        <v>44778</v>
      </c>
      <c r="J189" s="5" t="s">
        <v>186</v>
      </c>
      <c r="K189" s="5" t="s">
        <v>413</v>
      </c>
      <c r="L189" s="5"/>
      <c r="M189" s="5"/>
      <c r="N189" s="7"/>
      <c r="O189" s="5" t="s">
        <v>553</v>
      </c>
      <c r="P189" s="8">
        <v>91.3</v>
      </c>
      <c r="Q189" s="8">
        <f t="shared" si="2"/>
        <v>230015.96</v>
      </c>
    </row>
    <row r="190" spans="1:17" x14ac:dyDescent="0.25">
      <c r="A190" s="5"/>
      <c r="B190" s="5"/>
      <c r="C190" s="5"/>
      <c r="D190" s="5"/>
      <c r="E190" s="5"/>
      <c r="F190" s="5"/>
      <c r="G190" s="5"/>
      <c r="H190" s="5" t="s">
        <v>23</v>
      </c>
      <c r="I190" s="6">
        <v>44778</v>
      </c>
      <c r="J190" s="5" t="s">
        <v>187</v>
      </c>
      <c r="K190" s="5" t="s">
        <v>413</v>
      </c>
      <c r="L190" s="5"/>
      <c r="M190" s="5"/>
      <c r="N190" s="7"/>
      <c r="O190" s="5" t="s">
        <v>553</v>
      </c>
      <c r="P190" s="8">
        <v>849.88</v>
      </c>
      <c r="Q190" s="8">
        <f t="shared" si="2"/>
        <v>230865.84</v>
      </c>
    </row>
    <row r="191" spans="1:17" x14ac:dyDescent="0.25">
      <c r="A191" s="5"/>
      <c r="B191" s="5"/>
      <c r="C191" s="5"/>
      <c r="D191" s="5"/>
      <c r="E191" s="5"/>
      <c r="F191" s="5"/>
      <c r="G191" s="5"/>
      <c r="H191" s="5" t="s">
        <v>23</v>
      </c>
      <c r="I191" s="6">
        <v>44778</v>
      </c>
      <c r="J191" s="5" t="s">
        <v>188</v>
      </c>
      <c r="K191" s="5" t="s">
        <v>413</v>
      </c>
      <c r="L191" s="5"/>
      <c r="M191" s="5"/>
      <c r="N191" s="7"/>
      <c r="O191" s="5" t="s">
        <v>553</v>
      </c>
      <c r="P191" s="8">
        <v>168.25</v>
      </c>
      <c r="Q191" s="8">
        <f t="shared" si="2"/>
        <v>231034.09</v>
      </c>
    </row>
    <row r="192" spans="1:17" x14ac:dyDescent="0.25">
      <c r="A192" s="5"/>
      <c r="B192" s="5"/>
      <c r="C192" s="5"/>
      <c r="D192" s="5"/>
      <c r="E192" s="5"/>
      <c r="F192" s="5"/>
      <c r="G192" s="5"/>
      <c r="H192" s="5" t="s">
        <v>23</v>
      </c>
      <c r="I192" s="6">
        <v>44778</v>
      </c>
      <c r="J192" s="5" t="s">
        <v>189</v>
      </c>
      <c r="K192" s="5" t="s">
        <v>413</v>
      </c>
      <c r="L192" s="5"/>
      <c r="M192" s="5"/>
      <c r="N192" s="7"/>
      <c r="O192" s="5" t="s">
        <v>553</v>
      </c>
      <c r="P192" s="8">
        <v>702.55</v>
      </c>
      <c r="Q192" s="8">
        <f t="shared" si="2"/>
        <v>231736.64</v>
      </c>
    </row>
    <row r="193" spans="1:17" x14ac:dyDescent="0.25">
      <c r="A193" s="5"/>
      <c r="B193" s="5"/>
      <c r="C193" s="5"/>
      <c r="D193" s="5"/>
      <c r="E193" s="5"/>
      <c r="F193" s="5"/>
      <c r="G193" s="5"/>
      <c r="H193" s="5" t="s">
        <v>23</v>
      </c>
      <c r="I193" s="6">
        <v>44778</v>
      </c>
      <c r="J193" s="5" t="s">
        <v>190</v>
      </c>
      <c r="K193" s="5" t="s">
        <v>413</v>
      </c>
      <c r="L193" s="5"/>
      <c r="M193" s="5"/>
      <c r="N193" s="7"/>
      <c r="O193" s="5" t="s">
        <v>553</v>
      </c>
      <c r="P193" s="8">
        <v>575</v>
      </c>
      <c r="Q193" s="8">
        <f t="shared" si="2"/>
        <v>232311.64</v>
      </c>
    </row>
    <row r="194" spans="1:17" x14ac:dyDescent="0.25">
      <c r="A194" s="5"/>
      <c r="B194" s="5"/>
      <c r="C194" s="5"/>
      <c r="D194" s="5"/>
      <c r="E194" s="5"/>
      <c r="F194" s="5"/>
      <c r="G194" s="5"/>
      <c r="H194" s="5" t="s">
        <v>23</v>
      </c>
      <c r="I194" s="6">
        <v>44778</v>
      </c>
      <c r="J194" s="5" t="s">
        <v>191</v>
      </c>
      <c r="K194" s="5" t="s">
        <v>413</v>
      </c>
      <c r="L194" s="5"/>
      <c r="M194" s="5"/>
      <c r="N194" s="7"/>
      <c r="O194" s="5" t="s">
        <v>553</v>
      </c>
      <c r="P194" s="8">
        <v>310</v>
      </c>
      <c r="Q194" s="8">
        <f t="shared" si="2"/>
        <v>232621.64</v>
      </c>
    </row>
    <row r="195" spans="1:17" x14ac:dyDescent="0.25">
      <c r="A195" s="5"/>
      <c r="B195" s="5"/>
      <c r="C195" s="5"/>
      <c r="D195" s="5"/>
      <c r="E195" s="5"/>
      <c r="F195" s="5"/>
      <c r="G195" s="5"/>
      <c r="H195" s="5" t="s">
        <v>23</v>
      </c>
      <c r="I195" s="6">
        <v>44778</v>
      </c>
      <c r="J195" s="5" t="s">
        <v>192</v>
      </c>
      <c r="K195" s="5" t="s">
        <v>413</v>
      </c>
      <c r="L195" s="5"/>
      <c r="M195" s="5"/>
      <c r="N195" s="7"/>
      <c r="O195" s="5" t="s">
        <v>553</v>
      </c>
      <c r="P195" s="8">
        <v>1020.1</v>
      </c>
      <c r="Q195" s="8">
        <f t="shared" si="2"/>
        <v>233641.74</v>
      </c>
    </row>
    <row r="196" spans="1:17" x14ac:dyDescent="0.25">
      <c r="A196" s="5"/>
      <c r="B196" s="5"/>
      <c r="C196" s="5"/>
      <c r="D196" s="5"/>
      <c r="E196" s="5"/>
      <c r="F196" s="5"/>
      <c r="G196" s="5"/>
      <c r="H196" s="5" t="s">
        <v>23</v>
      </c>
      <c r="I196" s="6">
        <v>44778</v>
      </c>
      <c r="J196" s="5" t="s">
        <v>193</v>
      </c>
      <c r="K196" s="5" t="s">
        <v>413</v>
      </c>
      <c r="L196" s="5"/>
      <c r="M196" s="5"/>
      <c r="N196" s="7"/>
      <c r="O196" s="5" t="s">
        <v>553</v>
      </c>
      <c r="P196" s="8">
        <v>729.6</v>
      </c>
      <c r="Q196" s="8">
        <f t="shared" si="2"/>
        <v>234371.34</v>
      </c>
    </row>
    <row r="197" spans="1:17" x14ac:dyDescent="0.25">
      <c r="A197" s="5"/>
      <c r="B197" s="5"/>
      <c r="C197" s="5"/>
      <c r="D197" s="5"/>
      <c r="E197" s="5"/>
      <c r="F197" s="5"/>
      <c r="G197" s="5"/>
      <c r="H197" s="5" t="s">
        <v>23</v>
      </c>
      <c r="I197" s="6">
        <v>44778</v>
      </c>
      <c r="J197" s="5" t="s">
        <v>194</v>
      </c>
      <c r="K197" s="5" t="s">
        <v>413</v>
      </c>
      <c r="L197" s="5"/>
      <c r="M197" s="5"/>
      <c r="N197" s="7"/>
      <c r="O197" s="5" t="s">
        <v>553</v>
      </c>
      <c r="P197" s="8">
        <v>606.29999999999995</v>
      </c>
      <c r="Q197" s="8">
        <f t="shared" ref="Q197:Q260" si="3">ROUND(Q196+P197,5)</f>
        <v>234977.64</v>
      </c>
    </row>
    <row r="198" spans="1:17" x14ac:dyDescent="0.25">
      <c r="A198" s="5"/>
      <c r="B198" s="5"/>
      <c r="C198" s="5"/>
      <c r="D198" s="5"/>
      <c r="E198" s="5"/>
      <c r="F198" s="5"/>
      <c r="G198" s="5"/>
      <c r="H198" s="5" t="s">
        <v>23</v>
      </c>
      <c r="I198" s="6">
        <v>44778</v>
      </c>
      <c r="J198" s="5" t="s">
        <v>195</v>
      </c>
      <c r="K198" s="5" t="s">
        <v>413</v>
      </c>
      <c r="L198" s="5"/>
      <c r="M198" s="5"/>
      <c r="N198" s="7"/>
      <c r="O198" s="5" t="s">
        <v>553</v>
      </c>
      <c r="P198" s="8">
        <v>933.45</v>
      </c>
      <c r="Q198" s="8">
        <f t="shared" si="3"/>
        <v>235911.09</v>
      </c>
    </row>
    <row r="199" spans="1:17" x14ac:dyDescent="0.25">
      <c r="A199" s="5"/>
      <c r="B199" s="5"/>
      <c r="C199" s="5"/>
      <c r="D199" s="5"/>
      <c r="E199" s="5"/>
      <c r="F199" s="5"/>
      <c r="G199" s="5"/>
      <c r="H199" s="5" t="s">
        <v>23</v>
      </c>
      <c r="I199" s="6">
        <v>44778</v>
      </c>
      <c r="J199" s="5" t="s">
        <v>196</v>
      </c>
      <c r="K199" s="5" t="s">
        <v>413</v>
      </c>
      <c r="L199" s="5"/>
      <c r="M199" s="5"/>
      <c r="N199" s="7"/>
      <c r="O199" s="5" t="s">
        <v>553</v>
      </c>
      <c r="P199" s="8">
        <v>831.52</v>
      </c>
      <c r="Q199" s="8">
        <f t="shared" si="3"/>
        <v>236742.61</v>
      </c>
    </row>
    <row r="200" spans="1:17" x14ac:dyDescent="0.25">
      <c r="A200" s="5"/>
      <c r="B200" s="5"/>
      <c r="C200" s="5"/>
      <c r="D200" s="5"/>
      <c r="E200" s="5"/>
      <c r="F200" s="5"/>
      <c r="G200" s="5"/>
      <c r="H200" s="5" t="s">
        <v>23</v>
      </c>
      <c r="I200" s="6">
        <v>44778</v>
      </c>
      <c r="J200" s="5" t="s">
        <v>197</v>
      </c>
      <c r="K200" s="5" t="s">
        <v>412</v>
      </c>
      <c r="L200" s="5"/>
      <c r="M200" s="5"/>
      <c r="N200" s="7"/>
      <c r="O200" s="5" t="s">
        <v>553</v>
      </c>
      <c r="P200" s="8">
        <v>44.13</v>
      </c>
      <c r="Q200" s="8">
        <f t="shared" si="3"/>
        <v>236786.74</v>
      </c>
    </row>
    <row r="201" spans="1:17" x14ac:dyDescent="0.25">
      <c r="A201" s="5"/>
      <c r="B201" s="5"/>
      <c r="C201" s="5"/>
      <c r="D201" s="5"/>
      <c r="E201" s="5"/>
      <c r="F201" s="5"/>
      <c r="G201" s="5"/>
      <c r="H201" s="5" t="s">
        <v>23</v>
      </c>
      <c r="I201" s="6">
        <v>44778</v>
      </c>
      <c r="J201" s="5" t="s">
        <v>198</v>
      </c>
      <c r="K201" s="5" t="s">
        <v>413</v>
      </c>
      <c r="L201" s="5"/>
      <c r="M201" s="5"/>
      <c r="N201" s="7"/>
      <c r="O201" s="5" t="s">
        <v>553</v>
      </c>
      <c r="P201" s="8">
        <v>507.41</v>
      </c>
      <c r="Q201" s="8">
        <f t="shared" si="3"/>
        <v>237294.15</v>
      </c>
    </row>
    <row r="202" spans="1:17" x14ac:dyDescent="0.25">
      <c r="A202" s="5"/>
      <c r="B202" s="5"/>
      <c r="C202" s="5"/>
      <c r="D202" s="5"/>
      <c r="E202" s="5"/>
      <c r="F202" s="5"/>
      <c r="G202" s="5"/>
      <c r="H202" s="5" t="s">
        <v>23</v>
      </c>
      <c r="I202" s="6">
        <v>44780</v>
      </c>
      <c r="J202" s="5" t="s">
        <v>199</v>
      </c>
      <c r="K202" s="5" t="s">
        <v>413</v>
      </c>
      <c r="L202" s="5"/>
      <c r="M202" s="5"/>
      <c r="N202" s="7"/>
      <c r="O202" s="5" t="s">
        <v>553</v>
      </c>
      <c r="P202" s="8">
        <v>596.95000000000005</v>
      </c>
      <c r="Q202" s="8">
        <f t="shared" si="3"/>
        <v>237891.1</v>
      </c>
    </row>
    <row r="203" spans="1:17" x14ac:dyDescent="0.25">
      <c r="A203" s="5"/>
      <c r="B203" s="5"/>
      <c r="C203" s="5"/>
      <c r="D203" s="5"/>
      <c r="E203" s="5"/>
      <c r="F203" s="5"/>
      <c r="G203" s="5"/>
      <c r="H203" s="5" t="s">
        <v>23</v>
      </c>
      <c r="I203" s="6">
        <v>44780</v>
      </c>
      <c r="J203" s="5" t="s">
        <v>200</v>
      </c>
      <c r="K203" s="5" t="s">
        <v>413</v>
      </c>
      <c r="L203" s="5"/>
      <c r="M203" s="5"/>
      <c r="N203" s="7"/>
      <c r="O203" s="5" t="s">
        <v>553</v>
      </c>
      <c r="P203" s="8">
        <v>580.65</v>
      </c>
      <c r="Q203" s="8">
        <f t="shared" si="3"/>
        <v>238471.75</v>
      </c>
    </row>
    <row r="204" spans="1:17" x14ac:dyDescent="0.25">
      <c r="A204" s="5"/>
      <c r="B204" s="5"/>
      <c r="C204" s="5"/>
      <c r="D204" s="5"/>
      <c r="E204" s="5"/>
      <c r="F204" s="5"/>
      <c r="G204" s="5"/>
      <c r="H204" s="5" t="s">
        <v>23</v>
      </c>
      <c r="I204" s="6">
        <v>44782</v>
      </c>
      <c r="J204" s="5" t="s">
        <v>201</v>
      </c>
      <c r="K204" s="5" t="s">
        <v>413</v>
      </c>
      <c r="L204" s="5"/>
      <c r="M204" s="5"/>
      <c r="N204" s="7"/>
      <c r="O204" s="5" t="s">
        <v>553</v>
      </c>
      <c r="P204" s="8">
        <v>1663.06</v>
      </c>
      <c r="Q204" s="8">
        <f t="shared" si="3"/>
        <v>240134.81</v>
      </c>
    </row>
    <row r="205" spans="1:17" x14ac:dyDescent="0.25">
      <c r="A205" s="5"/>
      <c r="B205" s="5"/>
      <c r="C205" s="5"/>
      <c r="D205" s="5"/>
      <c r="E205" s="5"/>
      <c r="F205" s="5"/>
      <c r="G205" s="5"/>
      <c r="H205" s="5" t="s">
        <v>23</v>
      </c>
      <c r="I205" s="6">
        <v>44782</v>
      </c>
      <c r="J205" s="5" t="s">
        <v>202</v>
      </c>
      <c r="K205" s="5" t="s">
        <v>413</v>
      </c>
      <c r="L205" s="5"/>
      <c r="M205" s="5"/>
      <c r="N205" s="7"/>
      <c r="O205" s="5" t="s">
        <v>553</v>
      </c>
      <c r="P205" s="8">
        <v>420.42</v>
      </c>
      <c r="Q205" s="8">
        <f t="shared" si="3"/>
        <v>240555.23</v>
      </c>
    </row>
    <row r="206" spans="1:17" x14ac:dyDescent="0.25">
      <c r="A206" s="5"/>
      <c r="B206" s="5"/>
      <c r="C206" s="5"/>
      <c r="D206" s="5"/>
      <c r="E206" s="5"/>
      <c r="F206" s="5"/>
      <c r="G206" s="5"/>
      <c r="H206" s="5" t="s">
        <v>23</v>
      </c>
      <c r="I206" s="6">
        <v>44782</v>
      </c>
      <c r="J206" s="5" t="s">
        <v>203</v>
      </c>
      <c r="K206" s="5" t="s">
        <v>413</v>
      </c>
      <c r="L206" s="5"/>
      <c r="M206" s="5"/>
      <c r="N206" s="7"/>
      <c r="O206" s="5" t="s">
        <v>553</v>
      </c>
      <c r="P206" s="8">
        <v>595</v>
      </c>
      <c r="Q206" s="8">
        <f t="shared" si="3"/>
        <v>241150.23</v>
      </c>
    </row>
    <row r="207" spans="1:17" x14ac:dyDescent="0.25">
      <c r="A207" s="5"/>
      <c r="B207" s="5"/>
      <c r="C207" s="5"/>
      <c r="D207" s="5"/>
      <c r="E207" s="5"/>
      <c r="F207" s="5"/>
      <c r="G207" s="5"/>
      <c r="H207" s="5" t="s">
        <v>23</v>
      </c>
      <c r="I207" s="6">
        <v>44782</v>
      </c>
      <c r="J207" s="5" t="s">
        <v>204</v>
      </c>
      <c r="K207" s="5" t="s">
        <v>413</v>
      </c>
      <c r="L207" s="5"/>
      <c r="M207" s="5"/>
      <c r="N207" s="7"/>
      <c r="O207" s="5" t="s">
        <v>553</v>
      </c>
      <c r="P207" s="8">
        <v>765.56</v>
      </c>
      <c r="Q207" s="8">
        <f t="shared" si="3"/>
        <v>241915.79</v>
      </c>
    </row>
    <row r="208" spans="1:17" x14ac:dyDescent="0.25">
      <c r="A208" s="5"/>
      <c r="B208" s="5"/>
      <c r="C208" s="5"/>
      <c r="D208" s="5"/>
      <c r="E208" s="5"/>
      <c r="F208" s="5"/>
      <c r="G208" s="5"/>
      <c r="H208" s="5" t="s">
        <v>23</v>
      </c>
      <c r="I208" s="6">
        <v>44782</v>
      </c>
      <c r="J208" s="5" t="s">
        <v>205</v>
      </c>
      <c r="K208" s="5" t="s">
        <v>413</v>
      </c>
      <c r="L208" s="5"/>
      <c r="M208" s="5"/>
      <c r="N208" s="7"/>
      <c r="O208" s="5" t="s">
        <v>553</v>
      </c>
      <c r="P208" s="8">
        <v>961.52</v>
      </c>
      <c r="Q208" s="8">
        <f t="shared" si="3"/>
        <v>242877.31</v>
      </c>
    </row>
    <row r="209" spans="1:17" x14ac:dyDescent="0.25">
      <c r="A209" s="5"/>
      <c r="B209" s="5"/>
      <c r="C209" s="5"/>
      <c r="D209" s="5"/>
      <c r="E209" s="5"/>
      <c r="F209" s="5"/>
      <c r="G209" s="5"/>
      <c r="H209" s="5" t="s">
        <v>23</v>
      </c>
      <c r="I209" s="6">
        <v>44782</v>
      </c>
      <c r="J209" s="5" t="s">
        <v>206</v>
      </c>
      <c r="K209" s="5" t="s">
        <v>412</v>
      </c>
      <c r="L209" s="5"/>
      <c r="M209" s="5"/>
      <c r="N209" s="7"/>
      <c r="O209" s="5" t="s">
        <v>553</v>
      </c>
      <c r="P209" s="8">
        <v>95</v>
      </c>
      <c r="Q209" s="8">
        <f t="shared" si="3"/>
        <v>242972.31</v>
      </c>
    </row>
    <row r="210" spans="1:17" x14ac:dyDescent="0.25">
      <c r="A210" s="5"/>
      <c r="B210" s="5"/>
      <c r="C210" s="5"/>
      <c r="D210" s="5"/>
      <c r="E210" s="5"/>
      <c r="F210" s="5"/>
      <c r="G210" s="5"/>
      <c r="H210" s="5" t="s">
        <v>23</v>
      </c>
      <c r="I210" s="6">
        <v>44783</v>
      </c>
      <c r="J210" s="5" t="s">
        <v>207</v>
      </c>
      <c r="K210" s="5" t="s">
        <v>412</v>
      </c>
      <c r="L210" s="5"/>
      <c r="M210" s="5"/>
      <c r="N210" s="7"/>
      <c r="O210" s="5" t="s">
        <v>553</v>
      </c>
      <c r="P210" s="8">
        <v>750</v>
      </c>
      <c r="Q210" s="8">
        <f t="shared" si="3"/>
        <v>243722.31</v>
      </c>
    </row>
    <row r="211" spans="1:17" x14ac:dyDescent="0.25">
      <c r="A211" s="5"/>
      <c r="B211" s="5"/>
      <c r="C211" s="5"/>
      <c r="D211" s="5"/>
      <c r="E211" s="5"/>
      <c r="F211" s="5"/>
      <c r="G211" s="5"/>
      <c r="H211" s="5" t="s">
        <v>23</v>
      </c>
      <c r="I211" s="6">
        <v>44783</v>
      </c>
      <c r="J211" s="5" t="s">
        <v>208</v>
      </c>
      <c r="K211" s="5" t="s">
        <v>412</v>
      </c>
      <c r="L211" s="5"/>
      <c r="M211" s="5"/>
      <c r="N211" s="7"/>
      <c r="O211" s="5" t="s">
        <v>553</v>
      </c>
      <c r="P211" s="8">
        <v>250</v>
      </c>
      <c r="Q211" s="8">
        <f t="shared" si="3"/>
        <v>243972.31</v>
      </c>
    </row>
    <row r="212" spans="1:17" x14ac:dyDescent="0.25">
      <c r="A212" s="5"/>
      <c r="B212" s="5"/>
      <c r="C212" s="5"/>
      <c r="D212" s="5"/>
      <c r="E212" s="5"/>
      <c r="F212" s="5"/>
      <c r="G212" s="5"/>
      <c r="H212" s="5" t="s">
        <v>23</v>
      </c>
      <c r="I212" s="6">
        <v>44784</v>
      </c>
      <c r="J212" s="5" t="s">
        <v>209</v>
      </c>
      <c r="K212" s="5" t="s">
        <v>413</v>
      </c>
      <c r="L212" s="5"/>
      <c r="M212" s="5"/>
      <c r="N212" s="7"/>
      <c r="O212" s="5" t="s">
        <v>553</v>
      </c>
      <c r="P212" s="8">
        <v>765.95</v>
      </c>
      <c r="Q212" s="8">
        <f t="shared" si="3"/>
        <v>244738.26</v>
      </c>
    </row>
    <row r="213" spans="1:17" x14ac:dyDescent="0.25">
      <c r="A213" s="5"/>
      <c r="B213" s="5"/>
      <c r="C213" s="5"/>
      <c r="D213" s="5"/>
      <c r="E213" s="5"/>
      <c r="F213" s="5"/>
      <c r="G213" s="5"/>
      <c r="H213" s="5" t="s">
        <v>23</v>
      </c>
      <c r="I213" s="6">
        <v>44784</v>
      </c>
      <c r="J213" s="5" t="s">
        <v>210</v>
      </c>
      <c r="K213" s="5" t="s">
        <v>413</v>
      </c>
      <c r="L213" s="5"/>
      <c r="M213" s="5"/>
      <c r="N213" s="7"/>
      <c r="O213" s="5" t="s">
        <v>553</v>
      </c>
      <c r="P213" s="8">
        <v>743.52</v>
      </c>
      <c r="Q213" s="8">
        <f t="shared" si="3"/>
        <v>245481.78</v>
      </c>
    </row>
    <row r="214" spans="1:17" x14ac:dyDescent="0.25">
      <c r="A214" s="5"/>
      <c r="B214" s="5"/>
      <c r="C214" s="5"/>
      <c r="D214" s="5"/>
      <c r="E214" s="5"/>
      <c r="F214" s="5"/>
      <c r="G214" s="5"/>
      <c r="H214" s="5" t="s">
        <v>23</v>
      </c>
      <c r="I214" s="6">
        <v>44784</v>
      </c>
      <c r="J214" s="5" t="s">
        <v>211</v>
      </c>
      <c r="K214" s="5" t="s">
        <v>413</v>
      </c>
      <c r="L214" s="5"/>
      <c r="M214" s="5"/>
      <c r="N214" s="7"/>
      <c r="O214" s="5" t="s">
        <v>553</v>
      </c>
      <c r="P214" s="8">
        <v>236.35</v>
      </c>
      <c r="Q214" s="8">
        <f t="shared" si="3"/>
        <v>245718.13</v>
      </c>
    </row>
    <row r="215" spans="1:17" x14ac:dyDescent="0.25">
      <c r="A215" s="5"/>
      <c r="B215" s="5"/>
      <c r="C215" s="5"/>
      <c r="D215" s="5"/>
      <c r="E215" s="5"/>
      <c r="F215" s="5"/>
      <c r="G215" s="5"/>
      <c r="H215" s="5" t="s">
        <v>23</v>
      </c>
      <c r="I215" s="6">
        <v>44784</v>
      </c>
      <c r="J215" s="5" t="s">
        <v>212</v>
      </c>
      <c r="K215" s="5" t="s">
        <v>413</v>
      </c>
      <c r="L215" s="5"/>
      <c r="M215" s="5"/>
      <c r="N215" s="7"/>
      <c r="O215" s="5" t="s">
        <v>553</v>
      </c>
      <c r="P215" s="8">
        <v>944.62</v>
      </c>
      <c r="Q215" s="8">
        <f t="shared" si="3"/>
        <v>246662.75</v>
      </c>
    </row>
    <row r="216" spans="1:17" x14ac:dyDescent="0.25">
      <c r="A216" s="5"/>
      <c r="B216" s="5"/>
      <c r="C216" s="5"/>
      <c r="D216" s="5"/>
      <c r="E216" s="5"/>
      <c r="F216" s="5"/>
      <c r="G216" s="5"/>
      <c r="H216" s="5" t="s">
        <v>23</v>
      </c>
      <c r="I216" s="6">
        <v>44784</v>
      </c>
      <c r="J216" s="5" t="s">
        <v>213</v>
      </c>
      <c r="K216" s="5" t="s">
        <v>412</v>
      </c>
      <c r="L216" s="5"/>
      <c r="M216" s="5"/>
      <c r="N216" s="7"/>
      <c r="O216" s="5" t="s">
        <v>553</v>
      </c>
      <c r="P216" s="8">
        <v>1017.5</v>
      </c>
      <c r="Q216" s="8">
        <f t="shared" si="3"/>
        <v>247680.25</v>
      </c>
    </row>
    <row r="217" spans="1:17" x14ac:dyDescent="0.25">
      <c r="A217" s="5"/>
      <c r="B217" s="5"/>
      <c r="C217" s="5"/>
      <c r="D217" s="5"/>
      <c r="E217" s="5"/>
      <c r="F217" s="5"/>
      <c r="G217" s="5"/>
      <c r="H217" s="5" t="s">
        <v>23</v>
      </c>
      <c r="I217" s="6">
        <v>44784</v>
      </c>
      <c r="J217" s="5" t="s">
        <v>214</v>
      </c>
      <c r="K217" s="5" t="s">
        <v>412</v>
      </c>
      <c r="L217" s="5"/>
      <c r="M217" s="5"/>
      <c r="N217" s="7"/>
      <c r="O217" s="5" t="s">
        <v>553</v>
      </c>
      <c r="P217" s="8">
        <v>237.56</v>
      </c>
      <c r="Q217" s="8">
        <f t="shared" si="3"/>
        <v>247917.81</v>
      </c>
    </row>
    <row r="218" spans="1:17" x14ac:dyDescent="0.25">
      <c r="A218" s="5"/>
      <c r="B218" s="5"/>
      <c r="C218" s="5"/>
      <c r="D218" s="5"/>
      <c r="E218" s="5"/>
      <c r="F218" s="5"/>
      <c r="G218" s="5"/>
      <c r="H218" s="5" t="s">
        <v>23</v>
      </c>
      <c r="I218" s="6">
        <v>44784</v>
      </c>
      <c r="J218" s="5" t="s">
        <v>215</v>
      </c>
      <c r="K218" s="5" t="s">
        <v>413</v>
      </c>
      <c r="L218" s="5"/>
      <c r="M218" s="5"/>
      <c r="N218" s="7"/>
      <c r="O218" s="5" t="s">
        <v>553</v>
      </c>
      <c r="P218" s="8">
        <v>60</v>
      </c>
      <c r="Q218" s="8">
        <f t="shared" si="3"/>
        <v>247977.81</v>
      </c>
    </row>
    <row r="219" spans="1:17" x14ac:dyDescent="0.25">
      <c r="A219" s="5"/>
      <c r="B219" s="5"/>
      <c r="C219" s="5"/>
      <c r="D219" s="5"/>
      <c r="E219" s="5"/>
      <c r="F219" s="5"/>
      <c r="G219" s="5"/>
      <c r="H219" s="5" t="s">
        <v>23</v>
      </c>
      <c r="I219" s="6">
        <v>44784</v>
      </c>
      <c r="J219" s="5" t="s">
        <v>216</v>
      </c>
      <c r="K219" s="5" t="s">
        <v>413</v>
      </c>
      <c r="L219" s="5"/>
      <c r="M219" s="5"/>
      <c r="N219" s="7"/>
      <c r="O219" s="5" t="s">
        <v>553</v>
      </c>
      <c r="P219" s="8">
        <v>70</v>
      </c>
      <c r="Q219" s="8">
        <f t="shared" si="3"/>
        <v>248047.81</v>
      </c>
    </row>
    <row r="220" spans="1:17" x14ac:dyDescent="0.25">
      <c r="A220" s="5"/>
      <c r="B220" s="5"/>
      <c r="C220" s="5"/>
      <c r="D220" s="5"/>
      <c r="E220" s="5"/>
      <c r="F220" s="5"/>
      <c r="G220" s="5"/>
      <c r="H220" s="5" t="s">
        <v>23</v>
      </c>
      <c r="I220" s="6">
        <v>44785</v>
      </c>
      <c r="J220" s="5" t="s">
        <v>217</v>
      </c>
      <c r="K220" s="5" t="s">
        <v>412</v>
      </c>
      <c r="L220" s="5"/>
      <c r="M220" s="5"/>
      <c r="N220" s="7"/>
      <c r="O220" s="5" t="s">
        <v>553</v>
      </c>
      <c r="P220" s="8">
        <v>372.47</v>
      </c>
      <c r="Q220" s="8">
        <f t="shared" si="3"/>
        <v>248420.28</v>
      </c>
    </row>
    <row r="221" spans="1:17" x14ac:dyDescent="0.25">
      <c r="A221" s="5"/>
      <c r="B221" s="5"/>
      <c r="C221" s="5"/>
      <c r="D221" s="5"/>
      <c r="E221" s="5"/>
      <c r="F221" s="5"/>
      <c r="G221" s="5"/>
      <c r="H221" s="5" t="s">
        <v>23</v>
      </c>
      <c r="I221" s="6">
        <v>44785</v>
      </c>
      <c r="J221" s="5" t="s">
        <v>218</v>
      </c>
      <c r="K221" s="5" t="s">
        <v>422</v>
      </c>
      <c r="L221" s="5" t="s">
        <v>493</v>
      </c>
      <c r="M221" s="5"/>
      <c r="N221" s="7"/>
      <c r="O221" s="5" t="s">
        <v>553</v>
      </c>
      <c r="P221" s="8">
        <v>22500</v>
      </c>
      <c r="Q221" s="8">
        <f t="shared" si="3"/>
        <v>270920.28000000003</v>
      </c>
    </row>
    <row r="222" spans="1:17" x14ac:dyDescent="0.25">
      <c r="A222" s="5"/>
      <c r="B222" s="5"/>
      <c r="C222" s="5"/>
      <c r="D222" s="5"/>
      <c r="E222" s="5"/>
      <c r="F222" s="5"/>
      <c r="G222" s="5"/>
      <c r="H222" s="5" t="s">
        <v>23</v>
      </c>
      <c r="I222" s="6">
        <v>44787</v>
      </c>
      <c r="J222" s="5" t="s">
        <v>81</v>
      </c>
      <c r="K222" s="5" t="s">
        <v>420</v>
      </c>
      <c r="L222" s="5"/>
      <c r="M222" s="5"/>
      <c r="N222" s="7"/>
      <c r="O222" s="5" t="s">
        <v>553</v>
      </c>
      <c r="P222" s="8">
        <v>17200</v>
      </c>
      <c r="Q222" s="8">
        <f t="shared" si="3"/>
        <v>288120.28000000003</v>
      </c>
    </row>
    <row r="223" spans="1:17" x14ac:dyDescent="0.25">
      <c r="A223" s="5"/>
      <c r="B223" s="5"/>
      <c r="C223" s="5"/>
      <c r="D223" s="5"/>
      <c r="E223" s="5"/>
      <c r="F223" s="5"/>
      <c r="G223" s="5"/>
      <c r="H223" s="5" t="s">
        <v>23</v>
      </c>
      <c r="I223" s="6">
        <v>44788</v>
      </c>
      <c r="J223" s="5" t="s">
        <v>219</v>
      </c>
      <c r="K223" s="5" t="s">
        <v>413</v>
      </c>
      <c r="L223" s="5"/>
      <c r="M223" s="5"/>
      <c r="N223" s="7"/>
      <c r="O223" s="5" t="s">
        <v>553</v>
      </c>
      <c r="P223" s="8">
        <v>1653.08</v>
      </c>
      <c r="Q223" s="8">
        <f t="shared" si="3"/>
        <v>289773.36</v>
      </c>
    </row>
    <row r="224" spans="1:17" x14ac:dyDescent="0.25">
      <c r="A224" s="5"/>
      <c r="B224" s="5"/>
      <c r="C224" s="5"/>
      <c r="D224" s="5"/>
      <c r="E224" s="5"/>
      <c r="F224" s="5"/>
      <c r="G224" s="5"/>
      <c r="H224" s="5" t="s">
        <v>23</v>
      </c>
      <c r="I224" s="6">
        <v>44788</v>
      </c>
      <c r="J224" s="5" t="s">
        <v>220</v>
      </c>
      <c r="K224" s="5" t="s">
        <v>413</v>
      </c>
      <c r="L224" s="5"/>
      <c r="M224" s="5"/>
      <c r="N224" s="7"/>
      <c r="O224" s="5" t="s">
        <v>553</v>
      </c>
      <c r="P224" s="8">
        <v>927.17</v>
      </c>
      <c r="Q224" s="8">
        <f t="shared" si="3"/>
        <v>290700.53000000003</v>
      </c>
    </row>
    <row r="225" spans="1:17" x14ac:dyDescent="0.25">
      <c r="A225" s="5"/>
      <c r="B225" s="5"/>
      <c r="C225" s="5"/>
      <c r="D225" s="5"/>
      <c r="E225" s="5"/>
      <c r="F225" s="5"/>
      <c r="G225" s="5"/>
      <c r="H225" s="5" t="s">
        <v>23</v>
      </c>
      <c r="I225" s="6">
        <v>44788</v>
      </c>
      <c r="J225" s="5" t="s">
        <v>221</v>
      </c>
      <c r="K225" s="5" t="s">
        <v>413</v>
      </c>
      <c r="L225" s="5"/>
      <c r="M225" s="5"/>
      <c r="N225" s="7"/>
      <c r="O225" s="5" t="s">
        <v>553</v>
      </c>
      <c r="P225" s="8">
        <v>426.42</v>
      </c>
      <c r="Q225" s="8">
        <f t="shared" si="3"/>
        <v>291126.95</v>
      </c>
    </row>
    <row r="226" spans="1:17" x14ac:dyDescent="0.25">
      <c r="A226" s="5"/>
      <c r="B226" s="5"/>
      <c r="C226" s="5"/>
      <c r="D226" s="5"/>
      <c r="E226" s="5"/>
      <c r="F226" s="5"/>
      <c r="G226" s="5"/>
      <c r="H226" s="5" t="s">
        <v>23</v>
      </c>
      <c r="I226" s="6">
        <v>44788</v>
      </c>
      <c r="J226" s="5" t="s">
        <v>222</v>
      </c>
      <c r="K226" s="5" t="s">
        <v>413</v>
      </c>
      <c r="L226" s="5"/>
      <c r="M226" s="5"/>
      <c r="N226" s="7"/>
      <c r="O226" s="5" t="s">
        <v>553</v>
      </c>
      <c r="P226" s="8">
        <v>1142.58</v>
      </c>
      <c r="Q226" s="8">
        <f t="shared" si="3"/>
        <v>292269.53000000003</v>
      </c>
    </row>
    <row r="227" spans="1:17" x14ac:dyDescent="0.25">
      <c r="A227" s="5"/>
      <c r="B227" s="5"/>
      <c r="C227" s="5"/>
      <c r="D227" s="5"/>
      <c r="E227" s="5"/>
      <c r="F227" s="5"/>
      <c r="G227" s="5"/>
      <c r="H227" s="5" t="s">
        <v>23</v>
      </c>
      <c r="I227" s="6">
        <v>44788</v>
      </c>
      <c r="J227" s="5" t="s">
        <v>223</v>
      </c>
      <c r="K227" s="5" t="s">
        <v>413</v>
      </c>
      <c r="L227" s="5"/>
      <c r="M227" s="5"/>
      <c r="N227" s="7"/>
      <c r="O227" s="5" t="s">
        <v>553</v>
      </c>
      <c r="P227" s="8">
        <v>1003.75</v>
      </c>
      <c r="Q227" s="8">
        <f t="shared" si="3"/>
        <v>293273.28000000003</v>
      </c>
    </row>
    <row r="228" spans="1:17" x14ac:dyDescent="0.25">
      <c r="A228" s="5"/>
      <c r="B228" s="5"/>
      <c r="C228" s="5"/>
      <c r="D228" s="5"/>
      <c r="E228" s="5"/>
      <c r="F228" s="5"/>
      <c r="G228" s="5"/>
      <c r="H228" s="5" t="s">
        <v>23</v>
      </c>
      <c r="I228" s="6">
        <v>44788</v>
      </c>
      <c r="J228" s="5" t="s">
        <v>224</v>
      </c>
      <c r="K228" s="5" t="s">
        <v>413</v>
      </c>
      <c r="L228" s="5"/>
      <c r="M228" s="5"/>
      <c r="N228" s="7"/>
      <c r="O228" s="5" t="s">
        <v>553</v>
      </c>
      <c r="P228" s="8">
        <v>936.14</v>
      </c>
      <c r="Q228" s="8">
        <f t="shared" si="3"/>
        <v>294209.42</v>
      </c>
    </row>
    <row r="229" spans="1:17" x14ac:dyDescent="0.25">
      <c r="A229" s="5"/>
      <c r="B229" s="5"/>
      <c r="C229" s="5"/>
      <c r="D229" s="5"/>
      <c r="E229" s="5"/>
      <c r="F229" s="5"/>
      <c r="G229" s="5"/>
      <c r="H229" s="5" t="s">
        <v>23</v>
      </c>
      <c r="I229" s="6">
        <v>44788</v>
      </c>
      <c r="J229" s="5" t="s">
        <v>225</v>
      </c>
      <c r="K229" s="5" t="s">
        <v>413</v>
      </c>
      <c r="L229" s="5"/>
      <c r="M229" s="5"/>
      <c r="N229" s="7"/>
      <c r="O229" s="5" t="s">
        <v>553</v>
      </c>
      <c r="P229" s="8">
        <v>955.44</v>
      </c>
      <c r="Q229" s="8">
        <f t="shared" si="3"/>
        <v>295164.86</v>
      </c>
    </row>
    <row r="230" spans="1:17" x14ac:dyDescent="0.25">
      <c r="A230" s="5"/>
      <c r="B230" s="5"/>
      <c r="C230" s="5"/>
      <c r="D230" s="5"/>
      <c r="E230" s="5"/>
      <c r="F230" s="5"/>
      <c r="G230" s="5"/>
      <c r="H230" s="5" t="s">
        <v>23</v>
      </c>
      <c r="I230" s="6">
        <v>44788</v>
      </c>
      <c r="J230" s="5" t="s">
        <v>226</v>
      </c>
      <c r="K230" s="5" t="s">
        <v>413</v>
      </c>
      <c r="L230" s="5"/>
      <c r="M230" s="5"/>
      <c r="N230" s="7"/>
      <c r="O230" s="5" t="s">
        <v>553</v>
      </c>
      <c r="P230" s="8">
        <v>1412.9</v>
      </c>
      <c r="Q230" s="8">
        <f t="shared" si="3"/>
        <v>296577.76</v>
      </c>
    </row>
    <row r="231" spans="1:17" x14ac:dyDescent="0.25">
      <c r="A231" s="5"/>
      <c r="B231" s="5"/>
      <c r="C231" s="5"/>
      <c r="D231" s="5"/>
      <c r="E231" s="5"/>
      <c r="F231" s="5"/>
      <c r="G231" s="5"/>
      <c r="H231" s="5" t="s">
        <v>23</v>
      </c>
      <c r="I231" s="6">
        <v>44788</v>
      </c>
      <c r="J231" s="5" t="s">
        <v>227</v>
      </c>
      <c r="K231" s="5" t="s">
        <v>413</v>
      </c>
      <c r="L231" s="5"/>
      <c r="M231" s="5"/>
      <c r="N231" s="7"/>
      <c r="O231" s="5" t="s">
        <v>553</v>
      </c>
      <c r="P231" s="8">
        <v>123.4</v>
      </c>
      <c r="Q231" s="8">
        <f t="shared" si="3"/>
        <v>296701.15999999997</v>
      </c>
    </row>
    <row r="232" spans="1:17" x14ac:dyDescent="0.25">
      <c r="A232" s="5"/>
      <c r="B232" s="5"/>
      <c r="C232" s="5"/>
      <c r="D232" s="5"/>
      <c r="E232" s="5"/>
      <c r="F232" s="5"/>
      <c r="G232" s="5"/>
      <c r="H232" s="5" t="s">
        <v>23</v>
      </c>
      <c r="I232" s="6">
        <v>44788</v>
      </c>
      <c r="J232" s="5" t="s">
        <v>228</v>
      </c>
      <c r="K232" s="5" t="s">
        <v>413</v>
      </c>
      <c r="L232" s="5"/>
      <c r="M232" s="5"/>
      <c r="N232" s="7"/>
      <c r="O232" s="5" t="s">
        <v>553</v>
      </c>
      <c r="P232" s="8">
        <v>775.9</v>
      </c>
      <c r="Q232" s="8">
        <f t="shared" si="3"/>
        <v>297477.06</v>
      </c>
    </row>
    <row r="233" spans="1:17" x14ac:dyDescent="0.25">
      <c r="A233" s="5"/>
      <c r="B233" s="5"/>
      <c r="C233" s="5"/>
      <c r="D233" s="5"/>
      <c r="E233" s="5"/>
      <c r="F233" s="5"/>
      <c r="G233" s="5"/>
      <c r="H233" s="5" t="s">
        <v>23</v>
      </c>
      <c r="I233" s="6">
        <v>44788</v>
      </c>
      <c r="J233" s="5" t="s">
        <v>229</v>
      </c>
      <c r="K233" s="5" t="s">
        <v>412</v>
      </c>
      <c r="L233" s="5"/>
      <c r="M233" s="5"/>
      <c r="N233" s="7"/>
      <c r="O233" s="5" t="s">
        <v>553</v>
      </c>
      <c r="P233" s="8">
        <v>254.24</v>
      </c>
      <c r="Q233" s="8">
        <f t="shared" si="3"/>
        <v>297731.3</v>
      </c>
    </row>
    <row r="234" spans="1:17" x14ac:dyDescent="0.25">
      <c r="A234" s="5"/>
      <c r="B234" s="5"/>
      <c r="C234" s="5"/>
      <c r="D234" s="5"/>
      <c r="E234" s="5"/>
      <c r="F234" s="5"/>
      <c r="G234" s="5"/>
      <c r="H234" s="5" t="s">
        <v>23</v>
      </c>
      <c r="I234" s="6">
        <v>44789</v>
      </c>
      <c r="J234" s="5" t="s">
        <v>230</v>
      </c>
      <c r="K234" s="5" t="s">
        <v>412</v>
      </c>
      <c r="L234" s="5"/>
      <c r="M234" s="5"/>
      <c r="N234" s="7"/>
      <c r="O234" s="5" t="s">
        <v>553</v>
      </c>
      <c r="P234" s="8">
        <v>370.2</v>
      </c>
      <c r="Q234" s="8">
        <f t="shared" si="3"/>
        <v>298101.5</v>
      </c>
    </row>
    <row r="235" spans="1:17" x14ac:dyDescent="0.25">
      <c r="A235" s="5"/>
      <c r="B235" s="5"/>
      <c r="C235" s="5"/>
      <c r="D235" s="5"/>
      <c r="E235" s="5"/>
      <c r="F235" s="5"/>
      <c r="G235" s="5"/>
      <c r="H235" s="5" t="s">
        <v>23</v>
      </c>
      <c r="I235" s="6">
        <v>44790</v>
      </c>
      <c r="J235" s="5" t="s">
        <v>231</v>
      </c>
      <c r="K235" s="5" t="s">
        <v>412</v>
      </c>
      <c r="L235" s="5"/>
      <c r="M235" s="5"/>
      <c r="N235" s="7"/>
      <c r="O235" s="5" t="s">
        <v>553</v>
      </c>
      <c r="P235" s="8">
        <v>902.25</v>
      </c>
      <c r="Q235" s="8">
        <f t="shared" si="3"/>
        <v>299003.75</v>
      </c>
    </row>
    <row r="236" spans="1:17" x14ac:dyDescent="0.25">
      <c r="A236" s="5"/>
      <c r="B236" s="5"/>
      <c r="C236" s="5"/>
      <c r="D236" s="5"/>
      <c r="E236" s="5"/>
      <c r="F236" s="5"/>
      <c r="G236" s="5"/>
      <c r="H236" s="5" t="s">
        <v>23</v>
      </c>
      <c r="I236" s="6">
        <v>44795</v>
      </c>
      <c r="J236" s="5" t="s">
        <v>232</v>
      </c>
      <c r="K236" s="5" t="s">
        <v>413</v>
      </c>
      <c r="L236" s="5"/>
      <c r="M236" s="5"/>
      <c r="N236" s="7"/>
      <c r="O236" s="5" t="s">
        <v>553</v>
      </c>
      <c r="P236" s="8">
        <v>618.54</v>
      </c>
      <c r="Q236" s="8">
        <f t="shared" si="3"/>
        <v>299622.28999999998</v>
      </c>
    </row>
    <row r="237" spans="1:17" x14ac:dyDescent="0.25">
      <c r="A237" s="5"/>
      <c r="B237" s="5"/>
      <c r="C237" s="5"/>
      <c r="D237" s="5"/>
      <c r="E237" s="5"/>
      <c r="F237" s="5"/>
      <c r="G237" s="5"/>
      <c r="H237" s="5" t="s">
        <v>23</v>
      </c>
      <c r="I237" s="6">
        <v>44795</v>
      </c>
      <c r="J237" s="5" t="s">
        <v>233</v>
      </c>
      <c r="K237" s="5" t="s">
        <v>413</v>
      </c>
      <c r="L237" s="5"/>
      <c r="M237" s="5"/>
      <c r="N237" s="7"/>
      <c r="O237" s="5" t="s">
        <v>553</v>
      </c>
      <c r="P237" s="8">
        <v>896.46</v>
      </c>
      <c r="Q237" s="8">
        <f t="shared" si="3"/>
        <v>300518.75</v>
      </c>
    </row>
    <row r="238" spans="1:17" x14ac:dyDescent="0.25">
      <c r="A238" s="5"/>
      <c r="B238" s="5"/>
      <c r="C238" s="5"/>
      <c r="D238" s="5"/>
      <c r="E238" s="5"/>
      <c r="F238" s="5"/>
      <c r="G238" s="5"/>
      <c r="H238" s="5" t="s">
        <v>23</v>
      </c>
      <c r="I238" s="6">
        <v>44795</v>
      </c>
      <c r="J238" s="5" t="s">
        <v>234</v>
      </c>
      <c r="K238" s="5" t="s">
        <v>413</v>
      </c>
      <c r="L238" s="5"/>
      <c r="M238" s="5"/>
      <c r="N238" s="7"/>
      <c r="O238" s="5" t="s">
        <v>553</v>
      </c>
      <c r="P238" s="8">
        <v>604.45000000000005</v>
      </c>
      <c r="Q238" s="8">
        <f t="shared" si="3"/>
        <v>301123.20000000001</v>
      </c>
    </row>
    <row r="239" spans="1:17" x14ac:dyDescent="0.25">
      <c r="A239" s="5"/>
      <c r="B239" s="5"/>
      <c r="C239" s="5"/>
      <c r="D239" s="5"/>
      <c r="E239" s="5"/>
      <c r="F239" s="5"/>
      <c r="G239" s="5"/>
      <c r="H239" s="5" t="s">
        <v>23</v>
      </c>
      <c r="I239" s="6">
        <v>44795</v>
      </c>
      <c r="J239" s="5" t="s">
        <v>235</v>
      </c>
      <c r="K239" s="5" t="s">
        <v>413</v>
      </c>
      <c r="L239" s="5"/>
      <c r="M239" s="5"/>
      <c r="N239" s="7"/>
      <c r="O239" s="5" t="s">
        <v>553</v>
      </c>
      <c r="P239" s="8">
        <v>743.52</v>
      </c>
      <c r="Q239" s="8">
        <f t="shared" si="3"/>
        <v>301866.71999999997</v>
      </c>
    </row>
    <row r="240" spans="1:17" x14ac:dyDescent="0.25">
      <c r="A240" s="5"/>
      <c r="B240" s="5"/>
      <c r="C240" s="5"/>
      <c r="D240" s="5"/>
      <c r="E240" s="5"/>
      <c r="F240" s="5"/>
      <c r="G240" s="5"/>
      <c r="H240" s="5" t="s">
        <v>23</v>
      </c>
      <c r="I240" s="6">
        <v>44795</v>
      </c>
      <c r="J240" s="5" t="s">
        <v>236</v>
      </c>
      <c r="K240" s="5" t="s">
        <v>413</v>
      </c>
      <c r="L240" s="5"/>
      <c r="M240" s="5"/>
      <c r="N240" s="7"/>
      <c r="O240" s="5" t="s">
        <v>553</v>
      </c>
      <c r="P240" s="8">
        <v>1024.4000000000001</v>
      </c>
      <c r="Q240" s="8">
        <f t="shared" si="3"/>
        <v>302891.12</v>
      </c>
    </row>
    <row r="241" spans="1:17" x14ac:dyDescent="0.25">
      <c r="A241" s="5"/>
      <c r="B241" s="5"/>
      <c r="C241" s="5"/>
      <c r="D241" s="5"/>
      <c r="E241" s="5"/>
      <c r="F241" s="5"/>
      <c r="G241" s="5"/>
      <c r="H241" s="5" t="s">
        <v>23</v>
      </c>
      <c r="I241" s="6">
        <v>44795</v>
      </c>
      <c r="J241" s="5" t="s">
        <v>237</v>
      </c>
      <c r="K241" s="5" t="s">
        <v>413</v>
      </c>
      <c r="L241" s="5"/>
      <c r="M241" s="5"/>
      <c r="N241" s="7"/>
      <c r="O241" s="5" t="s">
        <v>553</v>
      </c>
      <c r="P241" s="8">
        <v>686.3</v>
      </c>
      <c r="Q241" s="8">
        <f t="shared" si="3"/>
        <v>303577.42</v>
      </c>
    </row>
    <row r="242" spans="1:17" x14ac:dyDescent="0.25">
      <c r="A242" s="5"/>
      <c r="B242" s="5"/>
      <c r="C242" s="5"/>
      <c r="D242" s="5"/>
      <c r="E242" s="5"/>
      <c r="F242" s="5"/>
      <c r="G242" s="5"/>
      <c r="H242" s="5" t="s">
        <v>23</v>
      </c>
      <c r="I242" s="6">
        <v>44795</v>
      </c>
      <c r="J242" s="5" t="s">
        <v>238</v>
      </c>
      <c r="K242" s="5" t="s">
        <v>413</v>
      </c>
      <c r="L242" s="5"/>
      <c r="M242" s="5"/>
      <c r="N242" s="7"/>
      <c r="O242" s="5" t="s">
        <v>553</v>
      </c>
      <c r="P242" s="8">
        <v>340.95</v>
      </c>
      <c r="Q242" s="8">
        <f t="shared" si="3"/>
        <v>303918.37</v>
      </c>
    </row>
    <row r="243" spans="1:17" x14ac:dyDescent="0.25">
      <c r="A243" s="5"/>
      <c r="B243" s="5"/>
      <c r="C243" s="5"/>
      <c r="D243" s="5"/>
      <c r="E243" s="5"/>
      <c r="F243" s="5"/>
      <c r="G243" s="5"/>
      <c r="H243" s="5" t="s">
        <v>23</v>
      </c>
      <c r="I243" s="6">
        <v>44795</v>
      </c>
      <c r="J243" s="5" t="s">
        <v>239</v>
      </c>
      <c r="K243" s="5" t="s">
        <v>413</v>
      </c>
      <c r="L243" s="5"/>
      <c r="M243" s="5"/>
      <c r="N243" s="7"/>
      <c r="O243" s="5" t="s">
        <v>553</v>
      </c>
      <c r="P243" s="8">
        <v>70</v>
      </c>
      <c r="Q243" s="8">
        <f t="shared" si="3"/>
        <v>303988.37</v>
      </c>
    </row>
    <row r="244" spans="1:17" x14ac:dyDescent="0.25">
      <c r="A244" s="5"/>
      <c r="B244" s="5"/>
      <c r="C244" s="5"/>
      <c r="D244" s="5"/>
      <c r="E244" s="5"/>
      <c r="F244" s="5"/>
      <c r="G244" s="5"/>
      <c r="H244" s="5" t="s">
        <v>23</v>
      </c>
      <c r="I244" s="6">
        <v>44795</v>
      </c>
      <c r="J244" s="5" t="s">
        <v>240</v>
      </c>
      <c r="K244" s="5" t="s">
        <v>413</v>
      </c>
      <c r="L244" s="5"/>
      <c r="M244" s="5"/>
      <c r="N244" s="7"/>
      <c r="O244" s="5" t="s">
        <v>553</v>
      </c>
      <c r="P244" s="8">
        <v>101</v>
      </c>
      <c r="Q244" s="8">
        <f t="shared" si="3"/>
        <v>304089.37</v>
      </c>
    </row>
    <row r="245" spans="1:17" x14ac:dyDescent="0.25">
      <c r="A245" s="5"/>
      <c r="B245" s="5"/>
      <c r="C245" s="5"/>
      <c r="D245" s="5"/>
      <c r="E245" s="5"/>
      <c r="F245" s="5"/>
      <c r="G245" s="5"/>
      <c r="H245" s="5" t="s">
        <v>23</v>
      </c>
      <c r="I245" s="6">
        <v>44795</v>
      </c>
      <c r="J245" s="5" t="s">
        <v>241</v>
      </c>
      <c r="K245" s="5" t="s">
        <v>413</v>
      </c>
      <c r="L245" s="5"/>
      <c r="M245" s="5"/>
      <c r="N245" s="7"/>
      <c r="O245" s="5" t="s">
        <v>553</v>
      </c>
      <c r="P245" s="8">
        <v>908.35</v>
      </c>
      <c r="Q245" s="8">
        <f t="shared" si="3"/>
        <v>304997.71999999997</v>
      </c>
    </row>
    <row r="246" spans="1:17" x14ac:dyDescent="0.25">
      <c r="A246" s="5"/>
      <c r="B246" s="5"/>
      <c r="C246" s="5"/>
      <c r="D246" s="5"/>
      <c r="E246" s="5"/>
      <c r="F246" s="5"/>
      <c r="G246" s="5"/>
      <c r="H246" s="5" t="s">
        <v>23</v>
      </c>
      <c r="I246" s="6">
        <v>44795</v>
      </c>
      <c r="J246" s="5" t="s">
        <v>242</v>
      </c>
      <c r="K246" s="5" t="s">
        <v>412</v>
      </c>
      <c r="L246" s="5"/>
      <c r="M246" s="5"/>
      <c r="N246" s="7"/>
      <c r="O246" s="5" t="s">
        <v>553</v>
      </c>
      <c r="P246" s="8">
        <v>1888.97</v>
      </c>
      <c r="Q246" s="8">
        <f t="shared" si="3"/>
        <v>306886.69</v>
      </c>
    </row>
    <row r="247" spans="1:17" x14ac:dyDescent="0.25">
      <c r="A247" s="5"/>
      <c r="B247" s="5"/>
      <c r="C247" s="5"/>
      <c r="D247" s="5"/>
      <c r="E247" s="5"/>
      <c r="F247" s="5"/>
      <c r="G247" s="5"/>
      <c r="H247" s="5" t="s">
        <v>23</v>
      </c>
      <c r="I247" s="6">
        <v>44795</v>
      </c>
      <c r="J247" s="5" t="s">
        <v>243</v>
      </c>
      <c r="K247" s="5" t="s">
        <v>412</v>
      </c>
      <c r="L247" s="5"/>
      <c r="M247" s="5"/>
      <c r="N247" s="7"/>
      <c r="O247" s="5" t="s">
        <v>553</v>
      </c>
      <c r="P247" s="8">
        <v>286</v>
      </c>
      <c r="Q247" s="8">
        <f t="shared" si="3"/>
        <v>307172.69</v>
      </c>
    </row>
    <row r="248" spans="1:17" x14ac:dyDescent="0.25">
      <c r="A248" s="5"/>
      <c r="B248" s="5"/>
      <c r="C248" s="5"/>
      <c r="D248" s="5"/>
      <c r="E248" s="5"/>
      <c r="F248" s="5"/>
      <c r="G248" s="5"/>
      <c r="H248" s="5" t="s">
        <v>23</v>
      </c>
      <c r="I248" s="6">
        <v>44796</v>
      </c>
      <c r="J248" s="5" t="s">
        <v>244</v>
      </c>
      <c r="K248" s="5" t="s">
        <v>413</v>
      </c>
      <c r="L248" s="5"/>
      <c r="M248" s="5"/>
      <c r="N248" s="7"/>
      <c r="O248" s="5" t="s">
        <v>553</v>
      </c>
      <c r="P248" s="8">
        <v>659.51</v>
      </c>
      <c r="Q248" s="8">
        <f t="shared" si="3"/>
        <v>307832.2</v>
      </c>
    </row>
    <row r="249" spans="1:17" x14ac:dyDescent="0.25">
      <c r="A249" s="5"/>
      <c r="B249" s="5"/>
      <c r="C249" s="5"/>
      <c r="D249" s="5"/>
      <c r="E249" s="5"/>
      <c r="F249" s="5"/>
      <c r="G249" s="5"/>
      <c r="H249" s="5" t="s">
        <v>23</v>
      </c>
      <c r="I249" s="6">
        <v>44796</v>
      </c>
      <c r="J249" s="5" t="s">
        <v>245</v>
      </c>
      <c r="K249" s="5" t="s">
        <v>413</v>
      </c>
      <c r="L249" s="5"/>
      <c r="M249" s="5"/>
      <c r="N249" s="7"/>
      <c r="O249" s="5" t="s">
        <v>553</v>
      </c>
      <c r="P249" s="8">
        <v>666.98</v>
      </c>
      <c r="Q249" s="8">
        <f t="shared" si="3"/>
        <v>308499.18</v>
      </c>
    </row>
    <row r="250" spans="1:17" x14ac:dyDescent="0.25">
      <c r="A250" s="5"/>
      <c r="B250" s="5"/>
      <c r="C250" s="5"/>
      <c r="D250" s="5"/>
      <c r="E250" s="5"/>
      <c r="F250" s="5"/>
      <c r="G250" s="5"/>
      <c r="H250" s="5" t="s">
        <v>23</v>
      </c>
      <c r="I250" s="6">
        <v>44796</v>
      </c>
      <c r="J250" s="5" t="s">
        <v>246</v>
      </c>
      <c r="K250" s="5" t="s">
        <v>413</v>
      </c>
      <c r="L250" s="5"/>
      <c r="M250" s="5"/>
      <c r="N250" s="7"/>
      <c r="O250" s="5" t="s">
        <v>553</v>
      </c>
      <c r="P250" s="8">
        <v>70</v>
      </c>
      <c r="Q250" s="8">
        <f t="shared" si="3"/>
        <v>308569.18</v>
      </c>
    </row>
    <row r="251" spans="1:17" x14ac:dyDescent="0.25">
      <c r="A251" s="5"/>
      <c r="B251" s="5"/>
      <c r="C251" s="5"/>
      <c r="D251" s="5"/>
      <c r="E251" s="5"/>
      <c r="F251" s="5"/>
      <c r="G251" s="5"/>
      <c r="H251" s="5" t="s">
        <v>23</v>
      </c>
      <c r="I251" s="6">
        <v>44796</v>
      </c>
      <c r="J251" s="5" t="s">
        <v>247</v>
      </c>
      <c r="K251" s="5" t="s">
        <v>413</v>
      </c>
      <c r="L251" s="5"/>
      <c r="M251" s="5"/>
      <c r="N251" s="7"/>
      <c r="O251" s="5" t="s">
        <v>553</v>
      </c>
      <c r="P251" s="8">
        <v>440</v>
      </c>
      <c r="Q251" s="8">
        <f t="shared" si="3"/>
        <v>309009.18</v>
      </c>
    </row>
    <row r="252" spans="1:17" x14ac:dyDescent="0.25">
      <c r="A252" s="5"/>
      <c r="B252" s="5"/>
      <c r="C252" s="5"/>
      <c r="D252" s="5"/>
      <c r="E252" s="5"/>
      <c r="F252" s="5"/>
      <c r="G252" s="5"/>
      <c r="H252" s="5" t="s">
        <v>23</v>
      </c>
      <c r="I252" s="6">
        <v>44796</v>
      </c>
      <c r="J252" s="5" t="s">
        <v>248</v>
      </c>
      <c r="K252" s="5" t="s">
        <v>412</v>
      </c>
      <c r="L252" s="5"/>
      <c r="M252" s="5"/>
      <c r="N252" s="7"/>
      <c r="O252" s="5" t="s">
        <v>553</v>
      </c>
      <c r="P252" s="8">
        <v>566</v>
      </c>
      <c r="Q252" s="8">
        <f t="shared" si="3"/>
        <v>309575.18</v>
      </c>
    </row>
    <row r="253" spans="1:17" x14ac:dyDescent="0.25">
      <c r="A253" s="5"/>
      <c r="B253" s="5"/>
      <c r="C253" s="5"/>
      <c r="D253" s="5"/>
      <c r="E253" s="5"/>
      <c r="F253" s="5"/>
      <c r="G253" s="5"/>
      <c r="H253" s="5" t="s">
        <v>23</v>
      </c>
      <c r="I253" s="6">
        <v>44797</v>
      </c>
      <c r="J253" s="5" t="s">
        <v>249</v>
      </c>
      <c r="K253" s="5" t="s">
        <v>413</v>
      </c>
      <c r="L253" s="5"/>
      <c r="M253" s="5"/>
      <c r="N253" s="7"/>
      <c r="O253" s="5" t="s">
        <v>553</v>
      </c>
      <c r="P253" s="8">
        <v>553</v>
      </c>
      <c r="Q253" s="8">
        <f t="shared" si="3"/>
        <v>310128.18</v>
      </c>
    </row>
    <row r="254" spans="1:17" x14ac:dyDescent="0.25">
      <c r="A254" s="5"/>
      <c r="B254" s="5"/>
      <c r="C254" s="5"/>
      <c r="D254" s="5"/>
      <c r="E254" s="5"/>
      <c r="F254" s="5"/>
      <c r="G254" s="5"/>
      <c r="H254" s="5" t="s">
        <v>23</v>
      </c>
      <c r="I254" s="6">
        <v>44797</v>
      </c>
      <c r="J254" s="5" t="s">
        <v>250</v>
      </c>
      <c r="K254" s="5" t="s">
        <v>413</v>
      </c>
      <c r="L254" s="5"/>
      <c r="M254" s="5"/>
      <c r="N254" s="7"/>
      <c r="O254" s="5" t="s">
        <v>553</v>
      </c>
      <c r="P254" s="8">
        <v>906.02</v>
      </c>
      <c r="Q254" s="8">
        <f t="shared" si="3"/>
        <v>311034.2</v>
      </c>
    </row>
    <row r="255" spans="1:17" x14ac:dyDescent="0.25">
      <c r="A255" s="5"/>
      <c r="B255" s="5"/>
      <c r="C255" s="5"/>
      <c r="D255" s="5"/>
      <c r="E255" s="5"/>
      <c r="F255" s="5"/>
      <c r="G255" s="5"/>
      <c r="H255" s="5" t="s">
        <v>23</v>
      </c>
      <c r="I255" s="6">
        <v>44797</v>
      </c>
      <c r="J255" s="5" t="s">
        <v>251</v>
      </c>
      <c r="K255" s="5" t="s">
        <v>413</v>
      </c>
      <c r="L255" s="5"/>
      <c r="M255" s="5"/>
      <c r="N255" s="7"/>
      <c r="O255" s="5" t="s">
        <v>553</v>
      </c>
      <c r="P255" s="8">
        <v>586.29999999999995</v>
      </c>
      <c r="Q255" s="8">
        <f t="shared" si="3"/>
        <v>311620.5</v>
      </c>
    </row>
    <row r="256" spans="1:17" x14ac:dyDescent="0.25">
      <c r="A256" s="5"/>
      <c r="B256" s="5"/>
      <c r="C256" s="5"/>
      <c r="D256" s="5"/>
      <c r="E256" s="5"/>
      <c r="F256" s="5"/>
      <c r="G256" s="5"/>
      <c r="H256" s="5" t="s">
        <v>23</v>
      </c>
      <c r="I256" s="6">
        <v>44797</v>
      </c>
      <c r="J256" s="5" t="s">
        <v>252</v>
      </c>
      <c r="K256" s="5" t="s">
        <v>413</v>
      </c>
      <c r="L256" s="5"/>
      <c r="M256" s="5"/>
      <c r="N256" s="7"/>
      <c r="O256" s="5" t="s">
        <v>553</v>
      </c>
      <c r="P256" s="8">
        <v>997.95</v>
      </c>
      <c r="Q256" s="8">
        <f t="shared" si="3"/>
        <v>312618.45</v>
      </c>
    </row>
    <row r="257" spans="1:17" x14ac:dyDescent="0.25">
      <c r="A257" s="5"/>
      <c r="B257" s="5"/>
      <c r="C257" s="5"/>
      <c r="D257" s="5"/>
      <c r="E257" s="5"/>
      <c r="F257" s="5"/>
      <c r="G257" s="5"/>
      <c r="H257" s="5" t="s">
        <v>23</v>
      </c>
      <c r="I257" s="6">
        <v>44797</v>
      </c>
      <c r="J257" s="5" t="s">
        <v>253</v>
      </c>
      <c r="K257" s="5" t="s">
        <v>413</v>
      </c>
      <c r="L257" s="5"/>
      <c r="M257" s="5"/>
      <c r="N257" s="7"/>
      <c r="O257" s="5" t="s">
        <v>553</v>
      </c>
      <c r="P257" s="8">
        <v>627.55999999999995</v>
      </c>
      <c r="Q257" s="8">
        <f t="shared" si="3"/>
        <v>313246.01</v>
      </c>
    </row>
    <row r="258" spans="1:17" x14ac:dyDescent="0.25">
      <c r="A258" s="5"/>
      <c r="B258" s="5"/>
      <c r="C258" s="5"/>
      <c r="D258" s="5"/>
      <c r="E258" s="5"/>
      <c r="F258" s="5"/>
      <c r="G258" s="5"/>
      <c r="H258" s="5" t="s">
        <v>23</v>
      </c>
      <c r="I258" s="6">
        <v>44797</v>
      </c>
      <c r="J258" s="5" t="s">
        <v>254</v>
      </c>
      <c r="K258" s="5" t="s">
        <v>413</v>
      </c>
      <c r="L258" s="5"/>
      <c r="M258" s="5"/>
      <c r="N258" s="7"/>
      <c r="O258" s="5" t="s">
        <v>553</v>
      </c>
      <c r="P258" s="8">
        <v>763.1</v>
      </c>
      <c r="Q258" s="8">
        <f t="shared" si="3"/>
        <v>314009.11</v>
      </c>
    </row>
    <row r="259" spans="1:17" x14ac:dyDescent="0.25">
      <c r="A259" s="5"/>
      <c r="B259" s="5"/>
      <c r="C259" s="5"/>
      <c r="D259" s="5"/>
      <c r="E259" s="5"/>
      <c r="F259" s="5"/>
      <c r="G259" s="5"/>
      <c r="H259" s="5" t="s">
        <v>23</v>
      </c>
      <c r="I259" s="6">
        <v>44797</v>
      </c>
      <c r="J259" s="5" t="s">
        <v>255</v>
      </c>
      <c r="K259" s="5" t="s">
        <v>413</v>
      </c>
      <c r="L259" s="5"/>
      <c r="M259" s="5"/>
      <c r="N259" s="7"/>
      <c r="O259" s="5" t="s">
        <v>553</v>
      </c>
      <c r="P259" s="8">
        <v>808.75</v>
      </c>
      <c r="Q259" s="8">
        <f t="shared" si="3"/>
        <v>314817.86</v>
      </c>
    </row>
    <row r="260" spans="1:17" x14ac:dyDescent="0.25">
      <c r="A260" s="5"/>
      <c r="B260" s="5"/>
      <c r="C260" s="5"/>
      <c r="D260" s="5"/>
      <c r="E260" s="5"/>
      <c r="F260" s="5"/>
      <c r="G260" s="5"/>
      <c r="H260" s="5" t="s">
        <v>23</v>
      </c>
      <c r="I260" s="6">
        <v>44797</v>
      </c>
      <c r="J260" s="5" t="s">
        <v>256</v>
      </c>
      <c r="K260" s="5" t="s">
        <v>413</v>
      </c>
      <c r="L260" s="5"/>
      <c r="M260" s="5"/>
      <c r="N260" s="7"/>
      <c r="O260" s="5" t="s">
        <v>553</v>
      </c>
      <c r="P260" s="8">
        <v>457.75</v>
      </c>
      <c r="Q260" s="8">
        <f t="shared" si="3"/>
        <v>315275.61</v>
      </c>
    </row>
    <row r="261" spans="1:17" x14ac:dyDescent="0.25">
      <c r="A261" s="5"/>
      <c r="B261" s="5"/>
      <c r="C261" s="5"/>
      <c r="D261" s="5"/>
      <c r="E261" s="5"/>
      <c r="F261" s="5"/>
      <c r="G261" s="5"/>
      <c r="H261" s="5" t="s">
        <v>23</v>
      </c>
      <c r="I261" s="6">
        <v>44797</v>
      </c>
      <c r="J261" s="5" t="s">
        <v>257</v>
      </c>
      <c r="K261" s="5" t="s">
        <v>412</v>
      </c>
      <c r="L261" s="5"/>
      <c r="M261" s="5"/>
      <c r="N261" s="7"/>
      <c r="O261" s="5" t="s">
        <v>553</v>
      </c>
      <c r="P261" s="8">
        <v>1260.56</v>
      </c>
      <c r="Q261" s="8">
        <f t="shared" ref="Q261:Q324" si="4">ROUND(Q260+P261,5)</f>
        <v>316536.17</v>
      </c>
    </row>
    <row r="262" spans="1:17" x14ac:dyDescent="0.25">
      <c r="A262" s="5"/>
      <c r="B262" s="5"/>
      <c r="C262" s="5"/>
      <c r="D262" s="5"/>
      <c r="E262" s="5"/>
      <c r="F262" s="5"/>
      <c r="G262" s="5"/>
      <c r="H262" s="5" t="s">
        <v>23</v>
      </c>
      <c r="I262" s="6">
        <v>44797</v>
      </c>
      <c r="J262" s="5" t="s">
        <v>258</v>
      </c>
      <c r="K262" s="5" t="s">
        <v>412</v>
      </c>
      <c r="L262" s="5"/>
      <c r="M262" s="5"/>
      <c r="N262" s="7"/>
      <c r="O262" s="5" t="s">
        <v>553</v>
      </c>
      <c r="P262" s="8">
        <v>254.24</v>
      </c>
      <c r="Q262" s="8">
        <f t="shared" si="4"/>
        <v>316790.40999999997</v>
      </c>
    </row>
    <row r="263" spans="1:17" x14ac:dyDescent="0.25">
      <c r="A263" s="5"/>
      <c r="B263" s="5"/>
      <c r="C263" s="5"/>
      <c r="D263" s="5"/>
      <c r="E263" s="5"/>
      <c r="F263" s="5"/>
      <c r="G263" s="5"/>
      <c r="H263" s="5" t="s">
        <v>23</v>
      </c>
      <c r="I263" s="6">
        <v>44797</v>
      </c>
      <c r="J263" s="5" t="s">
        <v>259</v>
      </c>
      <c r="K263" s="5" t="s">
        <v>413</v>
      </c>
      <c r="L263" s="5"/>
      <c r="M263" s="5"/>
      <c r="N263" s="7"/>
      <c r="O263" s="5" t="s">
        <v>553</v>
      </c>
      <c r="P263" s="8">
        <v>863.83</v>
      </c>
      <c r="Q263" s="8">
        <f t="shared" si="4"/>
        <v>317654.24</v>
      </c>
    </row>
    <row r="264" spans="1:17" x14ac:dyDescent="0.25">
      <c r="A264" s="5"/>
      <c r="B264" s="5"/>
      <c r="C264" s="5"/>
      <c r="D264" s="5"/>
      <c r="E264" s="5"/>
      <c r="F264" s="5"/>
      <c r="G264" s="5"/>
      <c r="H264" s="5" t="s">
        <v>23</v>
      </c>
      <c r="I264" s="6">
        <v>44797</v>
      </c>
      <c r="J264" s="5" t="s">
        <v>260</v>
      </c>
      <c r="K264" s="5" t="s">
        <v>413</v>
      </c>
      <c r="L264" s="5"/>
      <c r="M264" s="5"/>
      <c r="N264" s="7"/>
      <c r="O264" s="5" t="s">
        <v>553</v>
      </c>
      <c r="P264" s="8">
        <v>1079.05</v>
      </c>
      <c r="Q264" s="8">
        <f t="shared" si="4"/>
        <v>318733.28999999998</v>
      </c>
    </row>
    <row r="265" spans="1:17" x14ac:dyDescent="0.25">
      <c r="A265" s="5"/>
      <c r="B265" s="5"/>
      <c r="C265" s="5"/>
      <c r="D265" s="5"/>
      <c r="E265" s="5"/>
      <c r="F265" s="5"/>
      <c r="G265" s="5"/>
      <c r="H265" s="5" t="s">
        <v>23</v>
      </c>
      <c r="I265" s="6">
        <v>44798</v>
      </c>
      <c r="J265" s="5" t="s">
        <v>261</v>
      </c>
      <c r="K265" s="5" t="s">
        <v>412</v>
      </c>
      <c r="L265" s="5"/>
      <c r="M265" s="5"/>
      <c r="N265" s="7"/>
      <c r="O265" s="5" t="s">
        <v>553</v>
      </c>
      <c r="P265" s="8">
        <v>5177.28</v>
      </c>
      <c r="Q265" s="8">
        <f t="shared" si="4"/>
        <v>323910.57</v>
      </c>
    </row>
    <row r="266" spans="1:17" x14ac:dyDescent="0.25">
      <c r="A266" s="5"/>
      <c r="B266" s="5"/>
      <c r="C266" s="5"/>
      <c r="D266" s="5"/>
      <c r="E266" s="5"/>
      <c r="F266" s="5"/>
      <c r="G266" s="5"/>
      <c r="H266" s="5" t="s">
        <v>23</v>
      </c>
      <c r="I266" s="6">
        <v>44798</v>
      </c>
      <c r="J266" s="5" t="s">
        <v>262</v>
      </c>
      <c r="K266" s="5" t="s">
        <v>412</v>
      </c>
      <c r="L266" s="5"/>
      <c r="M266" s="5"/>
      <c r="N266" s="7"/>
      <c r="O266" s="5" t="s">
        <v>553</v>
      </c>
      <c r="P266" s="8">
        <v>118</v>
      </c>
      <c r="Q266" s="8">
        <f t="shared" si="4"/>
        <v>324028.57</v>
      </c>
    </row>
    <row r="267" spans="1:17" x14ac:dyDescent="0.25">
      <c r="A267" s="5"/>
      <c r="B267" s="5"/>
      <c r="C267" s="5"/>
      <c r="D267" s="5"/>
      <c r="E267" s="5"/>
      <c r="F267" s="5"/>
      <c r="G267" s="5"/>
      <c r="H267" s="5" t="s">
        <v>23</v>
      </c>
      <c r="I267" s="6">
        <v>44798</v>
      </c>
      <c r="J267" s="5" t="s">
        <v>263</v>
      </c>
      <c r="K267" s="5" t="s">
        <v>413</v>
      </c>
      <c r="L267" s="5"/>
      <c r="M267" s="5"/>
      <c r="N267" s="7"/>
      <c r="O267" s="5" t="s">
        <v>553</v>
      </c>
      <c r="P267" s="8">
        <v>1079.05</v>
      </c>
      <c r="Q267" s="8">
        <f t="shared" si="4"/>
        <v>325107.62</v>
      </c>
    </row>
    <row r="268" spans="1:17" x14ac:dyDescent="0.25">
      <c r="A268" s="5"/>
      <c r="B268" s="5"/>
      <c r="C268" s="5"/>
      <c r="D268" s="5"/>
      <c r="E268" s="5"/>
      <c r="F268" s="5"/>
      <c r="G268" s="5"/>
      <c r="H268" s="5" t="s">
        <v>23</v>
      </c>
      <c r="I268" s="6">
        <v>44799</v>
      </c>
      <c r="J268" s="5" t="s">
        <v>264</v>
      </c>
      <c r="K268" s="5" t="s">
        <v>413</v>
      </c>
      <c r="L268" s="5"/>
      <c r="M268" s="5"/>
      <c r="N268" s="7"/>
      <c r="O268" s="5" t="s">
        <v>553</v>
      </c>
      <c r="P268" s="8">
        <v>388.82</v>
      </c>
      <c r="Q268" s="8">
        <f t="shared" si="4"/>
        <v>325496.44</v>
      </c>
    </row>
    <row r="269" spans="1:17" x14ac:dyDescent="0.25">
      <c r="A269" s="5"/>
      <c r="B269" s="5"/>
      <c r="C269" s="5"/>
      <c r="D269" s="5"/>
      <c r="E269" s="5"/>
      <c r="F269" s="5"/>
      <c r="G269" s="5"/>
      <c r="H269" s="5" t="s">
        <v>23</v>
      </c>
      <c r="I269" s="6">
        <v>44799</v>
      </c>
      <c r="J269" s="5" t="s">
        <v>265</v>
      </c>
      <c r="K269" s="5" t="s">
        <v>413</v>
      </c>
      <c r="L269" s="5"/>
      <c r="M269" s="5"/>
      <c r="N269" s="7"/>
      <c r="O269" s="5" t="s">
        <v>553</v>
      </c>
      <c r="P269" s="8">
        <v>877.2</v>
      </c>
      <c r="Q269" s="8">
        <f t="shared" si="4"/>
        <v>326373.64</v>
      </c>
    </row>
    <row r="270" spans="1:17" x14ac:dyDescent="0.25">
      <c r="A270" s="5"/>
      <c r="B270" s="5"/>
      <c r="C270" s="5"/>
      <c r="D270" s="5"/>
      <c r="E270" s="5"/>
      <c r="F270" s="5"/>
      <c r="G270" s="5"/>
      <c r="H270" s="5" t="s">
        <v>23</v>
      </c>
      <c r="I270" s="6">
        <v>44799</v>
      </c>
      <c r="J270" s="5" t="s">
        <v>266</v>
      </c>
      <c r="K270" s="5" t="s">
        <v>413</v>
      </c>
      <c r="L270" s="5"/>
      <c r="M270" s="5"/>
      <c r="N270" s="7"/>
      <c r="O270" s="5" t="s">
        <v>553</v>
      </c>
      <c r="P270" s="8">
        <v>426.5</v>
      </c>
      <c r="Q270" s="8">
        <f t="shared" si="4"/>
        <v>326800.14</v>
      </c>
    </row>
    <row r="271" spans="1:17" x14ac:dyDescent="0.25">
      <c r="A271" s="5"/>
      <c r="B271" s="5"/>
      <c r="C271" s="5"/>
      <c r="D271" s="5"/>
      <c r="E271" s="5"/>
      <c r="F271" s="5"/>
      <c r="G271" s="5"/>
      <c r="H271" s="5" t="s">
        <v>23</v>
      </c>
      <c r="I271" s="6">
        <v>44799</v>
      </c>
      <c r="J271" s="5" t="s">
        <v>267</v>
      </c>
      <c r="K271" s="5" t="s">
        <v>413</v>
      </c>
      <c r="L271" s="5"/>
      <c r="M271" s="5"/>
      <c r="N271" s="7"/>
      <c r="O271" s="5" t="s">
        <v>553</v>
      </c>
      <c r="P271" s="8">
        <v>839.56</v>
      </c>
      <c r="Q271" s="8">
        <f t="shared" si="4"/>
        <v>327639.7</v>
      </c>
    </row>
    <row r="272" spans="1:17" x14ac:dyDescent="0.25">
      <c r="A272" s="5"/>
      <c r="B272" s="5"/>
      <c r="C272" s="5"/>
      <c r="D272" s="5"/>
      <c r="E272" s="5"/>
      <c r="F272" s="5"/>
      <c r="G272" s="5"/>
      <c r="H272" s="5" t="s">
        <v>23</v>
      </c>
      <c r="I272" s="6">
        <v>44800</v>
      </c>
      <c r="J272" s="5" t="s">
        <v>268</v>
      </c>
      <c r="K272" s="5" t="s">
        <v>413</v>
      </c>
      <c r="L272" s="5"/>
      <c r="M272" s="5"/>
      <c r="N272" s="7"/>
      <c r="O272" s="5" t="s">
        <v>553</v>
      </c>
      <c r="P272" s="8">
        <v>324.74</v>
      </c>
      <c r="Q272" s="8">
        <f t="shared" si="4"/>
        <v>327964.44</v>
      </c>
    </row>
    <row r="273" spans="1:17" x14ac:dyDescent="0.25">
      <c r="A273" s="5"/>
      <c r="B273" s="5"/>
      <c r="C273" s="5"/>
      <c r="D273" s="5"/>
      <c r="E273" s="5"/>
      <c r="F273" s="5"/>
      <c r="G273" s="5"/>
      <c r="H273" s="5" t="s">
        <v>23</v>
      </c>
      <c r="I273" s="6">
        <v>44803</v>
      </c>
      <c r="J273" s="5" t="s">
        <v>269</v>
      </c>
      <c r="K273" s="5" t="s">
        <v>413</v>
      </c>
      <c r="L273" s="5"/>
      <c r="M273" s="5"/>
      <c r="N273" s="7"/>
      <c r="O273" s="5" t="s">
        <v>553</v>
      </c>
      <c r="P273" s="8">
        <v>920.81</v>
      </c>
      <c r="Q273" s="8">
        <f t="shared" si="4"/>
        <v>328885.25</v>
      </c>
    </row>
    <row r="274" spans="1:17" x14ac:dyDescent="0.25">
      <c r="A274" s="5"/>
      <c r="B274" s="5"/>
      <c r="C274" s="5"/>
      <c r="D274" s="5"/>
      <c r="E274" s="5"/>
      <c r="F274" s="5"/>
      <c r="G274" s="5"/>
      <c r="H274" s="5" t="s">
        <v>23</v>
      </c>
      <c r="I274" s="6">
        <v>44803</v>
      </c>
      <c r="J274" s="5" t="s">
        <v>270</v>
      </c>
      <c r="K274" s="5" t="s">
        <v>413</v>
      </c>
      <c r="L274" s="5"/>
      <c r="M274" s="5"/>
      <c r="N274" s="7"/>
      <c r="O274" s="5" t="s">
        <v>553</v>
      </c>
      <c r="P274" s="8">
        <v>640.78</v>
      </c>
      <c r="Q274" s="8">
        <f t="shared" si="4"/>
        <v>329526.03000000003</v>
      </c>
    </row>
    <row r="275" spans="1:17" x14ac:dyDescent="0.25">
      <c r="A275" s="5"/>
      <c r="B275" s="5"/>
      <c r="C275" s="5"/>
      <c r="D275" s="5"/>
      <c r="E275" s="5"/>
      <c r="F275" s="5"/>
      <c r="G275" s="5"/>
      <c r="H275" s="5" t="s">
        <v>23</v>
      </c>
      <c r="I275" s="6">
        <v>44803</v>
      </c>
      <c r="J275" s="5" t="s">
        <v>271</v>
      </c>
      <c r="K275" s="5" t="s">
        <v>413</v>
      </c>
      <c r="L275" s="5"/>
      <c r="M275" s="5"/>
      <c r="N275" s="7"/>
      <c r="O275" s="5" t="s">
        <v>553</v>
      </c>
      <c r="P275" s="8">
        <v>515</v>
      </c>
      <c r="Q275" s="8">
        <f t="shared" si="4"/>
        <v>330041.03000000003</v>
      </c>
    </row>
    <row r="276" spans="1:17" x14ac:dyDescent="0.25">
      <c r="A276" s="5"/>
      <c r="B276" s="5"/>
      <c r="C276" s="5"/>
      <c r="D276" s="5"/>
      <c r="E276" s="5"/>
      <c r="F276" s="5"/>
      <c r="G276" s="5"/>
      <c r="H276" s="5" t="s">
        <v>23</v>
      </c>
      <c r="I276" s="6">
        <v>44803</v>
      </c>
      <c r="J276" s="5" t="s">
        <v>272</v>
      </c>
      <c r="K276" s="5" t="s">
        <v>412</v>
      </c>
      <c r="L276" s="5"/>
      <c r="M276" s="5"/>
      <c r="N276" s="7"/>
      <c r="O276" s="5" t="s">
        <v>553</v>
      </c>
      <c r="P276" s="8">
        <v>1106</v>
      </c>
      <c r="Q276" s="8">
        <f t="shared" si="4"/>
        <v>331147.03000000003</v>
      </c>
    </row>
    <row r="277" spans="1:17" x14ac:dyDescent="0.25">
      <c r="A277" s="5"/>
      <c r="B277" s="5"/>
      <c r="C277" s="5"/>
      <c r="D277" s="5"/>
      <c r="E277" s="5"/>
      <c r="F277" s="5"/>
      <c r="G277" s="5"/>
      <c r="H277" s="5" t="s">
        <v>23</v>
      </c>
      <c r="I277" s="6">
        <v>44804</v>
      </c>
      <c r="J277" s="5" t="s">
        <v>273</v>
      </c>
      <c r="K277" s="5" t="s">
        <v>413</v>
      </c>
      <c r="L277" s="5"/>
      <c r="M277" s="5"/>
      <c r="N277" s="7"/>
      <c r="O277" s="5" t="s">
        <v>553</v>
      </c>
      <c r="P277" s="8">
        <v>163.92</v>
      </c>
      <c r="Q277" s="8">
        <f t="shared" si="4"/>
        <v>331310.95</v>
      </c>
    </row>
    <row r="278" spans="1:17" x14ac:dyDescent="0.25">
      <c r="A278" s="5"/>
      <c r="B278" s="5"/>
      <c r="C278" s="5"/>
      <c r="D278" s="5"/>
      <c r="E278" s="5"/>
      <c r="F278" s="5"/>
      <c r="G278" s="5"/>
      <c r="H278" s="5" t="s">
        <v>23</v>
      </c>
      <c r="I278" s="6">
        <v>44804</v>
      </c>
      <c r="J278" s="5" t="s">
        <v>274</v>
      </c>
      <c r="K278" s="5" t="s">
        <v>413</v>
      </c>
      <c r="L278" s="5"/>
      <c r="M278" s="5"/>
      <c r="N278" s="7"/>
      <c r="O278" s="5" t="s">
        <v>553</v>
      </c>
      <c r="P278" s="8">
        <v>1100.71</v>
      </c>
      <c r="Q278" s="8">
        <f t="shared" si="4"/>
        <v>332411.65999999997</v>
      </c>
    </row>
    <row r="279" spans="1:17" x14ac:dyDescent="0.25">
      <c r="A279" s="5"/>
      <c r="B279" s="5"/>
      <c r="C279" s="5"/>
      <c r="D279" s="5"/>
      <c r="E279" s="5"/>
      <c r="F279" s="5"/>
      <c r="G279" s="5"/>
      <c r="H279" s="5" t="s">
        <v>23</v>
      </c>
      <c r="I279" s="6">
        <v>44804</v>
      </c>
      <c r="J279" s="5" t="s">
        <v>275</v>
      </c>
      <c r="K279" s="5" t="s">
        <v>413</v>
      </c>
      <c r="L279" s="5"/>
      <c r="M279" s="5"/>
      <c r="N279" s="7"/>
      <c r="O279" s="5" t="s">
        <v>553</v>
      </c>
      <c r="P279" s="8">
        <v>409.3</v>
      </c>
      <c r="Q279" s="8">
        <f t="shared" si="4"/>
        <v>332820.96000000002</v>
      </c>
    </row>
    <row r="280" spans="1:17" x14ac:dyDescent="0.25">
      <c r="A280" s="5"/>
      <c r="B280" s="5"/>
      <c r="C280" s="5"/>
      <c r="D280" s="5"/>
      <c r="E280" s="5"/>
      <c r="F280" s="5"/>
      <c r="G280" s="5"/>
      <c r="H280" s="5" t="s">
        <v>23</v>
      </c>
      <c r="I280" s="6">
        <v>44804</v>
      </c>
      <c r="J280" s="5" t="s">
        <v>276</v>
      </c>
      <c r="K280" s="5" t="s">
        <v>413</v>
      </c>
      <c r="L280" s="5"/>
      <c r="M280" s="5"/>
      <c r="N280" s="7"/>
      <c r="O280" s="5" t="s">
        <v>553</v>
      </c>
      <c r="P280" s="8">
        <v>31</v>
      </c>
      <c r="Q280" s="8">
        <f t="shared" si="4"/>
        <v>332851.96000000002</v>
      </c>
    </row>
    <row r="281" spans="1:17" x14ac:dyDescent="0.25">
      <c r="A281" s="5"/>
      <c r="B281" s="5"/>
      <c r="C281" s="5"/>
      <c r="D281" s="5"/>
      <c r="E281" s="5"/>
      <c r="F281" s="5"/>
      <c r="G281" s="5"/>
      <c r="H281" s="5" t="s">
        <v>23</v>
      </c>
      <c r="I281" s="6">
        <v>44804</v>
      </c>
      <c r="J281" s="5" t="s">
        <v>277</v>
      </c>
      <c r="K281" s="5" t="s">
        <v>413</v>
      </c>
      <c r="L281" s="5"/>
      <c r="M281" s="5"/>
      <c r="N281" s="7"/>
      <c r="O281" s="5" t="s">
        <v>553</v>
      </c>
      <c r="P281" s="8">
        <v>709.93</v>
      </c>
      <c r="Q281" s="8">
        <f t="shared" si="4"/>
        <v>333561.89</v>
      </c>
    </row>
    <row r="282" spans="1:17" x14ac:dyDescent="0.25">
      <c r="A282" s="5"/>
      <c r="B282" s="5"/>
      <c r="C282" s="5"/>
      <c r="D282" s="5"/>
      <c r="E282" s="5"/>
      <c r="F282" s="5"/>
      <c r="G282" s="5"/>
      <c r="H282" s="5" t="s">
        <v>23</v>
      </c>
      <c r="I282" s="6">
        <v>44804</v>
      </c>
      <c r="J282" s="5" t="s">
        <v>278</v>
      </c>
      <c r="K282" s="5" t="s">
        <v>413</v>
      </c>
      <c r="L282" s="5"/>
      <c r="M282" s="5"/>
      <c r="N282" s="7"/>
      <c r="O282" s="5" t="s">
        <v>553</v>
      </c>
      <c r="P282" s="8">
        <v>55.65</v>
      </c>
      <c r="Q282" s="8">
        <f t="shared" si="4"/>
        <v>333617.53999999998</v>
      </c>
    </row>
    <row r="283" spans="1:17" x14ac:dyDescent="0.25">
      <c r="A283" s="5"/>
      <c r="B283" s="5"/>
      <c r="C283" s="5"/>
      <c r="D283" s="5"/>
      <c r="E283" s="5"/>
      <c r="F283" s="5"/>
      <c r="G283" s="5"/>
      <c r="H283" s="5" t="s">
        <v>23</v>
      </c>
      <c r="I283" s="6">
        <v>44804</v>
      </c>
      <c r="J283" s="5" t="s">
        <v>279</v>
      </c>
      <c r="K283" s="5" t="s">
        <v>412</v>
      </c>
      <c r="L283" s="5"/>
      <c r="M283" s="5"/>
      <c r="N283" s="7"/>
      <c r="O283" s="5" t="s">
        <v>553</v>
      </c>
      <c r="P283" s="8">
        <v>612</v>
      </c>
      <c r="Q283" s="8">
        <f t="shared" si="4"/>
        <v>334229.53999999998</v>
      </c>
    </row>
    <row r="284" spans="1:17" x14ac:dyDescent="0.25">
      <c r="A284" s="5"/>
      <c r="B284" s="5"/>
      <c r="C284" s="5"/>
      <c r="D284" s="5"/>
      <c r="E284" s="5"/>
      <c r="F284" s="5"/>
      <c r="G284" s="5"/>
      <c r="H284" s="5" t="s">
        <v>23</v>
      </c>
      <c r="I284" s="6">
        <v>44806</v>
      </c>
      <c r="J284" s="5" t="s">
        <v>280</v>
      </c>
      <c r="K284" s="5" t="s">
        <v>413</v>
      </c>
      <c r="L284" s="5"/>
      <c r="M284" s="5"/>
      <c r="N284" s="7"/>
      <c r="O284" s="5" t="s">
        <v>553</v>
      </c>
      <c r="P284" s="8">
        <v>901.52</v>
      </c>
      <c r="Q284" s="8">
        <f t="shared" si="4"/>
        <v>335131.06</v>
      </c>
    </row>
    <row r="285" spans="1:17" x14ac:dyDescent="0.25">
      <c r="A285" s="5"/>
      <c r="B285" s="5"/>
      <c r="C285" s="5"/>
      <c r="D285" s="5"/>
      <c r="E285" s="5"/>
      <c r="F285" s="5"/>
      <c r="G285" s="5"/>
      <c r="H285" s="5" t="s">
        <v>23</v>
      </c>
      <c r="I285" s="6">
        <v>44806</v>
      </c>
      <c r="J285" s="5" t="s">
        <v>281</v>
      </c>
      <c r="K285" s="5" t="s">
        <v>413</v>
      </c>
      <c r="L285" s="5"/>
      <c r="M285" s="5"/>
      <c r="N285" s="7"/>
      <c r="O285" s="5" t="s">
        <v>553</v>
      </c>
      <c r="P285" s="8">
        <v>400.38</v>
      </c>
      <c r="Q285" s="8">
        <f t="shared" si="4"/>
        <v>335531.44</v>
      </c>
    </row>
    <row r="286" spans="1:17" x14ac:dyDescent="0.25">
      <c r="A286" s="5"/>
      <c r="B286" s="5"/>
      <c r="C286" s="5"/>
      <c r="D286" s="5"/>
      <c r="E286" s="5"/>
      <c r="F286" s="5"/>
      <c r="G286" s="5"/>
      <c r="H286" s="5" t="s">
        <v>23</v>
      </c>
      <c r="I286" s="6">
        <v>44806</v>
      </c>
      <c r="J286" s="5" t="s">
        <v>282</v>
      </c>
      <c r="K286" s="5" t="s">
        <v>413</v>
      </c>
      <c r="L286" s="5"/>
      <c r="M286" s="5"/>
      <c r="N286" s="7"/>
      <c r="O286" s="5" t="s">
        <v>553</v>
      </c>
      <c r="P286" s="8">
        <v>284.5</v>
      </c>
      <c r="Q286" s="8">
        <f t="shared" si="4"/>
        <v>335815.94</v>
      </c>
    </row>
    <row r="287" spans="1:17" x14ac:dyDescent="0.25">
      <c r="A287" s="5"/>
      <c r="B287" s="5"/>
      <c r="C287" s="5"/>
      <c r="D287" s="5"/>
      <c r="E287" s="5"/>
      <c r="F287" s="5"/>
      <c r="G287" s="5"/>
      <c r="H287" s="5" t="s">
        <v>23</v>
      </c>
      <c r="I287" s="6">
        <v>44806</v>
      </c>
      <c r="J287" s="5" t="s">
        <v>283</v>
      </c>
      <c r="K287" s="5" t="s">
        <v>413</v>
      </c>
      <c r="L287" s="5"/>
      <c r="M287" s="5"/>
      <c r="N287" s="7"/>
      <c r="O287" s="5" t="s">
        <v>553</v>
      </c>
      <c r="P287" s="8">
        <v>729.25</v>
      </c>
      <c r="Q287" s="8">
        <f t="shared" si="4"/>
        <v>336545.19</v>
      </c>
    </row>
    <row r="288" spans="1:17" x14ac:dyDescent="0.25">
      <c r="A288" s="5"/>
      <c r="B288" s="5"/>
      <c r="C288" s="5"/>
      <c r="D288" s="5"/>
      <c r="E288" s="5"/>
      <c r="F288" s="5"/>
      <c r="G288" s="5"/>
      <c r="H288" s="5" t="s">
        <v>23</v>
      </c>
      <c r="I288" s="6">
        <v>44806</v>
      </c>
      <c r="J288" s="5" t="s">
        <v>284</v>
      </c>
      <c r="K288" s="5" t="s">
        <v>413</v>
      </c>
      <c r="L288" s="5"/>
      <c r="M288" s="5"/>
      <c r="N288" s="7"/>
      <c r="O288" s="5" t="s">
        <v>553</v>
      </c>
      <c r="P288" s="8">
        <v>256.86</v>
      </c>
      <c r="Q288" s="8">
        <f t="shared" si="4"/>
        <v>336802.05</v>
      </c>
    </row>
    <row r="289" spans="1:17" x14ac:dyDescent="0.25">
      <c r="A289" s="5"/>
      <c r="B289" s="5"/>
      <c r="C289" s="5"/>
      <c r="D289" s="5"/>
      <c r="E289" s="5"/>
      <c r="F289" s="5"/>
      <c r="G289" s="5"/>
      <c r="H289" s="5" t="s">
        <v>23</v>
      </c>
      <c r="I289" s="6">
        <v>44806</v>
      </c>
      <c r="J289" s="5" t="s">
        <v>285</v>
      </c>
      <c r="K289" s="5" t="s">
        <v>413</v>
      </c>
      <c r="L289" s="5"/>
      <c r="M289" s="5"/>
      <c r="N289" s="7"/>
      <c r="O289" s="5" t="s">
        <v>553</v>
      </c>
      <c r="P289" s="8">
        <v>683.29</v>
      </c>
      <c r="Q289" s="8">
        <f t="shared" si="4"/>
        <v>337485.34</v>
      </c>
    </row>
    <row r="290" spans="1:17" x14ac:dyDescent="0.25">
      <c r="A290" s="5"/>
      <c r="B290" s="5"/>
      <c r="C290" s="5"/>
      <c r="D290" s="5"/>
      <c r="E290" s="5"/>
      <c r="F290" s="5"/>
      <c r="G290" s="5"/>
      <c r="H290" s="5" t="s">
        <v>23</v>
      </c>
      <c r="I290" s="6">
        <v>44806</v>
      </c>
      <c r="J290" s="5" t="s">
        <v>286</v>
      </c>
      <c r="K290" s="5" t="s">
        <v>413</v>
      </c>
      <c r="L290" s="5"/>
      <c r="M290" s="5"/>
      <c r="N290" s="7"/>
      <c r="O290" s="5" t="s">
        <v>553</v>
      </c>
      <c r="P290" s="8">
        <v>220.55</v>
      </c>
      <c r="Q290" s="8">
        <f t="shared" si="4"/>
        <v>337705.89</v>
      </c>
    </row>
    <row r="291" spans="1:17" x14ac:dyDescent="0.25">
      <c r="A291" s="5"/>
      <c r="B291" s="5"/>
      <c r="C291" s="5"/>
      <c r="D291" s="5"/>
      <c r="E291" s="5"/>
      <c r="F291" s="5"/>
      <c r="G291" s="5"/>
      <c r="H291" s="5" t="s">
        <v>23</v>
      </c>
      <c r="I291" s="6">
        <v>44806</v>
      </c>
      <c r="J291" s="5" t="s">
        <v>287</v>
      </c>
      <c r="K291" s="5" t="s">
        <v>413</v>
      </c>
      <c r="L291" s="5"/>
      <c r="M291" s="5"/>
      <c r="N291" s="7"/>
      <c r="O291" s="5" t="s">
        <v>553</v>
      </c>
      <c r="P291" s="8">
        <v>504.7</v>
      </c>
      <c r="Q291" s="8">
        <f t="shared" si="4"/>
        <v>338210.59</v>
      </c>
    </row>
    <row r="292" spans="1:17" x14ac:dyDescent="0.25">
      <c r="A292" s="5"/>
      <c r="B292" s="5"/>
      <c r="C292" s="5"/>
      <c r="D292" s="5"/>
      <c r="E292" s="5"/>
      <c r="F292" s="5"/>
      <c r="G292" s="5"/>
      <c r="H292" s="5" t="s">
        <v>23</v>
      </c>
      <c r="I292" s="6">
        <v>44806</v>
      </c>
      <c r="J292" s="5" t="s">
        <v>288</v>
      </c>
      <c r="K292" s="5" t="s">
        <v>413</v>
      </c>
      <c r="L292" s="5"/>
      <c r="M292" s="5"/>
      <c r="N292" s="7"/>
      <c r="O292" s="5" t="s">
        <v>553</v>
      </c>
      <c r="P292" s="8">
        <v>140</v>
      </c>
      <c r="Q292" s="8">
        <f t="shared" si="4"/>
        <v>338350.59</v>
      </c>
    </row>
    <row r="293" spans="1:17" x14ac:dyDescent="0.25">
      <c r="A293" s="5"/>
      <c r="B293" s="5"/>
      <c r="C293" s="5"/>
      <c r="D293" s="5"/>
      <c r="E293" s="5"/>
      <c r="F293" s="5"/>
      <c r="G293" s="5"/>
      <c r="H293" s="5" t="s">
        <v>23</v>
      </c>
      <c r="I293" s="6">
        <v>44806</v>
      </c>
      <c r="J293" s="5" t="s">
        <v>289</v>
      </c>
      <c r="K293" s="5" t="s">
        <v>413</v>
      </c>
      <c r="L293" s="5"/>
      <c r="M293" s="5"/>
      <c r="N293" s="7"/>
      <c r="O293" s="5" t="s">
        <v>553</v>
      </c>
      <c r="P293" s="8">
        <v>321.47000000000003</v>
      </c>
      <c r="Q293" s="8">
        <f t="shared" si="4"/>
        <v>338672.06</v>
      </c>
    </row>
    <row r="294" spans="1:17" x14ac:dyDescent="0.25">
      <c r="A294" s="5"/>
      <c r="B294" s="5"/>
      <c r="C294" s="5"/>
      <c r="D294" s="5"/>
      <c r="E294" s="5"/>
      <c r="F294" s="5"/>
      <c r="G294" s="5"/>
      <c r="H294" s="5" t="s">
        <v>23</v>
      </c>
      <c r="I294" s="6">
        <v>44806</v>
      </c>
      <c r="J294" s="5" t="s">
        <v>290</v>
      </c>
      <c r="K294" s="5" t="s">
        <v>413</v>
      </c>
      <c r="L294" s="5"/>
      <c r="M294" s="5"/>
      <c r="N294" s="7"/>
      <c r="O294" s="5" t="s">
        <v>553</v>
      </c>
      <c r="P294" s="8">
        <v>1035.07</v>
      </c>
      <c r="Q294" s="8">
        <f t="shared" si="4"/>
        <v>339707.13</v>
      </c>
    </row>
    <row r="295" spans="1:17" x14ac:dyDescent="0.25">
      <c r="A295" s="5"/>
      <c r="B295" s="5"/>
      <c r="C295" s="5"/>
      <c r="D295" s="5"/>
      <c r="E295" s="5"/>
      <c r="F295" s="5"/>
      <c r="G295" s="5"/>
      <c r="H295" s="5" t="s">
        <v>23</v>
      </c>
      <c r="I295" s="6">
        <v>44806</v>
      </c>
      <c r="J295" s="5" t="s">
        <v>291</v>
      </c>
      <c r="K295" s="5" t="s">
        <v>413</v>
      </c>
      <c r="L295" s="5"/>
      <c r="M295" s="5"/>
      <c r="N295" s="7"/>
      <c r="O295" s="5" t="s">
        <v>553</v>
      </c>
      <c r="P295" s="8">
        <v>507.5</v>
      </c>
      <c r="Q295" s="8">
        <f t="shared" si="4"/>
        <v>340214.63</v>
      </c>
    </row>
    <row r="296" spans="1:17" x14ac:dyDescent="0.25">
      <c r="A296" s="5"/>
      <c r="B296" s="5"/>
      <c r="C296" s="5"/>
      <c r="D296" s="5"/>
      <c r="E296" s="5"/>
      <c r="F296" s="5"/>
      <c r="G296" s="5"/>
      <c r="H296" s="5" t="s">
        <v>23</v>
      </c>
      <c r="I296" s="6">
        <v>44806</v>
      </c>
      <c r="J296" s="5" t="s">
        <v>292</v>
      </c>
      <c r="K296" s="5" t="s">
        <v>413</v>
      </c>
      <c r="L296" s="5"/>
      <c r="M296" s="5"/>
      <c r="N296" s="7"/>
      <c r="O296" s="5" t="s">
        <v>553</v>
      </c>
      <c r="P296" s="8">
        <v>737.95</v>
      </c>
      <c r="Q296" s="8">
        <f t="shared" si="4"/>
        <v>340952.58</v>
      </c>
    </row>
    <row r="297" spans="1:17" x14ac:dyDescent="0.25">
      <c r="A297" s="5"/>
      <c r="B297" s="5"/>
      <c r="C297" s="5"/>
      <c r="D297" s="5"/>
      <c r="E297" s="5"/>
      <c r="F297" s="5"/>
      <c r="G297" s="5"/>
      <c r="H297" s="5" t="s">
        <v>23</v>
      </c>
      <c r="I297" s="6">
        <v>44806</v>
      </c>
      <c r="J297" s="5" t="s">
        <v>293</v>
      </c>
      <c r="K297" s="5" t="s">
        <v>412</v>
      </c>
      <c r="L297" s="5"/>
      <c r="M297" s="5"/>
      <c r="N297" s="7"/>
      <c r="O297" s="5" t="s">
        <v>553</v>
      </c>
      <c r="P297" s="8">
        <v>1271.2</v>
      </c>
      <c r="Q297" s="8">
        <f t="shared" si="4"/>
        <v>342223.78</v>
      </c>
    </row>
    <row r="298" spans="1:17" x14ac:dyDescent="0.25">
      <c r="A298" s="5"/>
      <c r="B298" s="5"/>
      <c r="C298" s="5"/>
      <c r="D298" s="5"/>
      <c r="E298" s="5"/>
      <c r="F298" s="5"/>
      <c r="G298" s="5"/>
      <c r="H298" s="5" t="s">
        <v>23</v>
      </c>
      <c r="I298" s="6">
        <v>44810</v>
      </c>
      <c r="J298" s="5" t="s">
        <v>294</v>
      </c>
      <c r="K298" s="5" t="s">
        <v>413</v>
      </c>
      <c r="L298" s="5"/>
      <c r="M298" s="5"/>
      <c r="N298" s="7"/>
      <c r="O298" s="5" t="s">
        <v>553</v>
      </c>
      <c r="P298" s="8">
        <v>251.53</v>
      </c>
      <c r="Q298" s="8">
        <f t="shared" si="4"/>
        <v>342475.31</v>
      </c>
    </row>
    <row r="299" spans="1:17" x14ac:dyDescent="0.25">
      <c r="A299" s="5"/>
      <c r="B299" s="5"/>
      <c r="C299" s="5"/>
      <c r="D299" s="5"/>
      <c r="E299" s="5"/>
      <c r="F299" s="5"/>
      <c r="G299" s="5"/>
      <c r="H299" s="5" t="s">
        <v>23</v>
      </c>
      <c r="I299" s="6">
        <v>44811</v>
      </c>
      <c r="J299" s="5" t="s">
        <v>295</v>
      </c>
      <c r="K299" s="5" t="s">
        <v>413</v>
      </c>
      <c r="L299" s="5"/>
      <c r="M299" s="5"/>
      <c r="N299" s="7"/>
      <c r="O299" s="5" t="s">
        <v>553</v>
      </c>
      <c r="P299" s="8">
        <v>96.63</v>
      </c>
      <c r="Q299" s="8">
        <f t="shared" si="4"/>
        <v>342571.94</v>
      </c>
    </row>
    <row r="300" spans="1:17" x14ac:dyDescent="0.25">
      <c r="A300" s="5"/>
      <c r="B300" s="5"/>
      <c r="C300" s="5"/>
      <c r="D300" s="5"/>
      <c r="E300" s="5"/>
      <c r="F300" s="5"/>
      <c r="G300" s="5"/>
      <c r="H300" s="5" t="s">
        <v>23</v>
      </c>
      <c r="I300" s="6">
        <v>44811</v>
      </c>
      <c r="J300" s="5" t="s">
        <v>296</v>
      </c>
      <c r="K300" s="5" t="s">
        <v>413</v>
      </c>
      <c r="L300" s="5"/>
      <c r="M300" s="5"/>
      <c r="N300" s="7"/>
      <c r="O300" s="5" t="s">
        <v>553</v>
      </c>
      <c r="P300" s="8">
        <v>838.77</v>
      </c>
      <c r="Q300" s="8">
        <f t="shared" si="4"/>
        <v>343410.71</v>
      </c>
    </row>
    <row r="301" spans="1:17" x14ac:dyDescent="0.25">
      <c r="A301" s="5"/>
      <c r="B301" s="5"/>
      <c r="C301" s="5"/>
      <c r="D301" s="5"/>
      <c r="E301" s="5"/>
      <c r="F301" s="5"/>
      <c r="G301" s="5"/>
      <c r="H301" s="5" t="s">
        <v>23</v>
      </c>
      <c r="I301" s="6">
        <v>44812</v>
      </c>
      <c r="J301" s="5" t="s">
        <v>297</v>
      </c>
      <c r="K301" s="5" t="s">
        <v>423</v>
      </c>
      <c r="L301" s="5" t="s">
        <v>494</v>
      </c>
      <c r="M301" s="5"/>
      <c r="N301" s="7"/>
      <c r="O301" s="5" t="s">
        <v>553</v>
      </c>
      <c r="P301" s="8">
        <v>220000</v>
      </c>
      <c r="Q301" s="8">
        <f t="shared" si="4"/>
        <v>563410.71</v>
      </c>
    </row>
    <row r="302" spans="1:17" x14ac:dyDescent="0.25">
      <c r="A302" s="5"/>
      <c r="B302" s="5"/>
      <c r="C302" s="5"/>
      <c r="D302" s="5"/>
      <c r="E302" s="5"/>
      <c r="F302" s="5"/>
      <c r="G302" s="5"/>
      <c r="H302" s="5" t="s">
        <v>23</v>
      </c>
      <c r="I302" s="6">
        <v>44812</v>
      </c>
      <c r="J302" s="5" t="s">
        <v>298</v>
      </c>
      <c r="K302" s="5" t="s">
        <v>413</v>
      </c>
      <c r="L302" s="5"/>
      <c r="M302" s="5"/>
      <c r="N302" s="7"/>
      <c r="O302" s="5" t="s">
        <v>553</v>
      </c>
      <c r="P302" s="8">
        <v>580.88</v>
      </c>
      <c r="Q302" s="8">
        <f t="shared" si="4"/>
        <v>563991.59</v>
      </c>
    </row>
    <row r="303" spans="1:17" x14ac:dyDescent="0.25">
      <c r="A303" s="5"/>
      <c r="B303" s="5"/>
      <c r="C303" s="5"/>
      <c r="D303" s="5"/>
      <c r="E303" s="5"/>
      <c r="F303" s="5"/>
      <c r="G303" s="5"/>
      <c r="H303" s="5" t="s">
        <v>23</v>
      </c>
      <c r="I303" s="6">
        <v>44812</v>
      </c>
      <c r="J303" s="5" t="s">
        <v>299</v>
      </c>
      <c r="K303" s="5" t="s">
        <v>413</v>
      </c>
      <c r="L303" s="5"/>
      <c r="M303" s="5"/>
      <c r="N303" s="7"/>
      <c r="O303" s="5" t="s">
        <v>553</v>
      </c>
      <c r="P303" s="8">
        <v>553</v>
      </c>
      <c r="Q303" s="8">
        <f t="shared" si="4"/>
        <v>564544.59</v>
      </c>
    </row>
    <row r="304" spans="1:17" x14ac:dyDescent="0.25">
      <c r="A304" s="5"/>
      <c r="B304" s="5"/>
      <c r="C304" s="5"/>
      <c r="D304" s="5"/>
      <c r="E304" s="5"/>
      <c r="F304" s="5"/>
      <c r="G304" s="5"/>
      <c r="H304" s="5" t="s">
        <v>23</v>
      </c>
      <c r="I304" s="6">
        <v>44812</v>
      </c>
      <c r="J304" s="5" t="s">
        <v>300</v>
      </c>
      <c r="K304" s="5" t="s">
        <v>412</v>
      </c>
      <c r="L304" s="5"/>
      <c r="M304" s="5"/>
      <c r="N304" s="7"/>
      <c r="O304" s="5" t="s">
        <v>553</v>
      </c>
      <c r="P304" s="8">
        <v>572.04</v>
      </c>
      <c r="Q304" s="8">
        <f t="shared" si="4"/>
        <v>565116.63</v>
      </c>
    </row>
    <row r="305" spans="1:17" x14ac:dyDescent="0.25">
      <c r="A305" s="5"/>
      <c r="B305" s="5"/>
      <c r="C305" s="5"/>
      <c r="D305" s="5"/>
      <c r="E305" s="5"/>
      <c r="F305" s="5"/>
      <c r="G305" s="5"/>
      <c r="H305" s="5" t="s">
        <v>23</v>
      </c>
      <c r="I305" s="6">
        <v>44816</v>
      </c>
      <c r="J305" s="5" t="s">
        <v>301</v>
      </c>
      <c r="K305" s="5" t="s">
        <v>413</v>
      </c>
      <c r="L305" s="5"/>
      <c r="M305" s="5"/>
      <c r="N305" s="7"/>
      <c r="O305" s="5" t="s">
        <v>553</v>
      </c>
      <c r="P305" s="8">
        <v>887.15</v>
      </c>
      <c r="Q305" s="8">
        <f t="shared" si="4"/>
        <v>566003.78</v>
      </c>
    </row>
    <row r="306" spans="1:17" x14ac:dyDescent="0.25">
      <c r="A306" s="5"/>
      <c r="B306" s="5"/>
      <c r="C306" s="5"/>
      <c r="D306" s="5"/>
      <c r="E306" s="5"/>
      <c r="F306" s="5"/>
      <c r="G306" s="5"/>
      <c r="H306" s="5" t="s">
        <v>23</v>
      </c>
      <c r="I306" s="6">
        <v>44816</v>
      </c>
      <c r="J306" s="5" t="s">
        <v>302</v>
      </c>
      <c r="K306" s="5" t="s">
        <v>412</v>
      </c>
      <c r="L306" s="5"/>
      <c r="M306" s="5"/>
      <c r="N306" s="7"/>
      <c r="O306" s="5" t="s">
        <v>553</v>
      </c>
      <c r="P306" s="8">
        <v>176.52</v>
      </c>
      <c r="Q306" s="8">
        <f t="shared" si="4"/>
        <v>566180.30000000005</v>
      </c>
    </row>
    <row r="307" spans="1:17" x14ac:dyDescent="0.25">
      <c r="A307" s="5"/>
      <c r="B307" s="5"/>
      <c r="C307" s="5"/>
      <c r="D307" s="5"/>
      <c r="E307" s="5"/>
      <c r="F307" s="5"/>
      <c r="G307" s="5"/>
      <c r="H307" s="5" t="s">
        <v>23</v>
      </c>
      <c r="I307" s="6">
        <v>44817</v>
      </c>
      <c r="J307" s="5" t="s">
        <v>303</v>
      </c>
      <c r="K307" s="5" t="s">
        <v>424</v>
      </c>
      <c r="L307" s="5" t="s">
        <v>495</v>
      </c>
      <c r="M307" s="5"/>
      <c r="N307" s="7"/>
      <c r="O307" s="5" t="s">
        <v>553</v>
      </c>
      <c r="P307" s="8">
        <v>0</v>
      </c>
      <c r="Q307" s="8">
        <f t="shared" si="4"/>
        <v>566180.30000000005</v>
      </c>
    </row>
    <row r="308" spans="1:17" x14ac:dyDescent="0.25">
      <c r="A308" s="5"/>
      <c r="B308" s="5"/>
      <c r="C308" s="5"/>
      <c r="D308" s="5"/>
      <c r="E308" s="5"/>
      <c r="F308" s="5"/>
      <c r="G308" s="5"/>
      <c r="H308" s="5" t="s">
        <v>23</v>
      </c>
      <c r="I308" s="6">
        <v>44817</v>
      </c>
      <c r="J308" s="5" t="s">
        <v>303</v>
      </c>
      <c r="K308" s="5" t="s">
        <v>424</v>
      </c>
      <c r="L308" s="5" t="s">
        <v>496</v>
      </c>
      <c r="M308" s="5"/>
      <c r="N308" s="7"/>
      <c r="O308" s="5" t="s">
        <v>553</v>
      </c>
      <c r="P308" s="8">
        <v>0</v>
      </c>
      <c r="Q308" s="8">
        <f t="shared" si="4"/>
        <v>566180.30000000005</v>
      </c>
    </row>
    <row r="309" spans="1:17" x14ac:dyDescent="0.25">
      <c r="A309" s="5"/>
      <c r="B309" s="5"/>
      <c r="C309" s="5"/>
      <c r="D309" s="5"/>
      <c r="E309" s="5"/>
      <c r="F309" s="5"/>
      <c r="G309" s="5"/>
      <c r="H309" s="5" t="s">
        <v>23</v>
      </c>
      <c r="I309" s="6">
        <v>44817</v>
      </c>
      <c r="J309" s="5" t="s">
        <v>303</v>
      </c>
      <c r="K309" s="5" t="s">
        <v>424</v>
      </c>
      <c r="L309" s="5" t="s">
        <v>497</v>
      </c>
      <c r="M309" s="5"/>
      <c r="N309" s="7"/>
      <c r="O309" s="5" t="s">
        <v>553</v>
      </c>
      <c r="P309" s="8">
        <v>0</v>
      </c>
      <c r="Q309" s="8">
        <f t="shared" si="4"/>
        <v>566180.30000000005</v>
      </c>
    </row>
    <row r="310" spans="1:17" x14ac:dyDescent="0.25">
      <c r="A310" s="5"/>
      <c r="B310" s="5"/>
      <c r="C310" s="5"/>
      <c r="D310" s="5"/>
      <c r="E310" s="5"/>
      <c r="F310" s="5"/>
      <c r="G310" s="5"/>
      <c r="H310" s="5" t="s">
        <v>23</v>
      </c>
      <c r="I310" s="6">
        <v>44817</v>
      </c>
      <c r="J310" s="5" t="s">
        <v>303</v>
      </c>
      <c r="K310" s="5" t="s">
        <v>424</v>
      </c>
      <c r="L310" s="5" t="s">
        <v>498</v>
      </c>
      <c r="M310" s="5"/>
      <c r="N310" s="7"/>
      <c r="O310" s="5" t="s">
        <v>553</v>
      </c>
      <c r="P310" s="8">
        <v>4860</v>
      </c>
      <c r="Q310" s="8">
        <f t="shared" si="4"/>
        <v>571040.30000000005</v>
      </c>
    </row>
    <row r="311" spans="1:17" x14ac:dyDescent="0.25">
      <c r="A311" s="5"/>
      <c r="B311" s="5"/>
      <c r="C311" s="5"/>
      <c r="D311" s="5"/>
      <c r="E311" s="5"/>
      <c r="F311" s="5"/>
      <c r="G311" s="5"/>
      <c r="H311" s="5" t="s">
        <v>23</v>
      </c>
      <c r="I311" s="6">
        <v>44818</v>
      </c>
      <c r="J311" s="5" t="s">
        <v>304</v>
      </c>
      <c r="K311" s="5" t="s">
        <v>412</v>
      </c>
      <c r="L311" s="5"/>
      <c r="M311" s="5"/>
      <c r="N311" s="7"/>
      <c r="O311" s="5" t="s">
        <v>553</v>
      </c>
      <c r="P311" s="8">
        <v>158</v>
      </c>
      <c r="Q311" s="8">
        <f t="shared" si="4"/>
        <v>571198.30000000005</v>
      </c>
    </row>
    <row r="312" spans="1:17" x14ac:dyDescent="0.25">
      <c r="A312" s="5"/>
      <c r="B312" s="5"/>
      <c r="C312" s="5"/>
      <c r="D312" s="5"/>
      <c r="E312" s="5"/>
      <c r="F312" s="5"/>
      <c r="G312" s="5"/>
      <c r="H312" s="5" t="s">
        <v>23</v>
      </c>
      <c r="I312" s="6">
        <v>44818</v>
      </c>
      <c r="J312" s="5" t="s">
        <v>305</v>
      </c>
      <c r="K312" s="5" t="s">
        <v>412</v>
      </c>
      <c r="L312" s="5"/>
      <c r="M312" s="5"/>
      <c r="N312" s="7"/>
      <c r="O312" s="5" t="s">
        <v>553</v>
      </c>
      <c r="P312" s="8">
        <v>220.65</v>
      </c>
      <c r="Q312" s="8">
        <f t="shared" si="4"/>
        <v>571418.94999999995</v>
      </c>
    </row>
    <row r="313" spans="1:17" x14ac:dyDescent="0.25">
      <c r="A313" s="5"/>
      <c r="B313" s="5"/>
      <c r="C313" s="5"/>
      <c r="D313" s="5"/>
      <c r="E313" s="5"/>
      <c r="F313" s="5"/>
      <c r="G313" s="5"/>
      <c r="H313" s="5" t="s">
        <v>23</v>
      </c>
      <c r="I313" s="6">
        <v>44819</v>
      </c>
      <c r="J313" s="5" t="s">
        <v>306</v>
      </c>
      <c r="K313" s="5" t="s">
        <v>412</v>
      </c>
      <c r="L313" s="5"/>
      <c r="M313" s="5"/>
      <c r="N313" s="7"/>
      <c r="O313" s="5" t="s">
        <v>553</v>
      </c>
      <c r="P313" s="8">
        <v>3068.35</v>
      </c>
      <c r="Q313" s="8">
        <f t="shared" si="4"/>
        <v>574487.30000000005</v>
      </c>
    </row>
    <row r="314" spans="1:17" x14ac:dyDescent="0.25">
      <c r="A314" s="5"/>
      <c r="B314" s="5"/>
      <c r="C314" s="5"/>
      <c r="D314" s="5"/>
      <c r="E314" s="5"/>
      <c r="F314" s="5"/>
      <c r="G314" s="5"/>
      <c r="H314" s="5" t="s">
        <v>23</v>
      </c>
      <c r="I314" s="6">
        <v>44819</v>
      </c>
      <c r="J314" s="5" t="s">
        <v>307</v>
      </c>
      <c r="K314" s="5" t="s">
        <v>425</v>
      </c>
      <c r="L314" s="5" t="s">
        <v>499</v>
      </c>
      <c r="M314" s="5"/>
      <c r="N314" s="7"/>
      <c r="O314" s="5" t="s">
        <v>553</v>
      </c>
      <c r="P314" s="8">
        <v>5600</v>
      </c>
      <c r="Q314" s="8">
        <f t="shared" si="4"/>
        <v>580087.30000000005</v>
      </c>
    </row>
    <row r="315" spans="1:17" x14ac:dyDescent="0.25">
      <c r="A315" s="5"/>
      <c r="B315" s="5"/>
      <c r="C315" s="5"/>
      <c r="D315" s="5"/>
      <c r="E315" s="5"/>
      <c r="F315" s="5"/>
      <c r="G315" s="5"/>
      <c r="H315" s="5" t="s">
        <v>23</v>
      </c>
      <c r="I315" s="6">
        <v>44819</v>
      </c>
      <c r="J315" s="5" t="s">
        <v>307</v>
      </c>
      <c r="K315" s="5" t="s">
        <v>425</v>
      </c>
      <c r="L315" s="5" t="s">
        <v>500</v>
      </c>
      <c r="M315" s="5"/>
      <c r="N315" s="7"/>
      <c r="O315" s="5" t="s">
        <v>553</v>
      </c>
      <c r="P315" s="8">
        <v>0</v>
      </c>
      <c r="Q315" s="8">
        <f t="shared" si="4"/>
        <v>580087.30000000005</v>
      </c>
    </row>
    <row r="316" spans="1:17" x14ac:dyDescent="0.25">
      <c r="A316" s="5"/>
      <c r="B316" s="5"/>
      <c r="C316" s="5"/>
      <c r="D316" s="5"/>
      <c r="E316" s="5"/>
      <c r="F316" s="5"/>
      <c r="G316" s="5"/>
      <c r="H316" s="5" t="s">
        <v>23</v>
      </c>
      <c r="I316" s="6">
        <v>44819</v>
      </c>
      <c r="J316" s="5" t="s">
        <v>307</v>
      </c>
      <c r="K316" s="5" t="s">
        <v>425</v>
      </c>
      <c r="L316" s="5" t="s">
        <v>501</v>
      </c>
      <c r="M316" s="5"/>
      <c r="N316" s="7"/>
      <c r="O316" s="5" t="s">
        <v>553</v>
      </c>
      <c r="P316" s="8">
        <v>0</v>
      </c>
      <c r="Q316" s="8">
        <f t="shared" si="4"/>
        <v>580087.30000000005</v>
      </c>
    </row>
    <row r="317" spans="1:17" x14ac:dyDescent="0.25">
      <c r="A317" s="5"/>
      <c r="B317" s="5"/>
      <c r="C317" s="5"/>
      <c r="D317" s="5"/>
      <c r="E317" s="5"/>
      <c r="F317" s="5"/>
      <c r="G317" s="5"/>
      <c r="H317" s="5" t="s">
        <v>23</v>
      </c>
      <c r="I317" s="6">
        <v>44819</v>
      </c>
      <c r="J317" s="5" t="s">
        <v>78</v>
      </c>
      <c r="K317" s="5" t="s">
        <v>410</v>
      </c>
      <c r="L317" s="5" t="s">
        <v>465</v>
      </c>
      <c r="M317" s="5"/>
      <c r="N317" s="7"/>
      <c r="O317" s="5" t="s">
        <v>553</v>
      </c>
      <c r="P317" s="8">
        <v>7286.18</v>
      </c>
      <c r="Q317" s="8">
        <f t="shared" si="4"/>
        <v>587373.48</v>
      </c>
    </row>
    <row r="318" spans="1:17" x14ac:dyDescent="0.25">
      <c r="A318" s="5"/>
      <c r="B318" s="5"/>
      <c r="C318" s="5"/>
      <c r="D318" s="5"/>
      <c r="E318" s="5"/>
      <c r="F318" s="5"/>
      <c r="G318" s="5"/>
      <c r="H318" s="5" t="s">
        <v>23</v>
      </c>
      <c r="I318" s="6">
        <v>44819</v>
      </c>
      <c r="J318" s="5" t="s">
        <v>78</v>
      </c>
      <c r="K318" s="5" t="s">
        <v>410</v>
      </c>
      <c r="L318" s="5" t="s">
        <v>502</v>
      </c>
      <c r="M318" s="5"/>
      <c r="N318" s="7"/>
      <c r="O318" s="5" t="s">
        <v>553</v>
      </c>
      <c r="P318" s="8">
        <v>-728.62</v>
      </c>
      <c r="Q318" s="8">
        <f t="shared" si="4"/>
        <v>586644.86</v>
      </c>
    </row>
    <row r="319" spans="1:17" x14ac:dyDescent="0.25">
      <c r="A319" s="5"/>
      <c r="B319" s="5"/>
      <c r="C319" s="5"/>
      <c r="D319" s="5"/>
      <c r="E319" s="5"/>
      <c r="F319" s="5"/>
      <c r="G319" s="5"/>
      <c r="H319" s="5" t="s">
        <v>23</v>
      </c>
      <c r="I319" s="6">
        <v>44820</v>
      </c>
      <c r="J319" s="5" t="s">
        <v>308</v>
      </c>
      <c r="K319" s="5" t="s">
        <v>413</v>
      </c>
      <c r="L319" s="5"/>
      <c r="M319" s="5"/>
      <c r="N319" s="7"/>
      <c r="O319" s="5" t="s">
        <v>553</v>
      </c>
      <c r="P319" s="8">
        <v>941.78</v>
      </c>
      <c r="Q319" s="8">
        <f t="shared" si="4"/>
        <v>587586.64</v>
      </c>
    </row>
    <row r="320" spans="1:17" x14ac:dyDescent="0.25">
      <c r="A320" s="5"/>
      <c r="B320" s="5"/>
      <c r="C320" s="5"/>
      <c r="D320" s="5"/>
      <c r="E320" s="5"/>
      <c r="F320" s="5"/>
      <c r="G320" s="5"/>
      <c r="H320" s="5" t="s">
        <v>23</v>
      </c>
      <c r="I320" s="6">
        <v>44820</v>
      </c>
      <c r="J320" s="5" t="s">
        <v>309</v>
      </c>
      <c r="K320" s="5" t="s">
        <v>413</v>
      </c>
      <c r="L320" s="5"/>
      <c r="M320" s="5"/>
      <c r="N320" s="7"/>
      <c r="O320" s="5" t="s">
        <v>553</v>
      </c>
      <c r="P320" s="8">
        <v>580.85</v>
      </c>
      <c r="Q320" s="8">
        <f t="shared" si="4"/>
        <v>588167.49</v>
      </c>
    </row>
    <row r="321" spans="1:17" x14ac:dyDescent="0.25">
      <c r="A321" s="5"/>
      <c r="B321" s="5"/>
      <c r="C321" s="5"/>
      <c r="D321" s="5"/>
      <c r="E321" s="5"/>
      <c r="F321" s="5"/>
      <c r="G321" s="5"/>
      <c r="H321" s="5" t="s">
        <v>23</v>
      </c>
      <c r="I321" s="6">
        <v>44820</v>
      </c>
      <c r="J321" s="5" t="s">
        <v>310</v>
      </c>
      <c r="K321" s="5" t="s">
        <v>413</v>
      </c>
      <c r="L321" s="5"/>
      <c r="M321" s="5"/>
      <c r="N321" s="7"/>
      <c r="O321" s="5" t="s">
        <v>553</v>
      </c>
      <c r="P321" s="8">
        <v>374.51</v>
      </c>
      <c r="Q321" s="8">
        <f t="shared" si="4"/>
        <v>588542</v>
      </c>
    </row>
    <row r="322" spans="1:17" x14ac:dyDescent="0.25">
      <c r="A322" s="5"/>
      <c r="B322" s="5"/>
      <c r="C322" s="5"/>
      <c r="D322" s="5"/>
      <c r="E322" s="5"/>
      <c r="F322" s="5"/>
      <c r="G322" s="5"/>
      <c r="H322" s="5" t="s">
        <v>23</v>
      </c>
      <c r="I322" s="6">
        <v>44820</v>
      </c>
      <c r="J322" s="5" t="s">
        <v>311</v>
      </c>
      <c r="K322" s="5" t="s">
        <v>413</v>
      </c>
      <c r="L322" s="5"/>
      <c r="M322" s="5"/>
      <c r="N322" s="7"/>
      <c r="O322" s="5" t="s">
        <v>553</v>
      </c>
      <c r="P322" s="8">
        <v>699.75</v>
      </c>
      <c r="Q322" s="8">
        <f t="shared" si="4"/>
        <v>589241.75</v>
      </c>
    </row>
    <row r="323" spans="1:17" x14ac:dyDescent="0.25">
      <c r="A323" s="5"/>
      <c r="B323" s="5"/>
      <c r="C323" s="5"/>
      <c r="D323" s="5"/>
      <c r="E323" s="5"/>
      <c r="F323" s="5"/>
      <c r="G323" s="5"/>
      <c r="H323" s="5" t="s">
        <v>23</v>
      </c>
      <c r="I323" s="6">
        <v>44820</v>
      </c>
      <c r="J323" s="5" t="s">
        <v>312</v>
      </c>
      <c r="K323" s="5" t="s">
        <v>413</v>
      </c>
      <c r="L323" s="5"/>
      <c r="M323" s="5"/>
      <c r="N323" s="7"/>
      <c r="O323" s="5" t="s">
        <v>553</v>
      </c>
      <c r="P323" s="8">
        <v>454.8</v>
      </c>
      <c r="Q323" s="8">
        <f t="shared" si="4"/>
        <v>589696.55000000005</v>
      </c>
    </row>
    <row r="324" spans="1:17" x14ac:dyDescent="0.25">
      <c r="A324" s="5"/>
      <c r="B324" s="5"/>
      <c r="C324" s="5"/>
      <c r="D324" s="5"/>
      <c r="E324" s="5"/>
      <c r="F324" s="5"/>
      <c r="G324" s="5"/>
      <c r="H324" s="5" t="s">
        <v>23</v>
      </c>
      <c r="I324" s="6">
        <v>44820</v>
      </c>
      <c r="J324" s="5" t="s">
        <v>313</v>
      </c>
      <c r="K324" s="5" t="s">
        <v>413</v>
      </c>
      <c r="L324" s="5"/>
      <c r="M324" s="5"/>
      <c r="N324" s="7"/>
      <c r="O324" s="5" t="s">
        <v>553</v>
      </c>
      <c r="P324" s="8">
        <v>412.4</v>
      </c>
      <c r="Q324" s="8">
        <f t="shared" si="4"/>
        <v>590108.94999999995</v>
      </c>
    </row>
    <row r="325" spans="1:17" x14ac:dyDescent="0.25">
      <c r="A325" s="5"/>
      <c r="B325" s="5"/>
      <c r="C325" s="5"/>
      <c r="D325" s="5"/>
      <c r="E325" s="5"/>
      <c r="F325" s="5"/>
      <c r="G325" s="5"/>
      <c r="H325" s="5" t="s">
        <v>23</v>
      </c>
      <c r="I325" s="6">
        <v>44820</v>
      </c>
      <c r="J325" s="5" t="s">
        <v>314</v>
      </c>
      <c r="K325" s="5" t="s">
        <v>413</v>
      </c>
      <c r="L325" s="5"/>
      <c r="M325" s="5"/>
      <c r="N325" s="7"/>
      <c r="O325" s="5" t="s">
        <v>553</v>
      </c>
      <c r="P325" s="8">
        <v>1006.92</v>
      </c>
      <c r="Q325" s="8">
        <f t="shared" ref="Q325:Q388" si="5">ROUND(Q324+P325,5)</f>
        <v>591115.87</v>
      </c>
    </row>
    <row r="326" spans="1:17" x14ac:dyDescent="0.25">
      <c r="A326" s="5"/>
      <c r="B326" s="5"/>
      <c r="C326" s="5"/>
      <c r="D326" s="5"/>
      <c r="E326" s="5"/>
      <c r="F326" s="5"/>
      <c r="G326" s="5"/>
      <c r="H326" s="5" t="s">
        <v>23</v>
      </c>
      <c r="I326" s="6">
        <v>44823</v>
      </c>
      <c r="J326" s="5" t="s">
        <v>315</v>
      </c>
      <c r="K326" s="5" t="s">
        <v>412</v>
      </c>
      <c r="L326" s="5"/>
      <c r="M326" s="5"/>
      <c r="N326" s="7"/>
      <c r="O326" s="5" t="s">
        <v>553</v>
      </c>
      <c r="P326" s="8">
        <v>381.36</v>
      </c>
      <c r="Q326" s="8">
        <f t="shared" si="5"/>
        <v>591497.23</v>
      </c>
    </row>
    <row r="327" spans="1:17" x14ac:dyDescent="0.25">
      <c r="A327" s="5"/>
      <c r="B327" s="5"/>
      <c r="C327" s="5"/>
      <c r="D327" s="5"/>
      <c r="E327" s="5"/>
      <c r="F327" s="5"/>
      <c r="G327" s="5"/>
      <c r="H327" s="5" t="s">
        <v>23</v>
      </c>
      <c r="I327" s="6">
        <v>44823</v>
      </c>
      <c r="J327" s="5" t="s">
        <v>316</v>
      </c>
      <c r="K327" s="5" t="s">
        <v>413</v>
      </c>
      <c r="L327" s="5"/>
      <c r="M327" s="5"/>
      <c r="N327" s="7"/>
      <c r="O327" s="5" t="s">
        <v>553</v>
      </c>
      <c r="P327" s="8">
        <v>545.35</v>
      </c>
      <c r="Q327" s="8">
        <f t="shared" si="5"/>
        <v>592042.57999999996</v>
      </c>
    </row>
    <row r="328" spans="1:17" x14ac:dyDescent="0.25">
      <c r="A328" s="5"/>
      <c r="B328" s="5"/>
      <c r="C328" s="5"/>
      <c r="D328" s="5"/>
      <c r="E328" s="5"/>
      <c r="F328" s="5"/>
      <c r="G328" s="5"/>
      <c r="H328" s="5" t="s">
        <v>23</v>
      </c>
      <c r="I328" s="6">
        <v>44823</v>
      </c>
      <c r="J328" s="5" t="s">
        <v>317</v>
      </c>
      <c r="K328" s="5" t="s">
        <v>413</v>
      </c>
      <c r="L328" s="5"/>
      <c r="M328" s="5"/>
      <c r="N328" s="7"/>
      <c r="O328" s="5" t="s">
        <v>553</v>
      </c>
      <c r="P328" s="8">
        <v>626.86</v>
      </c>
      <c r="Q328" s="8">
        <f t="shared" si="5"/>
        <v>592669.43999999994</v>
      </c>
    </row>
    <row r="329" spans="1:17" x14ac:dyDescent="0.25">
      <c r="A329" s="5"/>
      <c r="B329" s="5"/>
      <c r="C329" s="5"/>
      <c r="D329" s="5"/>
      <c r="E329" s="5"/>
      <c r="F329" s="5"/>
      <c r="G329" s="5"/>
      <c r="H329" s="5" t="s">
        <v>23</v>
      </c>
      <c r="I329" s="6">
        <v>44823</v>
      </c>
      <c r="J329" s="5" t="s">
        <v>318</v>
      </c>
      <c r="K329" s="5" t="s">
        <v>412</v>
      </c>
      <c r="L329" s="5"/>
      <c r="M329" s="5"/>
      <c r="N329" s="7"/>
      <c r="O329" s="5" t="s">
        <v>553</v>
      </c>
      <c r="P329" s="8">
        <v>444.92</v>
      </c>
      <c r="Q329" s="8">
        <f t="shared" si="5"/>
        <v>593114.36</v>
      </c>
    </row>
    <row r="330" spans="1:17" x14ac:dyDescent="0.25">
      <c r="A330" s="5"/>
      <c r="B330" s="5"/>
      <c r="C330" s="5"/>
      <c r="D330" s="5"/>
      <c r="E330" s="5"/>
      <c r="F330" s="5"/>
      <c r="G330" s="5"/>
      <c r="H330" s="5" t="s">
        <v>23</v>
      </c>
      <c r="I330" s="6">
        <v>44824</v>
      </c>
      <c r="J330" s="5" t="s">
        <v>319</v>
      </c>
      <c r="K330" s="5" t="s">
        <v>413</v>
      </c>
      <c r="L330" s="5"/>
      <c r="M330" s="5"/>
      <c r="N330" s="7"/>
      <c r="O330" s="5" t="s">
        <v>553</v>
      </c>
      <c r="P330" s="8">
        <v>896.19</v>
      </c>
      <c r="Q330" s="8">
        <f t="shared" si="5"/>
        <v>594010.55000000005</v>
      </c>
    </row>
    <row r="331" spans="1:17" x14ac:dyDescent="0.25">
      <c r="A331" s="5"/>
      <c r="B331" s="5"/>
      <c r="C331" s="5"/>
      <c r="D331" s="5"/>
      <c r="E331" s="5"/>
      <c r="F331" s="5"/>
      <c r="G331" s="5"/>
      <c r="H331" s="5" t="s">
        <v>23</v>
      </c>
      <c r="I331" s="6">
        <v>44824</v>
      </c>
      <c r="J331" s="5" t="s">
        <v>320</v>
      </c>
      <c r="K331" s="5" t="s">
        <v>413</v>
      </c>
      <c r="L331" s="5"/>
      <c r="M331" s="5"/>
      <c r="N331" s="7"/>
      <c r="O331" s="5" t="s">
        <v>553</v>
      </c>
      <c r="P331" s="8">
        <v>956.33</v>
      </c>
      <c r="Q331" s="8">
        <f t="shared" si="5"/>
        <v>594966.88</v>
      </c>
    </row>
    <row r="332" spans="1:17" x14ac:dyDescent="0.25">
      <c r="A332" s="5"/>
      <c r="B332" s="5"/>
      <c r="C332" s="5"/>
      <c r="D332" s="5"/>
      <c r="E332" s="5"/>
      <c r="F332" s="5"/>
      <c r="G332" s="5"/>
      <c r="H332" s="5" t="s">
        <v>23</v>
      </c>
      <c r="I332" s="6">
        <v>44824</v>
      </c>
      <c r="J332" s="5" t="s">
        <v>321</v>
      </c>
      <c r="K332" s="5" t="s">
        <v>412</v>
      </c>
      <c r="L332" s="5"/>
      <c r="M332" s="5"/>
      <c r="N332" s="7"/>
      <c r="O332" s="5" t="s">
        <v>553</v>
      </c>
      <c r="P332" s="8">
        <v>232</v>
      </c>
      <c r="Q332" s="8">
        <f t="shared" si="5"/>
        <v>595198.88</v>
      </c>
    </row>
    <row r="333" spans="1:17" x14ac:dyDescent="0.25">
      <c r="A333" s="5"/>
      <c r="B333" s="5"/>
      <c r="C333" s="5"/>
      <c r="D333" s="5"/>
      <c r="E333" s="5"/>
      <c r="F333" s="5"/>
      <c r="G333" s="5"/>
      <c r="H333" s="5" t="s">
        <v>23</v>
      </c>
      <c r="I333" s="6">
        <v>44824</v>
      </c>
      <c r="J333" s="5" t="s">
        <v>322</v>
      </c>
      <c r="K333" s="5" t="s">
        <v>426</v>
      </c>
      <c r="L333" s="5" t="s">
        <v>503</v>
      </c>
      <c r="M333" s="5"/>
      <c r="N333" s="7"/>
      <c r="O333" s="5" t="s">
        <v>553</v>
      </c>
      <c r="P333" s="8">
        <v>45000</v>
      </c>
      <c r="Q333" s="8">
        <f t="shared" si="5"/>
        <v>640198.88</v>
      </c>
    </row>
    <row r="334" spans="1:17" x14ac:dyDescent="0.25">
      <c r="A334" s="5"/>
      <c r="B334" s="5"/>
      <c r="C334" s="5"/>
      <c r="D334" s="5"/>
      <c r="E334" s="5"/>
      <c r="F334" s="5"/>
      <c r="G334" s="5"/>
      <c r="H334" s="5" t="s">
        <v>23</v>
      </c>
      <c r="I334" s="6">
        <v>44824</v>
      </c>
      <c r="J334" s="5" t="s">
        <v>322</v>
      </c>
      <c r="K334" s="5" t="s">
        <v>426</v>
      </c>
      <c r="L334" s="5" t="s">
        <v>504</v>
      </c>
      <c r="M334" s="5"/>
      <c r="N334" s="7"/>
      <c r="O334" s="5" t="s">
        <v>553</v>
      </c>
      <c r="P334" s="8">
        <v>0</v>
      </c>
      <c r="Q334" s="8">
        <f t="shared" si="5"/>
        <v>640198.88</v>
      </c>
    </row>
    <row r="335" spans="1:17" x14ac:dyDescent="0.25">
      <c r="A335" s="5"/>
      <c r="B335" s="5"/>
      <c r="C335" s="5"/>
      <c r="D335" s="5"/>
      <c r="E335" s="5"/>
      <c r="F335" s="5"/>
      <c r="G335" s="5"/>
      <c r="H335" s="5" t="s">
        <v>23</v>
      </c>
      <c r="I335" s="6">
        <v>44824</v>
      </c>
      <c r="J335" s="5" t="s">
        <v>322</v>
      </c>
      <c r="K335" s="5" t="s">
        <v>426</v>
      </c>
      <c r="L335" s="5" t="s">
        <v>505</v>
      </c>
      <c r="M335" s="5"/>
      <c r="N335" s="7"/>
      <c r="O335" s="5" t="s">
        <v>553</v>
      </c>
      <c r="P335" s="8">
        <v>0</v>
      </c>
      <c r="Q335" s="8">
        <f t="shared" si="5"/>
        <v>640198.88</v>
      </c>
    </row>
    <row r="336" spans="1:17" x14ac:dyDescent="0.25">
      <c r="A336" s="5"/>
      <c r="B336" s="5"/>
      <c r="C336" s="5"/>
      <c r="D336" s="5"/>
      <c r="E336" s="5"/>
      <c r="F336" s="5"/>
      <c r="G336" s="5"/>
      <c r="H336" s="5" t="s">
        <v>23</v>
      </c>
      <c r="I336" s="6">
        <v>44827</v>
      </c>
      <c r="J336" s="5" t="s">
        <v>323</v>
      </c>
      <c r="K336" s="5" t="s">
        <v>413</v>
      </c>
      <c r="L336" s="5"/>
      <c r="M336" s="5"/>
      <c r="N336" s="7"/>
      <c r="O336" s="5" t="s">
        <v>553</v>
      </c>
      <c r="P336" s="8">
        <v>955.44</v>
      </c>
      <c r="Q336" s="8">
        <f t="shared" si="5"/>
        <v>641154.31999999995</v>
      </c>
    </row>
    <row r="337" spans="1:17" x14ac:dyDescent="0.25">
      <c r="A337" s="5"/>
      <c r="B337" s="5"/>
      <c r="C337" s="5"/>
      <c r="D337" s="5"/>
      <c r="E337" s="5"/>
      <c r="F337" s="5"/>
      <c r="G337" s="5"/>
      <c r="H337" s="5" t="s">
        <v>23</v>
      </c>
      <c r="I337" s="6">
        <v>44827</v>
      </c>
      <c r="J337" s="5" t="s">
        <v>324</v>
      </c>
      <c r="K337" s="5" t="s">
        <v>413</v>
      </c>
      <c r="L337" s="5"/>
      <c r="M337" s="5"/>
      <c r="N337" s="7"/>
      <c r="O337" s="5" t="s">
        <v>553</v>
      </c>
      <c r="P337" s="8">
        <v>474.4</v>
      </c>
      <c r="Q337" s="8">
        <f t="shared" si="5"/>
        <v>641628.72</v>
      </c>
    </row>
    <row r="338" spans="1:17" x14ac:dyDescent="0.25">
      <c r="A338" s="5"/>
      <c r="B338" s="5"/>
      <c r="C338" s="5"/>
      <c r="D338" s="5"/>
      <c r="E338" s="5"/>
      <c r="F338" s="5"/>
      <c r="G338" s="5"/>
      <c r="H338" s="5" t="s">
        <v>23</v>
      </c>
      <c r="I338" s="6">
        <v>44827</v>
      </c>
      <c r="J338" s="5" t="s">
        <v>325</v>
      </c>
      <c r="K338" s="5" t="s">
        <v>413</v>
      </c>
      <c r="L338" s="5"/>
      <c r="M338" s="5"/>
      <c r="N338" s="7"/>
      <c r="O338" s="5" t="s">
        <v>553</v>
      </c>
      <c r="P338" s="8">
        <v>355</v>
      </c>
      <c r="Q338" s="8">
        <f t="shared" si="5"/>
        <v>641983.72</v>
      </c>
    </row>
    <row r="339" spans="1:17" x14ac:dyDescent="0.25">
      <c r="A339" s="5"/>
      <c r="B339" s="5"/>
      <c r="C339" s="5"/>
      <c r="D339" s="5"/>
      <c r="E339" s="5"/>
      <c r="F339" s="5"/>
      <c r="G339" s="5"/>
      <c r="H339" s="5" t="s">
        <v>23</v>
      </c>
      <c r="I339" s="6">
        <v>44827</v>
      </c>
      <c r="J339" s="5" t="s">
        <v>326</v>
      </c>
      <c r="K339" s="5" t="s">
        <v>413</v>
      </c>
      <c r="L339" s="5"/>
      <c r="M339" s="5"/>
      <c r="N339" s="7"/>
      <c r="O339" s="5" t="s">
        <v>553</v>
      </c>
      <c r="P339" s="8">
        <v>220</v>
      </c>
      <c r="Q339" s="8">
        <f t="shared" si="5"/>
        <v>642203.72</v>
      </c>
    </row>
    <row r="340" spans="1:17" x14ac:dyDescent="0.25">
      <c r="A340" s="5"/>
      <c r="B340" s="5"/>
      <c r="C340" s="5"/>
      <c r="D340" s="5"/>
      <c r="E340" s="5"/>
      <c r="F340" s="5"/>
      <c r="G340" s="5"/>
      <c r="H340" s="5" t="s">
        <v>23</v>
      </c>
      <c r="I340" s="6">
        <v>44831</v>
      </c>
      <c r="J340" s="5" t="s">
        <v>327</v>
      </c>
      <c r="K340" s="5" t="s">
        <v>413</v>
      </c>
      <c r="L340" s="5"/>
      <c r="M340" s="5"/>
      <c r="N340" s="7"/>
      <c r="O340" s="5" t="s">
        <v>553</v>
      </c>
      <c r="P340" s="8">
        <v>535</v>
      </c>
      <c r="Q340" s="8">
        <f t="shared" si="5"/>
        <v>642738.72</v>
      </c>
    </row>
    <row r="341" spans="1:17" x14ac:dyDescent="0.25">
      <c r="A341" s="5"/>
      <c r="B341" s="5"/>
      <c r="C341" s="5"/>
      <c r="D341" s="5"/>
      <c r="E341" s="5"/>
      <c r="F341" s="5"/>
      <c r="G341" s="5"/>
      <c r="H341" s="5" t="s">
        <v>23</v>
      </c>
      <c r="I341" s="6">
        <v>44833</v>
      </c>
      <c r="J341" s="5" t="s">
        <v>77</v>
      </c>
      <c r="K341" s="5" t="s">
        <v>412</v>
      </c>
      <c r="L341" s="5"/>
      <c r="M341" s="5"/>
      <c r="N341" s="7"/>
      <c r="O341" s="5" t="s">
        <v>553</v>
      </c>
      <c r="P341" s="8">
        <v>800.65</v>
      </c>
      <c r="Q341" s="8">
        <f t="shared" si="5"/>
        <v>643539.37</v>
      </c>
    </row>
    <row r="342" spans="1:17" x14ac:dyDescent="0.25">
      <c r="A342" s="5"/>
      <c r="B342" s="5"/>
      <c r="C342" s="5"/>
      <c r="D342" s="5"/>
      <c r="E342" s="5"/>
      <c r="F342" s="5"/>
      <c r="G342" s="5"/>
      <c r="H342" s="5" t="s">
        <v>23</v>
      </c>
      <c r="I342" s="6">
        <v>44834</v>
      </c>
      <c r="J342" s="5" t="s">
        <v>328</v>
      </c>
      <c r="K342" s="5" t="s">
        <v>413</v>
      </c>
      <c r="L342" s="5"/>
      <c r="M342" s="5"/>
      <c r="N342" s="7"/>
      <c r="O342" s="5" t="s">
        <v>553</v>
      </c>
      <c r="P342" s="8">
        <v>825.19</v>
      </c>
      <c r="Q342" s="8">
        <f t="shared" si="5"/>
        <v>644364.56000000006</v>
      </c>
    </row>
    <row r="343" spans="1:17" x14ac:dyDescent="0.25">
      <c r="A343" s="5"/>
      <c r="B343" s="5"/>
      <c r="C343" s="5"/>
      <c r="D343" s="5"/>
      <c r="E343" s="5"/>
      <c r="F343" s="5"/>
      <c r="G343" s="5"/>
      <c r="H343" s="5" t="s">
        <v>23</v>
      </c>
      <c r="I343" s="6">
        <v>44834</v>
      </c>
      <c r="J343" s="5" t="s">
        <v>329</v>
      </c>
      <c r="K343" s="5" t="s">
        <v>413</v>
      </c>
      <c r="L343" s="5"/>
      <c r="M343" s="5"/>
      <c r="N343" s="7"/>
      <c r="O343" s="5" t="s">
        <v>553</v>
      </c>
      <c r="P343" s="8">
        <v>538.91999999999996</v>
      </c>
      <c r="Q343" s="8">
        <f t="shared" si="5"/>
        <v>644903.48</v>
      </c>
    </row>
    <row r="344" spans="1:17" x14ac:dyDescent="0.25">
      <c r="A344" s="5"/>
      <c r="B344" s="5"/>
      <c r="C344" s="5"/>
      <c r="D344" s="5"/>
      <c r="E344" s="5"/>
      <c r="F344" s="5"/>
      <c r="G344" s="5"/>
      <c r="H344" s="5" t="s">
        <v>23</v>
      </c>
      <c r="I344" s="6">
        <v>44834</v>
      </c>
      <c r="J344" s="5" t="s">
        <v>330</v>
      </c>
      <c r="K344" s="5" t="s">
        <v>413</v>
      </c>
      <c r="L344" s="5"/>
      <c r="M344" s="5"/>
      <c r="N344" s="7"/>
      <c r="O344" s="5" t="s">
        <v>553</v>
      </c>
      <c r="P344" s="8">
        <v>769.56</v>
      </c>
      <c r="Q344" s="8">
        <f t="shared" si="5"/>
        <v>645673.04</v>
      </c>
    </row>
    <row r="345" spans="1:17" x14ac:dyDescent="0.25">
      <c r="A345" s="5"/>
      <c r="B345" s="5"/>
      <c r="C345" s="5"/>
      <c r="D345" s="5"/>
      <c r="E345" s="5"/>
      <c r="F345" s="5"/>
      <c r="G345" s="5"/>
      <c r="H345" s="5" t="s">
        <v>23</v>
      </c>
      <c r="I345" s="6">
        <v>44834</v>
      </c>
      <c r="J345" s="5" t="s">
        <v>331</v>
      </c>
      <c r="K345" s="5" t="s">
        <v>413</v>
      </c>
      <c r="L345" s="5"/>
      <c r="M345" s="5"/>
      <c r="N345" s="7"/>
      <c r="O345" s="5" t="s">
        <v>553</v>
      </c>
      <c r="P345" s="8">
        <v>219.55</v>
      </c>
      <c r="Q345" s="8">
        <f t="shared" si="5"/>
        <v>645892.59</v>
      </c>
    </row>
    <row r="346" spans="1:17" x14ac:dyDescent="0.25">
      <c r="A346" s="5"/>
      <c r="B346" s="5"/>
      <c r="C346" s="5"/>
      <c r="D346" s="5"/>
      <c r="E346" s="5"/>
      <c r="F346" s="5"/>
      <c r="G346" s="5"/>
      <c r="H346" s="5" t="s">
        <v>23</v>
      </c>
      <c r="I346" s="6">
        <v>44834</v>
      </c>
      <c r="J346" s="5" t="s">
        <v>332</v>
      </c>
      <c r="K346" s="5" t="s">
        <v>413</v>
      </c>
      <c r="L346" s="5"/>
      <c r="M346" s="5"/>
      <c r="N346" s="7"/>
      <c r="O346" s="5" t="s">
        <v>553</v>
      </c>
      <c r="P346" s="8">
        <v>70</v>
      </c>
      <c r="Q346" s="8">
        <f t="shared" si="5"/>
        <v>645962.59</v>
      </c>
    </row>
    <row r="347" spans="1:17" x14ac:dyDescent="0.25">
      <c r="A347" s="5"/>
      <c r="B347" s="5"/>
      <c r="C347" s="5"/>
      <c r="D347" s="5"/>
      <c r="E347" s="5"/>
      <c r="F347" s="5"/>
      <c r="G347" s="5"/>
      <c r="H347" s="5" t="s">
        <v>23</v>
      </c>
      <c r="I347" s="6">
        <v>44834</v>
      </c>
      <c r="J347" s="5" t="s">
        <v>333</v>
      </c>
      <c r="K347" s="5" t="s">
        <v>413</v>
      </c>
      <c r="L347" s="5"/>
      <c r="M347" s="5"/>
      <c r="N347" s="7"/>
      <c r="O347" s="5" t="s">
        <v>553</v>
      </c>
      <c r="P347" s="8">
        <v>920.55</v>
      </c>
      <c r="Q347" s="8">
        <f t="shared" si="5"/>
        <v>646883.14</v>
      </c>
    </row>
    <row r="348" spans="1:17" x14ac:dyDescent="0.25">
      <c r="A348" s="5"/>
      <c r="B348" s="5"/>
      <c r="C348" s="5"/>
      <c r="D348" s="5"/>
      <c r="E348" s="5"/>
      <c r="F348" s="5"/>
      <c r="G348" s="5"/>
      <c r="H348" s="5" t="s">
        <v>23</v>
      </c>
      <c r="I348" s="6">
        <v>44839</v>
      </c>
      <c r="J348" s="5" t="s">
        <v>334</v>
      </c>
      <c r="K348" s="5" t="s">
        <v>413</v>
      </c>
      <c r="L348" s="5"/>
      <c r="M348" s="5"/>
      <c r="N348" s="7"/>
      <c r="O348" s="5" t="s">
        <v>553</v>
      </c>
      <c r="P348" s="8">
        <v>352.1</v>
      </c>
      <c r="Q348" s="8">
        <f t="shared" si="5"/>
        <v>647235.24</v>
      </c>
    </row>
    <row r="349" spans="1:17" x14ac:dyDescent="0.25">
      <c r="A349" s="5"/>
      <c r="B349" s="5"/>
      <c r="C349" s="5"/>
      <c r="D349" s="5"/>
      <c r="E349" s="5"/>
      <c r="F349" s="5"/>
      <c r="G349" s="5"/>
      <c r="H349" s="5" t="s">
        <v>23</v>
      </c>
      <c r="I349" s="6">
        <v>44845</v>
      </c>
      <c r="J349" s="5" t="s">
        <v>335</v>
      </c>
      <c r="K349" s="5" t="s">
        <v>413</v>
      </c>
      <c r="L349" s="5"/>
      <c r="M349" s="5"/>
      <c r="N349" s="7"/>
      <c r="O349" s="5" t="s">
        <v>553</v>
      </c>
      <c r="P349" s="8">
        <v>971.52</v>
      </c>
      <c r="Q349" s="8">
        <f t="shared" si="5"/>
        <v>648206.76</v>
      </c>
    </row>
    <row r="350" spans="1:17" x14ac:dyDescent="0.25">
      <c r="A350" s="5"/>
      <c r="B350" s="5"/>
      <c r="C350" s="5"/>
      <c r="D350" s="5"/>
      <c r="E350" s="5"/>
      <c r="F350" s="5"/>
      <c r="G350" s="5"/>
      <c r="H350" s="5" t="s">
        <v>23</v>
      </c>
      <c r="I350" s="6">
        <v>44845</v>
      </c>
      <c r="J350" s="5" t="s">
        <v>336</v>
      </c>
      <c r="K350" s="5" t="s">
        <v>413</v>
      </c>
      <c r="L350" s="5"/>
      <c r="M350" s="5"/>
      <c r="N350" s="7"/>
      <c r="O350" s="5" t="s">
        <v>553</v>
      </c>
      <c r="P350" s="8">
        <v>971.52</v>
      </c>
      <c r="Q350" s="8">
        <f t="shared" si="5"/>
        <v>649178.28</v>
      </c>
    </row>
    <row r="351" spans="1:17" x14ac:dyDescent="0.25">
      <c r="A351" s="5"/>
      <c r="B351" s="5"/>
      <c r="C351" s="5"/>
      <c r="D351" s="5"/>
      <c r="E351" s="5"/>
      <c r="F351" s="5"/>
      <c r="G351" s="5"/>
      <c r="H351" s="5" t="s">
        <v>23</v>
      </c>
      <c r="I351" s="6">
        <v>44847</v>
      </c>
      <c r="J351" s="5" t="s">
        <v>321</v>
      </c>
      <c r="K351" s="5" t="s">
        <v>427</v>
      </c>
      <c r="L351" s="5" t="s">
        <v>506</v>
      </c>
      <c r="M351" s="5"/>
      <c r="N351" s="7"/>
      <c r="O351" s="5" t="s">
        <v>553</v>
      </c>
      <c r="P351" s="8">
        <v>1970</v>
      </c>
      <c r="Q351" s="8">
        <f t="shared" si="5"/>
        <v>651148.28</v>
      </c>
    </row>
    <row r="352" spans="1:17" x14ac:dyDescent="0.25">
      <c r="A352" s="5"/>
      <c r="B352" s="5"/>
      <c r="C352" s="5"/>
      <c r="D352" s="5"/>
      <c r="E352" s="5"/>
      <c r="F352" s="5"/>
      <c r="G352" s="5"/>
      <c r="H352" s="5" t="s">
        <v>23</v>
      </c>
      <c r="I352" s="6">
        <v>44847</v>
      </c>
      <c r="J352" s="5" t="s">
        <v>77</v>
      </c>
      <c r="K352" s="5" t="s">
        <v>410</v>
      </c>
      <c r="L352" s="5" t="s">
        <v>507</v>
      </c>
      <c r="M352" s="5"/>
      <c r="N352" s="7"/>
      <c r="O352" s="5" t="s">
        <v>553</v>
      </c>
      <c r="P352" s="8">
        <v>4350</v>
      </c>
      <c r="Q352" s="8">
        <f t="shared" si="5"/>
        <v>655498.28</v>
      </c>
    </row>
    <row r="353" spans="1:17" x14ac:dyDescent="0.25">
      <c r="A353" s="5"/>
      <c r="B353" s="5"/>
      <c r="C353" s="5"/>
      <c r="D353" s="5"/>
      <c r="E353" s="5"/>
      <c r="F353" s="5"/>
      <c r="G353" s="5"/>
      <c r="H353" s="5" t="s">
        <v>23</v>
      </c>
      <c r="I353" s="6">
        <v>44847</v>
      </c>
      <c r="J353" s="5" t="s">
        <v>77</v>
      </c>
      <c r="K353" s="5" t="s">
        <v>410</v>
      </c>
      <c r="L353" s="5" t="s">
        <v>505</v>
      </c>
      <c r="M353" s="5"/>
      <c r="N353" s="7"/>
      <c r="O353" s="5" t="s">
        <v>553</v>
      </c>
      <c r="P353" s="8">
        <v>0</v>
      </c>
      <c r="Q353" s="8">
        <f t="shared" si="5"/>
        <v>655498.28</v>
      </c>
    </row>
    <row r="354" spans="1:17" x14ac:dyDescent="0.25">
      <c r="A354" s="5"/>
      <c r="B354" s="5"/>
      <c r="C354" s="5"/>
      <c r="D354" s="5"/>
      <c r="E354" s="5"/>
      <c r="F354" s="5"/>
      <c r="G354" s="5"/>
      <c r="H354" s="5" t="s">
        <v>23</v>
      </c>
      <c r="I354" s="6">
        <v>44847</v>
      </c>
      <c r="J354" s="5" t="s">
        <v>337</v>
      </c>
      <c r="K354" s="5" t="s">
        <v>413</v>
      </c>
      <c r="L354" s="5"/>
      <c r="M354" s="5"/>
      <c r="N354" s="7"/>
      <c r="O354" s="5" t="s">
        <v>553</v>
      </c>
      <c r="P354" s="8">
        <v>220</v>
      </c>
      <c r="Q354" s="8">
        <f t="shared" si="5"/>
        <v>655718.28</v>
      </c>
    </row>
    <row r="355" spans="1:17" x14ac:dyDescent="0.25">
      <c r="A355" s="5"/>
      <c r="B355" s="5"/>
      <c r="C355" s="5"/>
      <c r="D355" s="5"/>
      <c r="E355" s="5"/>
      <c r="F355" s="5"/>
      <c r="G355" s="5"/>
      <c r="H355" s="5" t="s">
        <v>23</v>
      </c>
      <c r="I355" s="6">
        <v>44847</v>
      </c>
      <c r="J355" s="5" t="s">
        <v>338</v>
      </c>
      <c r="K355" s="5" t="s">
        <v>413</v>
      </c>
      <c r="L355" s="5"/>
      <c r="M355" s="5"/>
      <c r="N355" s="7"/>
      <c r="O355" s="5" t="s">
        <v>553</v>
      </c>
      <c r="P355" s="8">
        <v>1686.51</v>
      </c>
      <c r="Q355" s="8">
        <f t="shared" si="5"/>
        <v>657404.79</v>
      </c>
    </row>
    <row r="356" spans="1:17" x14ac:dyDescent="0.25">
      <c r="A356" s="5"/>
      <c r="B356" s="5"/>
      <c r="C356" s="5"/>
      <c r="D356" s="5"/>
      <c r="E356" s="5"/>
      <c r="F356" s="5"/>
      <c r="G356" s="5"/>
      <c r="H356" s="5" t="s">
        <v>23</v>
      </c>
      <c r="I356" s="6">
        <v>44851</v>
      </c>
      <c r="J356" s="5" t="s">
        <v>339</v>
      </c>
      <c r="K356" s="5" t="s">
        <v>426</v>
      </c>
      <c r="L356" s="5" t="s">
        <v>508</v>
      </c>
      <c r="M356" s="5"/>
      <c r="N356" s="7"/>
      <c r="O356" s="5" t="s">
        <v>553</v>
      </c>
      <c r="P356" s="8">
        <v>9000</v>
      </c>
      <c r="Q356" s="8">
        <f t="shared" si="5"/>
        <v>666404.79</v>
      </c>
    </row>
    <row r="357" spans="1:17" x14ac:dyDescent="0.25">
      <c r="A357" s="5"/>
      <c r="B357" s="5"/>
      <c r="C357" s="5"/>
      <c r="D357" s="5"/>
      <c r="E357" s="5"/>
      <c r="F357" s="5"/>
      <c r="G357" s="5"/>
      <c r="H357" s="5" t="s">
        <v>23</v>
      </c>
      <c r="I357" s="6">
        <v>44851</v>
      </c>
      <c r="J357" s="5" t="s">
        <v>322</v>
      </c>
      <c r="K357" s="5" t="s">
        <v>408</v>
      </c>
      <c r="L357" s="5" t="s">
        <v>509</v>
      </c>
      <c r="M357" s="5"/>
      <c r="N357" s="7"/>
      <c r="O357" s="5" t="s">
        <v>553</v>
      </c>
      <c r="P357" s="8">
        <v>6400</v>
      </c>
      <c r="Q357" s="8">
        <f t="shared" si="5"/>
        <v>672804.79</v>
      </c>
    </row>
    <row r="358" spans="1:17" x14ac:dyDescent="0.25">
      <c r="A358" s="5"/>
      <c r="B358" s="5"/>
      <c r="C358" s="5"/>
      <c r="D358" s="5"/>
      <c r="E358" s="5"/>
      <c r="F358" s="5"/>
      <c r="G358" s="5"/>
      <c r="H358" s="5" t="s">
        <v>23</v>
      </c>
      <c r="I358" s="6">
        <v>44851</v>
      </c>
      <c r="J358" s="5" t="s">
        <v>340</v>
      </c>
      <c r="K358" s="5" t="s">
        <v>412</v>
      </c>
      <c r="L358" s="5"/>
      <c r="M358" s="5"/>
      <c r="N358" s="7"/>
      <c r="O358" s="5" t="s">
        <v>553</v>
      </c>
      <c r="P358" s="8">
        <v>185.1</v>
      </c>
      <c r="Q358" s="8">
        <f t="shared" si="5"/>
        <v>672989.89</v>
      </c>
    </row>
    <row r="359" spans="1:17" x14ac:dyDescent="0.25">
      <c r="A359" s="5"/>
      <c r="B359" s="5"/>
      <c r="C359" s="5"/>
      <c r="D359" s="5"/>
      <c r="E359" s="5"/>
      <c r="F359" s="5"/>
      <c r="G359" s="5"/>
      <c r="H359" s="5" t="s">
        <v>23</v>
      </c>
      <c r="I359" s="6">
        <v>44851</v>
      </c>
      <c r="J359" s="5" t="s">
        <v>341</v>
      </c>
      <c r="K359" s="5" t="s">
        <v>428</v>
      </c>
      <c r="L359" s="5"/>
      <c r="M359" s="5"/>
      <c r="N359" s="7"/>
      <c r="O359" s="5" t="s">
        <v>553</v>
      </c>
      <c r="P359" s="8">
        <v>185.09</v>
      </c>
      <c r="Q359" s="8">
        <f t="shared" si="5"/>
        <v>673174.98</v>
      </c>
    </row>
    <row r="360" spans="1:17" x14ac:dyDescent="0.25">
      <c r="A360" s="5"/>
      <c r="B360" s="5"/>
      <c r="C360" s="5"/>
      <c r="D360" s="5"/>
      <c r="E360" s="5"/>
      <c r="F360" s="5"/>
      <c r="G360" s="5"/>
      <c r="H360" s="5" t="s">
        <v>23</v>
      </c>
      <c r="I360" s="6">
        <v>44858</v>
      </c>
      <c r="J360" s="5" t="s">
        <v>342</v>
      </c>
      <c r="K360" s="5" t="s">
        <v>405</v>
      </c>
      <c r="L360" s="5" t="s">
        <v>510</v>
      </c>
      <c r="M360" s="5"/>
      <c r="N360" s="7"/>
      <c r="O360" s="5" t="s">
        <v>553</v>
      </c>
      <c r="P360" s="8">
        <v>16000</v>
      </c>
      <c r="Q360" s="8">
        <f t="shared" si="5"/>
        <v>689174.98</v>
      </c>
    </row>
    <row r="361" spans="1:17" x14ac:dyDescent="0.25">
      <c r="A361" s="5"/>
      <c r="B361" s="5"/>
      <c r="C361" s="5"/>
      <c r="D361" s="5"/>
      <c r="E361" s="5"/>
      <c r="F361" s="5"/>
      <c r="G361" s="5"/>
      <c r="H361" s="5" t="s">
        <v>23</v>
      </c>
      <c r="I361" s="6">
        <v>44858</v>
      </c>
      <c r="J361" s="5" t="s">
        <v>342</v>
      </c>
      <c r="K361" s="5" t="s">
        <v>405</v>
      </c>
      <c r="L361" s="5" t="s">
        <v>511</v>
      </c>
      <c r="M361" s="5"/>
      <c r="N361" s="7"/>
      <c r="O361" s="5" t="s">
        <v>553</v>
      </c>
      <c r="P361" s="8">
        <v>2750</v>
      </c>
      <c r="Q361" s="8">
        <f t="shared" si="5"/>
        <v>691924.98</v>
      </c>
    </row>
    <row r="362" spans="1:17" x14ac:dyDescent="0.25">
      <c r="A362" s="5"/>
      <c r="B362" s="5"/>
      <c r="C362" s="5"/>
      <c r="D362" s="5"/>
      <c r="E362" s="5"/>
      <c r="F362" s="5"/>
      <c r="G362" s="5"/>
      <c r="H362" s="5" t="s">
        <v>23</v>
      </c>
      <c r="I362" s="6">
        <v>44858</v>
      </c>
      <c r="J362" s="5" t="s">
        <v>342</v>
      </c>
      <c r="K362" s="5" t="s">
        <v>405</v>
      </c>
      <c r="L362" s="5" t="s">
        <v>512</v>
      </c>
      <c r="M362" s="5"/>
      <c r="N362" s="7"/>
      <c r="O362" s="5" t="s">
        <v>553</v>
      </c>
      <c r="P362" s="8">
        <v>1600</v>
      </c>
      <c r="Q362" s="8">
        <f t="shared" si="5"/>
        <v>693524.98</v>
      </c>
    </row>
    <row r="363" spans="1:17" x14ac:dyDescent="0.25">
      <c r="A363" s="5"/>
      <c r="B363" s="5"/>
      <c r="C363" s="5"/>
      <c r="D363" s="5"/>
      <c r="E363" s="5"/>
      <c r="F363" s="5"/>
      <c r="G363" s="5"/>
      <c r="H363" s="5" t="s">
        <v>23</v>
      </c>
      <c r="I363" s="6">
        <v>44858</v>
      </c>
      <c r="J363" s="5" t="s">
        <v>342</v>
      </c>
      <c r="K363" s="5" t="s">
        <v>405</v>
      </c>
      <c r="L363" s="5" t="s">
        <v>513</v>
      </c>
      <c r="M363" s="5"/>
      <c r="N363" s="7"/>
      <c r="O363" s="5" t="s">
        <v>553</v>
      </c>
      <c r="P363" s="8">
        <v>500</v>
      </c>
      <c r="Q363" s="8">
        <f t="shared" si="5"/>
        <v>694024.98</v>
      </c>
    </row>
    <row r="364" spans="1:17" x14ac:dyDescent="0.25">
      <c r="A364" s="5"/>
      <c r="B364" s="5"/>
      <c r="C364" s="5"/>
      <c r="D364" s="5"/>
      <c r="E364" s="5"/>
      <c r="F364" s="5"/>
      <c r="G364" s="5"/>
      <c r="H364" s="5" t="s">
        <v>23</v>
      </c>
      <c r="I364" s="6">
        <v>44858</v>
      </c>
      <c r="J364" s="5" t="s">
        <v>342</v>
      </c>
      <c r="K364" s="5" t="s">
        <v>405</v>
      </c>
      <c r="L364" s="5" t="s">
        <v>514</v>
      </c>
      <c r="M364" s="5"/>
      <c r="N364" s="7"/>
      <c r="O364" s="5" t="s">
        <v>553</v>
      </c>
      <c r="P364" s="8">
        <v>0</v>
      </c>
      <c r="Q364" s="8">
        <f t="shared" si="5"/>
        <v>694024.98</v>
      </c>
    </row>
    <row r="365" spans="1:17" x14ac:dyDescent="0.25">
      <c r="A365" s="5"/>
      <c r="B365" s="5"/>
      <c r="C365" s="5"/>
      <c r="D365" s="5"/>
      <c r="E365" s="5"/>
      <c r="F365" s="5"/>
      <c r="G365" s="5"/>
      <c r="H365" s="5" t="s">
        <v>23</v>
      </c>
      <c r="I365" s="6">
        <v>44866</v>
      </c>
      <c r="J365" s="5" t="s">
        <v>343</v>
      </c>
      <c r="K365" s="5" t="s">
        <v>425</v>
      </c>
      <c r="L365" s="5" t="s">
        <v>515</v>
      </c>
      <c r="M365" s="5"/>
      <c r="N365" s="7"/>
      <c r="O365" s="5" t="s">
        <v>553</v>
      </c>
      <c r="P365" s="8">
        <v>1120</v>
      </c>
      <c r="Q365" s="8">
        <f t="shared" si="5"/>
        <v>695144.98</v>
      </c>
    </row>
    <row r="366" spans="1:17" x14ac:dyDescent="0.25">
      <c r="A366" s="5"/>
      <c r="B366" s="5"/>
      <c r="C366" s="5"/>
      <c r="D366" s="5"/>
      <c r="E366" s="5"/>
      <c r="F366" s="5"/>
      <c r="G366" s="5"/>
      <c r="H366" s="5" t="s">
        <v>23</v>
      </c>
      <c r="I366" s="6">
        <v>44866</v>
      </c>
      <c r="J366" s="5" t="s">
        <v>339</v>
      </c>
      <c r="K366" s="5" t="s">
        <v>405</v>
      </c>
      <c r="L366" s="5" t="s">
        <v>516</v>
      </c>
      <c r="M366" s="5"/>
      <c r="N366" s="7"/>
      <c r="O366" s="5" t="s">
        <v>553</v>
      </c>
      <c r="P366" s="8">
        <v>11100</v>
      </c>
      <c r="Q366" s="8">
        <f t="shared" si="5"/>
        <v>706244.98</v>
      </c>
    </row>
    <row r="367" spans="1:17" x14ac:dyDescent="0.25">
      <c r="A367" s="5"/>
      <c r="B367" s="5"/>
      <c r="C367" s="5"/>
      <c r="D367" s="5"/>
      <c r="E367" s="5"/>
      <c r="F367" s="5"/>
      <c r="G367" s="5"/>
      <c r="H367" s="5" t="s">
        <v>23</v>
      </c>
      <c r="I367" s="6">
        <v>44866</v>
      </c>
      <c r="J367" s="5" t="s">
        <v>84</v>
      </c>
      <c r="K367" s="5" t="s">
        <v>423</v>
      </c>
      <c r="L367" s="5" t="s">
        <v>517</v>
      </c>
      <c r="M367" s="5"/>
      <c r="N367" s="7"/>
      <c r="O367" s="5" t="s">
        <v>553</v>
      </c>
      <c r="P367" s="8">
        <v>40000</v>
      </c>
      <c r="Q367" s="8">
        <f t="shared" si="5"/>
        <v>746244.98</v>
      </c>
    </row>
    <row r="368" spans="1:17" x14ac:dyDescent="0.25">
      <c r="A368" s="5"/>
      <c r="B368" s="5"/>
      <c r="C368" s="5"/>
      <c r="D368" s="5"/>
      <c r="E368" s="5"/>
      <c r="F368" s="5"/>
      <c r="G368" s="5"/>
      <c r="H368" s="5" t="s">
        <v>23</v>
      </c>
      <c r="I368" s="6">
        <v>44866</v>
      </c>
      <c r="J368" s="5" t="s">
        <v>84</v>
      </c>
      <c r="K368" s="5" t="s">
        <v>423</v>
      </c>
      <c r="L368" s="5" t="s">
        <v>518</v>
      </c>
      <c r="M368" s="5"/>
      <c r="N368" s="7"/>
      <c r="O368" s="5" t="s">
        <v>553</v>
      </c>
      <c r="P368" s="8">
        <v>24000</v>
      </c>
      <c r="Q368" s="8">
        <f t="shared" si="5"/>
        <v>770244.98</v>
      </c>
    </row>
    <row r="369" spans="1:17" x14ac:dyDescent="0.25">
      <c r="A369" s="5"/>
      <c r="B369" s="5"/>
      <c r="C369" s="5"/>
      <c r="D369" s="5"/>
      <c r="E369" s="5"/>
      <c r="F369" s="5"/>
      <c r="G369" s="5"/>
      <c r="H369" s="5" t="s">
        <v>23</v>
      </c>
      <c r="I369" s="6">
        <v>44866</v>
      </c>
      <c r="J369" s="5" t="s">
        <v>84</v>
      </c>
      <c r="K369" s="5" t="s">
        <v>423</v>
      </c>
      <c r="L369" s="5" t="s">
        <v>519</v>
      </c>
      <c r="M369" s="5"/>
      <c r="N369" s="7"/>
      <c r="O369" s="5" t="s">
        <v>553</v>
      </c>
      <c r="P369" s="8">
        <v>15000</v>
      </c>
      <c r="Q369" s="8">
        <f t="shared" si="5"/>
        <v>785244.98</v>
      </c>
    </row>
    <row r="370" spans="1:17" x14ac:dyDescent="0.25">
      <c r="A370" s="5"/>
      <c r="B370" s="5"/>
      <c r="C370" s="5"/>
      <c r="D370" s="5"/>
      <c r="E370" s="5"/>
      <c r="F370" s="5"/>
      <c r="G370" s="5"/>
      <c r="H370" s="5" t="s">
        <v>23</v>
      </c>
      <c r="I370" s="6">
        <v>44866</v>
      </c>
      <c r="J370" s="5" t="s">
        <v>84</v>
      </c>
      <c r="K370" s="5" t="s">
        <v>423</v>
      </c>
      <c r="L370" s="5" t="s">
        <v>520</v>
      </c>
      <c r="M370" s="5"/>
      <c r="N370" s="7"/>
      <c r="O370" s="5" t="s">
        <v>553</v>
      </c>
      <c r="P370" s="8">
        <v>15000</v>
      </c>
      <c r="Q370" s="8">
        <f t="shared" si="5"/>
        <v>800244.98</v>
      </c>
    </row>
    <row r="371" spans="1:17" x14ac:dyDescent="0.25">
      <c r="A371" s="5"/>
      <c r="B371" s="5"/>
      <c r="C371" s="5"/>
      <c r="D371" s="5"/>
      <c r="E371" s="5"/>
      <c r="F371" s="5"/>
      <c r="G371" s="5"/>
      <c r="H371" s="5" t="s">
        <v>23</v>
      </c>
      <c r="I371" s="6">
        <v>44866</v>
      </c>
      <c r="J371" s="5" t="s">
        <v>84</v>
      </c>
      <c r="K371" s="5" t="s">
        <v>423</v>
      </c>
      <c r="L371" s="5" t="s">
        <v>521</v>
      </c>
      <c r="M371" s="5"/>
      <c r="N371" s="7"/>
      <c r="O371" s="5" t="s">
        <v>553</v>
      </c>
      <c r="P371" s="8">
        <v>3000</v>
      </c>
      <c r="Q371" s="8">
        <f t="shared" si="5"/>
        <v>803244.98</v>
      </c>
    </row>
    <row r="372" spans="1:17" x14ac:dyDescent="0.25">
      <c r="A372" s="5"/>
      <c r="B372" s="5"/>
      <c r="C372" s="5"/>
      <c r="D372" s="5"/>
      <c r="E372" s="5"/>
      <c r="F372" s="5"/>
      <c r="G372" s="5"/>
      <c r="H372" s="5" t="s">
        <v>23</v>
      </c>
      <c r="I372" s="6">
        <v>44866</v>
      </c>
      <c r="J372" s="5" t="s">
        <v>84</v>
      </c>
      <c r="K372" s="5" t="s">
        <v>423</v>
      </c>
      <c r="L372" s="5" t="s">
        <v>522</v>
      </c>
      <c r="M372" s="5"/>
      <c r="N372" s="7"/>
      <c r="O372" s="5" t="s">
        <v>553</v>
      </c>
      <c r="P372" s="8">
        <v>16000</v>
      </c>
      <c r="Q372" s="8">
        <f t="shared" si="5"/>
        <v>819244.98</v>
      </c>
    </row>
    <row r="373" spans="1:17" x14ac:dyDescent="0.25">
      <c r="A373" s="5"/>
      <c r="B373" s="5"/>
      <c r="C373" s="5"/>
      <c r="D373" s="5"/>
      <c r="E373" s="5"/>
      <c r="F373" s="5"/>
      <c r="G373" s="5"/>
      <c r="H373" s="5" t="s">
        <v>23</v>
      </c>
      <c r="I373" s="6">
        <v>44866</v>
      </c>
      <c r="J373" s="5" t="s">
        <v>84</v>
      </c>
      <c r="K373" s="5" t="s">
        <v>423</v>
      </c>
      <c r="L373" s="5" t="s">
        <v>523</v>
      </c>
      <c r="M373" s="5"/>
      <c r="N373" s="7"/>
      <c r="O373" s="5" t="s">
        <v>553</v>
      </c>
      <c r="P373" s="8">
        <v>-11300</v>
      </c>
      <c r="Q373" s="8">
        <f t="shared" si="5"/>
        <v>807944.98</v>
      </c>
    </row>
    <row r="374" spans="1:17" x14ac:dyDescent="0.25">
      <c r="A374" s="5"/>
      <c r="B374" s="5"/>
      <c r="C374" s="5"/>
      <c r="D374" s="5"/>
      <c r="E374" s="5"/>
      <c r="F374" s="5"/>
      <c r="G374" s="5"/>
      <c r="H374" s="5" t="s">
        <v>23</v>
      </c>
      <c r="I374" s="6">
        <v>44867</v>
      </c>
      <c r="J374" s="5" t="s">
        <v>83</v>
      </c>
      <c r="K374" s="5" t="s">
        <v>427</v>
      </c>
      <c r="L374" s="5" t="s">
        <v>524</v>
      </c>
      <c r="M374" s="5"/>
      <c r="N374" s="7"/>
      <c r="O374" s="5" t="s">
        <v>553</v>
      </c>
      <c r="P374" s="8">
        <v>7880</v>
      </c>
      <c r="Q374" s="8">
        <f t="shared" si="5"/>
        <v>815824.98</v>
      </c>
    </row>
    <row r="375" spans="1:17" x14ac:dyDescent="0.25">
      <c r="A375" s="5"/>
      <c r="B375" s="5"/>
      <c r="C375" s="5"/>
      <c r="D375" s="5"/>
      <c r="E375" s="5"/>
      <c r="F375" s="5"/>
      <c r="G375" s="5"/>
      <c r="H375" s="5" t="s">
        <v>23</v>
      </c>
      <c r="I375" s="6">
        <v>44869</v>
      </c>
      <c r="J375" s="5" t="s">
        <v>344</v>
      </c>
      <c r="K375" s="5" t="s">
        <v>420</v>
      </c>
      <c r="L375" s="5" t="s">
        <v>488</v>
      </c>
      <c r="M375" s="5"/>
      <c r="N375" s="7"/>
      <c r="O375" s="5" t="s">
        <v>553</v>
      </c>
      <c r="P375" s="8">
        <v>0</v>
      </c>
      <c r="Q375" s="8">
        <f t="shared" si="5"/>
        <v>815824.98</v>
      </c>
    </row>
    <row r="376" spans="1:17" x14ac:dyDescent="0.25">
      <c r="A376" s="5"/>
      <c r="B376" s="5"/>
      <c r="C376" s="5"/>
      <c r="D376" s="5"/>
      <c r="E376" s="5"/>
      <c r="F376" s="5"/>
      <c r="G376" s="5"/>
      <c r="H376" s="5" t="s">
        <v>23</v>
      </c>
      <c r="I376" s="6">
        <v>44869</v>
      </c>
      <c r="J376" s="5" t="s">
        <v>344</v>
      </c>
      <c r="K376" s="5" t="s">
        <v>420</v>
      </c>
      <c r="L376" s="5" t="s">
        <v>489</v>
      </c>
      <c r="M376" s="5"/>
      <c r="N376" s="7"/>
      <c r="O376" s="5" t="s">
        <v>553</v>
      </c>
      <c r="P376" s="8">
        <v>3410</v>
      </c>
      <c r="Q376" s="8">
        <f t="shared" si="5"/>
        <v>819234.98</v>
      </c>
    </row>
    <row r="377" spans="1:17" x14ac:dyDescent="0.25">
      <c r="A377" s="5"/>
      <c r="B377" s="5"/>
      <c r="C377" s="5"/>
      <c r="D377" s="5"/>
      <c r="E377" s="5"/>
      <c r="F377" s="5"/>
      <c r="G377" s="5"/>
      <c r="H377" s="5" t="s">
        <v>23</v>
      </c>
      <c r="I377" s="6">
        <v>44869</v>
      </c>
      <c r="J377" s="5" t="s">
        <v>345</v>
      </c>
      <c r="K377" s="5" t="s">
        <v>422</v>
      </c>
      <c r="L377" s="5" t="s">
        <v>503</v>
      </c>
      <c r="M377" s="5"/>
      <c r="N377" s="7"/>
      <c r="O377" s="5" t="s">
        <v>553</v>
      </c>
      <c r="P377" s="8">
        <v>0</v>
      </c>
      <c r="Q377" s="8">
        <f t="shared" si="5"/>
        <v>819234.98</v>
      </c>
    </row>
    <row r="378" spans="1:17" x14ac:dyDescent="0.25">
      <c r="A378" s="5"/>
      <c r="B378" s="5"/>
      <c r="C378" s="5"/>
      <c r="D378" s="5"/>
      <c r="E378" s="5"/>
      <c r="F378" s="5"/>
      <c r="G378" s="5"/>
      <c r="H378" s="5" t="s">
        <v>23</v>
      </c>
      <c r="I378" s="6">
        <v>44869</v>
      </c>
      <c r="J378" s="5" t="s">
        <v>345</v>
      </c>
      <c r="K378" s="5" t="s">
        <v>422</v>
      </c>
      <c r="L378" s="5" t="s">
        <v>525</v>
      </c>
      <c r="M378" s="5"/>
      <c r="N378" s="7"/>
      <c r="O378" s="5" t="s">
        <v>553</v>
      </c>
      <c r="P378" s="8">
        <v>1125</v>
      </c>
      <c r="Q378" s="8">
        <f t="shared" si="5"/>
        <v>820359.98</v>
      </c>
    </row>
    <row r="379" spans="1:17" x14ac:dyDescent="0.25">
      <c r="A379" s="5"/>
      <c r="B379" s="5"/>
      <c r="C379" s="5"/>
      <c r="D379" s="5"/>
      <c r="E379" s="5"/>
      <c r="F379" s="5"/>
      <c r="G379" s="5"/>
      <c r="H379" s="5" t="s">
        <v>24</v>
      </c>
      <c r="I379" s="6">
        <v>44872</v>
      </c>
      <c r="J379" s="5" t="s">
        <v>346</v>
      </c>
      <c r="K379" s="5" t="s">
        <v>429</v>
      </c>
      <c r="L379" s="5" t="s">
        <v>526</v>
      </c>
      <c r="M379" s="5"/>
      <c r="N379" s="7"/>
      <c r="O379" s="5" t="s">
        <v>553</v>
      </c>
      <c r="P379" s="8">
        <v>-26000</v>
      </c>
      <c r="Q379" s="8">
        <f t="shared" si="5"/>
        <v>794359.98</v>
      </c>
    </row>
    <row r="380" spans="1:17" x14ac:dyDescent="0.25">
      <c r="A380" s="5"/>
      <c r="B380" s="5"/>
      <c r="C380" s="5"/>
      <c r="D380" s="5"/>
      <c r="E380" s="5"/>
      <c r="F380" s="5"/>
      <c r="G380" s="5"/>
      <c r="H380" s="5" t="s">
        <v>24</v>
      </c>
      <c r="I380" s="6">
        <v>44872</v>
      </c>
      <c r="J380" s="5" t="s">
        <v>347</v>
      </c>
      <c r="K380" s="5" t="s">
        <v>430</v>
      </c>
      <c r="L380" s="5" t="s">
        <v>527</v>
      </c>
      <c r="M380" s="5"/>
      <c r="N380" s="7"/>
      <c r="O380" s="5" t="s">
        <v>553</v>
      </c>
      <c r="P380" s="8">
        <v>-5000</v>
      </c>
      <c r="Q380" s="8">
        <f t="shared" si="5"/>
        <v>789359.98</v>
      </c>
    </row>
    <row r="381" spans="1:17" x14ac:dyDescent="0.25">
      <c r="A381" s="5"/>
      <c r="B381" s="5"/>
      <c r="C381" s="5"/>
      <c r="D381" s="5"/>
      <c r="E381" s="5"/>
      <c r="F381" s="5"/>
      <c r="G381" s="5"/>
      <c r="H381" s="5" t="s">
        <v>24</v>
      </c>
      <c r="I381" s="6">
        <v>44872</v>
      </c>
      <c r="J381" s="5" t="s">
        <v>348</v>
      </c>
      <c r="K381" s="5" t="s">
        <v>408</v>
      </c>
      <c r="L381" s="5"/>
      <c r="M381" s="5"/>
      <c r="N381" s="7"/>
      <c r="O381" s="5" t="s">
        <v>553</v>
      </c>
      <c r="P381" s="8">
        <v>-8150.44</v>
      </c>
      <c r="Q381" s="8">
        <f t="shared" si="5"/>
        <v>781209.54</v>
      </c>
    </row>
    <row r="382" spans="1:17" x14ac:dyDescent="0.25">
      <c r="A382" s="5"/>
      <c r="B382" s="5"/>
      <c r="C382" s="5"/>
      <c r="D382" s="5"/>
      <c r="E382" s="5"/>
      <c r="F382" s="5"/>
      <c r="G382" s="5"/>
      <c r="H382" s="5" t="s">
        <v>24</v>
      </c>
      <c r="I382" s="6">
        <v>44872</v>
      </c>
      <c r="J382" s="5" t="s">
        <v>349</v>
      </c>
      <c r="K382" s="5" t="s">
        <v>420</v>
      </c>
      <c r="L382" s="5" t="s">
        <v>488</v>
      </c>
      <c r="M382" s="5"/>
      <c r="N382" s="7"/>
      <c r="O382" s="5" t="s">
        <v>553</v>
      </c>
      <c r="P382" s="8">
        <v>0</v>
      </c>
      <c r="Q382" s="8">
        <f t="shared" si="5"/>
        <v>781209.54</v>
      </c>
    </row>
    <row r="383" spans="1:17" x14ac:dyDescent="0.25">
      <c r="A383" s="5"/>
      <c r="B383" s="5"/>
      <c r="C383" s="5"/>
      <c r="D383" s="5"/>
      <c r="E383" s="5"/>
      <c r="F383" s="5"/>
      <c r="G383" s="5"/>
      <c r="H383" s="5" t="s">
        <v>24</v>
      </c>
      <c r="I383" s="6">
        <v>44872</v>
      </c>
      <c r="J383" s="5" t="s">
        <v>349</v>
      </c>
      <c r="K383" s="5" t="s">
        <v>420</v>
      </c>
      <c r="L383" s="5" t="s">
        <v>489</v>
      </c>
      <c r="M383" s="5"/>
      <c r="N383" s="7"/>
      <c r="O383" s="5" t="s">
        <v>553</v>
      </c>
      <c r="P383" s="8">
        <v>-3410</v>
      </c>
      <c r="Q383" s="8">
        <f t="shared" si="5"/>
        <v>777799.54</v>
      </c>
    </row>
    <row r="384" spans="1:17" x14ac:dyDescent="0.25">
      <c r="A384" s="5"/>
      <c r="B384" s="5"/>
      <c r="C384" s="5"/>
      <c r="D384" s="5"/>
      <c r="E384" s="5"/>
      <c r="F384" s="5"/>
      <c r="G384" s="5"/>
      <c r="H384" s="5" t="s">
        <v>24</v>
      </c>
      <c r="I384" s="6">
        <v>44872</v>
      </c>
      <c r="J384" s="5" t="s">
        <v>350</v>
      </c>
      <c r="K384" s="5" t="s">
        <v>420</v>
      </c>
      <c r="L384" s="5"/>
      <c r="M384" s="5"/>
      <c r="N384" s="7"/>
      <c r="O384" s="5" t="s">
        <v>553</v>
      </c>
      <c r="P384" s="8">
        <v>-17200</v>
      </c>
      <c r="Q384" s="8">
        <f t="shared" si="5"/>
        <v>760599.54</v>
      </c>
    </row>
    <row r="385" spans="1:17" x14ac:dyDescent="0.25">
      <c r="A385" s="5"/>
      <c r="B385" s="5"/>
      <c r="C385" s="5"/>
      <c r="D385" s="5"/>
      <c r="E385" s="5"/>
      <c r="F385" s="5"/>
      <c r="G385" s="5"/>
      <c r="H385" s="5" t="s">
        <v>24</v>
      </c>
      <c r="I385" s="6">
        <v>44872</v>
      </c>
      <c r="J385" s="5" t="s">
        <v>351</v>
      </c>
      <c r="K385" s="5" t="s">
        <v>408</v>
      </c>
      <c r="L385" s="5" t="s">
        <v>480</v>
      </c>
      <c r="M385" s="5"/>
      <c r="N385" s="7"/>
      <c r="O385" s="5" t="s">
        <v>553</v>
      </c>
      <c r="P385" s="8">
        <v>0</v>
      </c>
      <c r="Q385" s="8">
        <f t="shared" si="5"/>
        <v>760599.54</v>
      </c>
    </row>
    <row r="386" spans="1:17" x14ac:dyDescent="0.25">
      <c r="A386" s="5"/>
      <c r="B386" s="5"/>
      <c r="C386" s="5"/>
      <c r="D386" s="5"/>
      <c r="E386" s="5"/>
      <c r="F386" s="5"/>
      <c r="G386" s="5"/>
      <c r="H386" s="5" t="s">
        <v>24</v>
      </c>
      <c r="I386" s="6">
        <v>44872</v>
      </c>
      <c r="J386" s="5" t="s">
        <v>351</v>
      </c>
      <c r="K386" s="5" t="s">
        <v>408</v>
      </c>
      <c r="L386" s="5" t="s">
        <v>481</v>
      </c>
      <c r="M386" s="5"/>
      <c r="N386" s="7"/>
      <c r="O386" s="5" t="s">
        <v>553</v>
      </c>
      <c r="P386" s="8">
        <v>0</v>
      </c>
      <c r="Q386" s="8">
        <f t="shared" si="5"/>
        <v>760599.54</v>
      </c>
    </row>
    <row r="387" spans="1:17" x14ac:dyDescent="0.25">
      <c r="A387" s="5"/>
      <c r="B387" s="5"/>
      <c r="C387" s="5"/>
      <c r="D387" s="5"/>
      <c r="E387" s="5"/>
      <c r="F387" s="5"/>
      <c r="G387" s="5"/>
      <c r="H387" s="5" t="s">
        <v>24</v>
      </c>
      <c r="I387" s="6">
        <v>44872</v>
      </c>
      <c r="J387" s="5" t="s">
        <v>351</v>
      </c>
      <c r="K387" s="5" t="s">
        <v>408</v>
      </c>
      <c r="L387" s="5"/>
      <c r="M387" s="5"/>
      <c r="N387" s="7"/>
      <c r="O387" s="5" t="s">
        <v>553</v>
      </c>
      <c r="P387" s="8">
        <v>-20000</v>
      </c>
      <c r="Q387" s="8">
        <f t="shared" si="5"/>
        <v>740599.54</v>
      </c>
    </row>
    <row r="388" spans="1:17" x14ac:dyDescent="0.25">
      <c r="A388" s="5"/>
      <c r="B388" s="5"/>
      <c r="C388" s="5"/>
      <c r="D388" s="5"/>
      <c r="E388" s="5"/>
      <c r="F388" s="5"/>
      <c r="G388" s="5"/>
      <c r="H388" s="5" t="s">
        <v>24</v>
      </c>
      <c r="I388" s="6">
        <v>44872</v>
      </c>
      <c r="J388" s="5" t="s">
        <v>352</v>
      </c>
      <c r="K388" s="5" t="s">
        <v>405</v>
      </c>
      <c r="L388" s="5"/>
      <c r="M388" s="5"/>
      <c r="N388" s="7"/>
      <c r="O388" s="5" t="s">
        <v>553</v>
      </c>
      <c r="P388" s="8">
        <v>-21750</v>
      </c>
      <c r="Q388" s="8">
        <f t="shared" si="5"/>
        <v>718849.54</v>
      </c>
    </row>
    <row r="389" spans="1:17" x14ac:dyDescent="0.25">
      <c r="A389" s="5"/>
      <c r="B389" s="5"/>
      <c r="C389" s="5"/>
      <c r="D389" s="5"/>
      <c r="E389" s="5"/>
      <c r="F389" s="5"/>
      <c r="G389" s="5"/>
      <c r="H389" s="5" t="s">
        <v>24</v>
      </c>
      <c r="I389" s="6">
        <v>44872</v>
      </c>
      <c r="J389" s="5" t="s">
        <v>353</v>
      </c>
      <c r="K389" s="5" t="s">
        <v>426</v>
      </c>
      <c r="L389" s="5" t="s">
        <v>503</v>
      </c>
      <c r="M389" s="5"/>
      <c r="N389" s="7"/>
      <c r="O389" s="5" t="s">
        <v>553</v>
      </c>
      <c r="P389" s="8">
        <v>-45000</v>
      </c>
      <c r="Q389" s="8">
        <f t="shared" ref="Q389:Q416" si="6">ROUND(Q388+P389,5)</f>
        <v>673849.54</v>
      </c>
    </row>
    <row r="390" spans="1:17" x14ac:dyDescent="0.25">
      <c r="A390" s="5"/>
      <c r="B390" s="5"/>
      <c r="C390" s="5"/>
      <c r="D390" s="5"/>
      <c r="E390" s="5"/>
      <c r="F390" s="5"/>
      <c r="G390" s="5"/>
      <c r="H390" s="5" t="s">
        <v>24</v>
      </c>
      <c r="I390" s="6">
        <v>44872</v>
      </c>
      <c r="J390" s="5" t="s">
        <v>353</v>
      </c>
      <c r="K390" s="5" t="s">
        <v>426</v>
      </c>
      <c r="L390" s="5" t="s">
        <v>504</v>
      </c>
      <c r="M390" s="5"/>
      <c r="N390" s="7"/>
      <c r="O390" s="5" t="s">
        <v>553</v>
      </c>
      <c r="P390" s="8">
        <v>0</v>
      </c>
      <c r="Q390" s="8">
        <f t="shared" si="6"/>
        <v>673849.54</v>
      </c>
    </row>
    <row r="391" spans="1:17" x14ac:dyDescent="0.25">
      <c r="A391" s="5"/>
      <c r="B391" s="5"/>
      <c r="C391" s="5"/>
      <c r="D391" s="5"/>
      <c r="E391" s="5"/>
      <c r="F391" s="5"/>
      <c r="G391" s="5"/>
      <c r="H391" s="5" t="s">
        <v>24</v>
      </c>
      <c r="I391" s="6">
        <v>44872</v>
      </c>
      <c r="J391" s="5" t="s">
        <v>353</v>
      </c>
      <c r="K391" s="5" t="s">
        <v>426</v>
      </c>
      <c r="L391" s="5" t="s">
        <v>505</v>
      </c>
      <c r="M391" s="5"/>
      <c r="N391" s="7"/>
      <c r="O391" s="5" t="s">
        <v>553</v>
      </c>
      <c r="P391" s="8">
        <v>0</v>
      </c>
      <c r="Q391" s="8">
        <f t="shared" si="6"/>
        <v>673849.54</v>
      </c>
    </row>
    <row r="392" spans="1:17" x14ac:dyDescent="0.25">
      <c r="A392" s="5"/>
      <c r="B392" s="5"/>
      <c r="C392" s="5"/>
      <c r="D392" s="5"/>
      <c r="E392" s="5"/>
      <c r="F392" s="5"/>
      <c r="G392" s="5"/>
      <c r="H392" s="5" t="s">
        <v>24</v>
      </c>
      <c r="I392" s="6">
        <v>44872</v>
      </c>
      <c r="J392" s="5" t="s">
        <v>354</v>
      </c>
      <c r="K392" s="5" t="s">
        <v>417</v>
      </c>
      <c r="L392" s="5" t="s">
        <v>475</v>
      </c>
      <c r="M392" s="5"/>
      <c r="N392" s="7"/>
      <c r="O392" s="5" t="s">
        <v>553</v>
      </c>
      <c r="P392" s="8">
        <v>0</v>
      </c>
      <c r="Q392" s="8">
        <f t="shared" si="6"/>
        <v>673849.54</v>
      </c>
    </row>
    <row r="393" spans="1:17" x14ac:dyDescent="0.25">
      <c r="A393" s="5"/>
      <c r="B393" s="5"/>
      <c r="C393" s="5"/>
      <c r="D393" s="5"/>
      <c r="E393" s="5"/>
      <c r="F393" s="5"/>
      <c r="G393" s="5"/>
      <c r="H393" s="5" t="s">
        <v>24</v>
      </c>
      <c r="I393" s="6">
        <v>44872</v>
      </c>
      <c r="J393" s="5" t="s">
        <v>354</v>
      </c>
      <c r="K393" s="5" t="s">
        <v>417</v>
      </c>
      <c r="L393" s="5" t="s">
        <v>476</v>
      </c>
      <c r="M393" s="5"/>
      <c r="N393" s="7"/>
      <c r="O393" s="5" t="s">
        <v>553</v>
      </c>
      <c r="P393" s="8">
        <v>-1600</v>
      </c>
      <c r="Q393" s="8">
        <f t="shared" si="6"/>
        <v>672249.54</v>
      </c>
    </row>
    <row r="394" spans="1:17" x14ac:dyDescent="0.25">
      <c r="A394" s="5"/>
      <c r="B394" s="5"/>
      <c r="C394" s="5"/>
      <c r="D394" s="5"/>
      <c r="E394" s="5"/>
      <c r="F394" s="5"/>
      <c r="G394" s="5"/>
      <c r="H394" s="5" t="s">
        <v>24</v>
      </c>
      <c r="I394" s="6">
        <v>44872</v>
      </c>
      <c r="J394" s="5" t="s">
        <v>354</v>
      </c>
      <c r="K394" s="5" t="s">
        <v>417</v>
      </c>
      <c r="L394" s="5" t="s">
        <v>477</v>
      </c>
      <c r="M394" s="5"/>
      <c r="N394" s="7"/>
      <c r="O394" s="5" t="s">
        <v>553</v>
      </c>
      <c r="P394" s="8">
        <v>-400</v>
      </c>
      <c r="Q394" s="8">
        <f t="shared" si="6"/>
        <v>671849.54</v>
      </c>
    </row>
    <row r="395" spans="1:17" x14ac:dyDescent="0.25">
      <c r="A395" s="5"/>
      <c r="B395" s="5"/>
      <c r="C395" s="5"/>
      <c r="D395" s="5"/>
      <c r="E395" s="5"/>
      <c r="F395" s="5"/>
      <c r="G395" s="5"/>
      <c r="H395" s="5" t="s">
        <v>24</v>
      </c>
      <c r="I395" s="6">
        <v>44872</v>
      </c>
      <c r="J395" s="5" t="s">
        <v>354</v>
      </c>
      <c r="K395" s="5" t="s">
        <v>417</v>
      </c>
      <c r="L395" s="5" t="s">
        <v>478</v>
      </c>
      <c r="M395" s="5"/>
      <c r="N395" s="7"/>
      <c r="O395" s="5" t="s">
        <v>553</v>
      </c>
      <c r="P395" s="8">
        <v>-600</v>
      </c>
      <c r="Q395" s="8">
        <f t="shared" si="6"/>
        <v>671249.54</v>
      </c>
    </row>
    <row r="396" spans="1:17" x14ac:dyDescent="0.25">
      <c r="A396" s="5"/>
      <c r="B396" s="5"/>
      <c r="C396" s="5"/>
      <c r="D396" s="5"/>
      <c r="E396" s="5"/>
      <c r="F396" s="5"/>
      <c r="G396" s="5"/>
      <c r="H396" s="5" t="s">
        <v>24</v>
      </c>
      <c r="I396" s="6">
        <v>44872</v>
      </c>
      <c r="J396" s="5" t="s">
        <v>354</v>
      </c>
      <c r="K396" s="5" t="s">
        <v>417</v>
      </c>
      <c r="L396" s="5" t="s">
        <v>479</v>
      </c>
      <c r="M396" s="5"/>
      <c r="N396" s="7"/>
      <c r="O396" s="5" t="s">
        <v>553</v>
      </c>
      <c r="P396" s="8">
        <v>-2500</v>
      </c>
      <c r="Q396" s="8">
        <f t="shared" si="6"/>
        <v>668749.54</v>
      </c>
    </row>
    <row r="397" spans="1:17" x14ac:dyDescent="0.25">
      <c r="A397" s="5"/>
      <c r="B397" s="5"/>
      <c r="C397" s="5"/>
      <c r="D397" s="5"/>
      <c r="E397" s="5"/>
      <c r="F397" s="5"/>
      <c r="G397" s="5"/>
      <c r="H397" s="5" t="s">
        <v>23</v>
      </c>
      <c r="I397" s="6">
        <v>44872</v>
      </c>
      <c r="J397" s="5" t="s">
        <v>355</v>
      </c>
      <c r="K397" s="5" t="s">
        <v>405</v>
      </c>
      <c r="L397" s="5" t="s">
        <v>528</v>
      </c>
      <c r="M397" s="5"/>
      <c r="N397" s="7"/>
      <c r="O397" s="5" t="s">
        <v>553</v>
      </c>
      <c r="P397" s="8">
        <v>650</v>
      </c>
      <c r="Q397" s="8">
        <f t="shared" si="6"/>
        <v>669399.54</v>
      </c>
    </row>
    <row r="398" spans="1:17" x14ac:dyDescent="0.25">
      <c r="A398" s="5"/>
      <c r="B398" s="5"/>
      <c r="C398" s="5"/>
      <c r="D398" s="5"/>
      <c r="E398" s="5"/>
      <c r="F398" s="5"/>
      <c r="G398" s="5"/>
      <c r="H398" s="5" t="s">
        <v>23</v>
      </c>
      <c r="I398" s="6">
        <v>44873</v>
      </c>
      <c r="J398" s="5" t="s">
        <v>356</v>
      </c>
      <c r="K398" s="5" t="s">
        <v>422</v>
      </c>
      <c r="L398" s="5" t="s">
        <v>503</v>
      </c>
      <c r="M398" s="5"/>
      <c r="N398" s="7"/>
      <c r="O398" s="5" t="s">
        <v>553</v>
      </c>
      <c r="P398" s="8">
        <v>0</v>
      </c>
      <c r="Q398" s="8">
        <f t="shared" si="6"/>
        <v>669399.54</v>
      </c>
    </row>
    <row r="399" spans="1:17" x14ac:dyDescent="0.25">
      <c r="A399" s="5"/>
      <c r="B399" s="5"/>
      <c r="C399" s="5"/>
      <c r="D399" s="5"/>
      <c r="E399" s="5"/>
      <c r="F399" s="5"/>
      <c r="G399" s="5"/>
      <c r="H399" s="5" t="s">
        <v>23</v>
      </c>
      <c r="I399" s="6">
        <v>44873</v>
      </c>
      <c r="J399" s="5" t="s">
        <v>356</v>
      </c>
      <c r="K399" s="5" t="s">
        <v>422</v>
      </c>
      <c r="L399" s="5" t="s">
        <v>525</v>
      </c>
      <c r="M399" s="5"/>
      <c r="N399" s="7"/>
      <c r="O399" s="5" t="s">
        <v>553</v>
      </c>
      <c r="P399" s="8">
        <v>1125</v>
      </c>
      <c r="Q399" s="8">
        <f t="shared" si="6"/>
        <v>670524.54</v>
      </c>
    </row>
    <row r="400" spans="1:17" x14ac:dyDescent="0.25">
      <c r="A400" s="5"/>
      <c r="B400" s="5"/>
      <c r="C400" s="5"/>
      <c r="D400" s="5"/>
      <c r="E400" s="5"/>
      <c r="F400" s="5"/>
      <c r="G400" s="5"/>
      <c r="H400" s="5" t="s">
        <v>23</v>
      </c>
      <c r="I400" s="6">
        <v>44876</v>
      </c>
      <c r="J400" s="5" t="s">
        <v>357</v>
      </c>
      <c r="K400" s="5" t="s">
        <v>431</v>
      </c>
      <c r="L400" s="5" t="s">
        <v>529</v>
      </c>
      <c r="M400" s="5"/>
      <c r="N400" s="7"/>
      <c r="O400" s="5" t="s">
        <v>553</v>
      </c>
      <c r="P400" s="8">
        <v>3500</v>
      </c>
      <c r="Q400" s="8">
        <f t="shared" si="6"/>
        <v>674024.54</v>
      </c>
    </row>
    <row r="401" spans="1:17" x14ac:dyDescent="0.25">
      <c r="A401" s="5"/>
      <c r="B401" s="5"/>
      <c r="C401" s="5"/>
      <c r="D401" s="5"/>
      <c r="E401" s="5"/>
      <c r="F401" s="5"/>
      <c r="G401" s="5"/>
      <c r="H401" s="5" t="s">
        <v>23</v>
      </c>
      <c r="I401" s="6">
        <v>44879</v>
      </c>
      <c r="J401" s="5" t="s">
        <v>358</v>
      </c>
      <c r="K401" s="5" t="s">
        <v>422</v>
      </c>
      <c r="L401" s="5" t="s">
        <v>493</v>
      </c>
      <c r="M401" s="5"/>
      <c r="N401" s="7"/>
      <c r="O401" s="5" t="s">
        <v>553</v>
      </c>
      <c r="P401" s="8">
        <v>19500</v>
      </c>
      <c r="Q401" s="8">
        <f t="shared" si="6"/>
        <v>693524.54</v>
      </c>
    </row>
    <row r="402" spans="1:17" x14ac:dyDescent="0.25">
      <c r="A402" s="5"/>
      <c r="B402" s="5"/>
      <c r="C402" s="5"/>
      <c r="D402" s="5"/>
      <c r="E402" s="5"/>
      <c r="F402" s="5"/>
      <c r="G402" s="5"/>
      <c r="H402" s="5" t="s">
        <v>23</v>
      </c>
      <c r="I402" s="6">
        <v>44882</v>
      </c>
      <c r="J402" s="5" t="s">
        <v>359</v>
      </c>
      <c r="K402" s="5" t="s">
        <v>432</v>
      </c>
      <c r="L402" s="5" t="s">
        <v>530</v>
      </c>
      <c r="M402" s="5"/>
      <c r="N402" s="7"/>
      <c r="O402" s="5" t="s">
        <v>553</v>
      </c>
      <c r="P402" s="8">
        <v>5400</v>
      </c>
      <c r="Q402" s="8">
        <f t="shared" si="6"/>
        <v>698924.54</v>
      </c>
    </row>
    <row r="403" spans="1:17" x14ac:dyDescent="0.25">
      <c r="A403" s="5"/>
      <c r="B403" s="5"/>
      <c r="C403" s="5"/>
      <c r="D403" s="5"/>
      <c r="E403" s="5"/>
      <c r="F403" s="5"/>
      <c r="G403" s="5"/>
      <c r="H403" s="5" t="s">
        <v>23</v>
      </c>
      <c r="I403" s="6">
        <v>44882</v>
      </c>
      <c r="J403" s="5" t="s">
        <v>359</v>
      </c>
      <c r="K403" s="5" t="s">
        <v>432</v>
      </c>
      <c r="L403" s="5" t="s">
        <v>531</v>
      </c>
      <c r="M403" s="5"/>
      <c r="N403" s="7"/>
      <c r="O403" s="5" t="s">
        <v>553</v>
      </c>
      <c r="P403" s="8">
        <v>0</v>
      </c>
      <c r="Q403" s="8">
        <f t="shared" si="6"/>
        <v>698924.54</v>
      </c>
    </row>
    <row r="404" spans="1:17" x14ac:dyDescent="0.25">
      <c r="A404" s="5"/>
      <c r="B404" s="5"/>
      <c r="C404" s="5"/>
      <c r="D404" s="5"/>
      <c r="E404" s="5"/>
      <c r="F404" s="5"/>
      <c r="G404" s="5"/>
      <c r="H404" s="5" t="s">
        <v>23</v>
      </c>
      <c r="I404" s="6">
        <v>44886</v>
      </c>
      <c r="J404" s="5" t="s">
        <v>360</v>
      </c>
      <c r="K404" s="5" t="s">
        <v>422</v>
      </c>
      <c r="L404" s="5" t="s">
        <v>532</v>
      </c>
      <c r="M404" s="5"/>
      <c r="N404" s="7"/>
      <c r="O404" s="5" t="s">
        <v>553</v>
      </c>
      <c r="P404" s="8">
        <v>3100</v>
      </c>
      <c r="Q404" s="8">
        <f t="shared" si="6"/>
        <v>702024.54</v>
      </c>
    </row>
    <row r="405" spans="1:17" x14ac:dyDescent="0.25">
      <c r="A405" s="5"/>
      <c r="B405" s="5"/>
      <c r="C405" s="5"/>
      <c r="D405" s="5"/>
      <c r="E405" s="5"/>
      <c r="F405" s="5"/>
      <c r="G405" s="5"/>
      <c r="H405" s="5" t="s">
        <v>23</v>
      </c>
      <c r="I405" s="6">
        <v>44897</v>
      </c>
      <c r="J405" s="5" t="s">
        <v>361</v>
      </c>
      <c r="K405" s="5" t="s">
        <v>433</v>
      </c>
      <c r="L405" s="5" t="s">
        <v>533</v>
      </c>
      <c r="M405" s="5"/>
      <c r="N405" s="7"/>
      <c r="O405" s="5" t="s">
        <v>553</v>
      </c>
      <c r="P405" s="8">
        <v>1200</v>
      </c>
      <c r="Q405" s="8">
        <f t="shared" si="6"/>
        <v>703224.54</v>
      </c>
    </row>
    <row r="406" spans="1:17" x14ac:dyDescent="0.25">
      <c r="A406" s="5"/>
      <c r="B406" s="5"/>
      <c r="C406" s="5"/>
      <c r="D406" s="5"/>
      <c r="E406" s="5"/>
      <c r="F406" s="5"/>
      <c r="G406" s="5"/>
      <c r="H406" s="5" t="s">
        <v>23</v>
      </c>
      <c r="I406" s="6">
        <v>44901</v>
      </c>
      <c r="J406" s="5" t="s">
        <v>362</v>
      </c>
      <c r="K406" s="5" t="s">
        <v>434</v>
      </c>
      <c r="L406" s="5" t="s">
        <v>534</v>
      </c>
      <c r="M406" s="5"/>
      <c r="N406" s="7"/>
      <c r="O406" s="5" t="s">
        <v>553</v>
      </c>
      <c r="P406" s="8">
        <v>5752.21</v>
      </c>
      <c r="Q406" s="8">
        <f t="shared" si="6"/>
        <v>708976.75</v>
      </c>
    </row>
    <row r="407" spans="1:17" x14ac:dyDescent="0.25">
      <c r="A407" s="5"/>
      <c r="B407" s="5"/>
      <c r="C407" s="5"/>
      <c r="D407" s="5"/>
      <c r="E407" s="5"/>
      <c r="F407" s="5"/>
      <c r="G407" s="5"/>
      <c r="H407" s="5" t="s">
        <v>23</v>
      </c>
      <c r="I407" s="6">
        <v>44902</v>
      </c>
      <c r="J407" s="5" t="s">
        <v>363</v>
      </c>
      <c r="K407" s="5" t="s">
        <v>435</v>
      </c>
      <c r="L407" s="5"/>
      <c r="M407" s="5"/>
      <c r="N407" s="7"/>
      <c r="O407" s="5" t="s">
        <v>553</v>
      </c>
      <c r="P407" s="8">
        <v>300</v>
      </c>
      <c r="Q407" s="8">
        <f t="shared" si="6"/>
        <v>709276.75</v>
      </c>
    </row>
    <row r="408" spans="1:17" x14ac:dyDescent="0.25">
      <c r="A408" s="5"/>
      <c r="B408" s="5"/>
      <c r="C408" s="5"/>
      <c r="D408" s="5"/>
      <c r="E408" s="5"/>
      <c r="F408" s="5"/>
      <c r="G408" s="5"/>
      <c r="H408" s="5" t="s">
        <v>23</v>
      </c>
      <c r="I408" s="6">
        <v>44902</v>
      </c>
      <c r="J408" s="5" t="s">
        <v>364</v>
      </c>
      <c r="K408" s="5" t="s">
        <v>436</v>
      </c>
      <c r="L408" s="5" t="s">
        <v>535</v>
      </c>
      <c r="M408" s="5"/>
      <c r="N408" s="7"/>
      <c r="O408" s="5" t="s">
        <v>553</v>
      </c>
      <c r="P408" s="8">
        <v>2220</v>
      </c>
      <c r="Q408" s="8">
        <f t="shared" si="6"/>
        <v>711496.75</v>
      </c>
    </row>
    <row r="409" spans="1:17" x14ac:dyDescent="0.25">
      <c r="A409" s="5"/>
      <c r="B409" s="5"/>
      <c r="C409" s="5"/>
      <c r="D409" s="5"/>
      <c r="E409" s="5"/>
      <c r="F409" s="5"/>
      <c r="G409" s="5"/>
      <c r="H409" s="5" t="s">
        <v>23</v>
      </c>
      <c r="I409" s="6">
        <v>44904</v>
      </c>
      <c r="J409" s="5" t="s">
        <v>365</v>
      </c>
      <c r="K409" s="5" t="s">
        <v>437</v>
      </c>
      <c r="L409" s="5" t="s">
        <v>534</v>
      </c>
      <c r="M409" s="5"/>
      <c r="N409" s="7"/>
      <c r="O409" s="5" t="s">
        <v>553</v>
      </c>
      <c r="P409" s="8">
        <v>1769.91</v>
      </c>
      <c r="Q409" s="8">
        <f t="shared" si="6"/>
        <v>713266.66</v>
      </c>
    </row>
    <row r="410" spans="1:17" x14ac:dyDescent="0.25">
      <c r="A410" s="5"/>
      <c r="B410" s="5"/>
      <c r="C410" s="5"/>
      <c r="D410" s="5"/>
      <c r="E410" s="5"/>
      <c r="F410" s="5"/>
      <c r="G410" s="5"/>
      <c r="H410" s="5" t="s">
        <v>23</v>
      </c>
      <c r="I410" s="6">
        <v>44904</v>
      </c>
      <c r="J410" s="5" t="s">
        <v>366</v>
      </c>
      <c r="K410" s="5" t="s">
        <v>434</v>
      </c>
      <c r="L410" s="5" t="s">
        <v>536</v>
      </c>
      <c r="M410" s="5"/>
      <c r="N410" s="7"/>
      <c r="O410" s="5" t="s">
        <v>553</v>
      </c>
      <c r="P410" s="8">
        <v>5247.69</v>
      </c>
      <c r="Q410" s="8">
        <f t="shared" si="6"/>
        <v>718514.35</v>
      </c>
    </row>
    <row r="411" spans="1:17" x14ac:dyDescent="0.25">
      <c r="A411" s="5"/>
      <c r="B411" s="5"/>
      <c r="C411" s="5"/>
      <c r="D411" s="5"/>
      <c r="E411" s="5"/>
      <c r="F411" s="5"/>
      <c r="G411" s="5"/>
      <c r="H411" s="5" t="s">
        <v>23</v>
      </c>
      <c r="I411" s="6">
        <v>44910</v>
      </c>
      <c r="J411" s="5" t="s">
        <v>367</v>
      </c>
      <c r="K411" s="5" t="s">
        <v>408</v>
      </c>
      <c r="L411" s="5" t="s">
        <v>537</v>
      </c>
      <c r="M411" s="5"/>
      <c r="N411" s="7"/>
      <c r="O411" s="5" t="s">
        <v>553</v>
      </c>
      <c r="P411" s="8">
        <v>6500</v>
      </c>
      <c r="Q411" s="8">
        <f t="shared" si="6"/>
        <v>725014.35</v>
      </c>
    </row>
    <row r="412" spans="1:17" x14ac:dyDescent="0.25">
      <c r="A412" s="5"/>
      <c r="B412" s="5"/>
      <c r="C412" s="5"/>
      <c r="D412" s="5"/>
      <c r="E412" s="5"/>
      <c r="F412" s="5"/>
      <c r="G412" s="5"/>
      <c r="H412" s="5" t="s">
        <v>23</v>
      </c>
      <c r="I412" s="6">
        <v>44911</v>
      </c>
      <c r="J412" s="5" t="s">
        <v>368</v>
      </c>
      <c r="K412" s="5" t="s">
        <v>408</v>
      </c>
      <c r="L412" s="5" t="s">
        <v>538</v>
      </c>
      <c r="M412" s="5"/>
      <c r="N412" s="7"/>
      <c r="O412" s="5" t="s">
        <v>553</v>
      </c>
      <c r="P412" s="8">
        <v>1200</v>
      </c>
      <c r="Q412" s="8">
        <f t="shared" si="6"/>
        <v>726214.35</v>
      </c>
    </row>
    <row r="413" spans="1:17" x14ac:dyDescent="0.25">
      <c r="A413" s="5"/>
      <c r="B413" s="5"/>
      <c r="C413" s="5"/>
      <c r="D413" s="5"/>
      <c r="E413" s="5"/>
      <c r="F413" s="5"/>
      <c r="G413" s="5"/>
      <c r="H413" s="5" t="s">
        <v>23</v>
      </c>
      <c r="I413" s="6">
        <v>44911</v>
      </c>
      <c r="J413" s="5" t="s">
        <v>369</v>
      </c>
      <c r="K413" s="5" t="s">
        <v>405</v>
      </c>
      <c r="L413" s="5" t="s">
        <v>536</v>
      </c>
      <c r="M413" s="5"/>
      <c r="N413" s="7"/>
      <c r="O413" s="5" t="s">
        <v>553</v>
      </c>
      <c r="P413" s="8">
        <v>9376.11</v>
      </c>
      <c r="Q413" s="8">
        <f t="shared" si="6"/>
        <v>735590.46</v>
      </c>
    </row>
    <row r="414" spans="1:17" x14ac:dyDescent="0.25">
      <c r="A414" s="5"/>
      <c r="B414" s="5"/>
      <c r="C414" s="5"/>
      <c r="D414" s="5"/>
      <c r="E414" s="5"/>
      <c r="F414" s="5"/>
      <c r="G414" s="5"/>
      <c r="H414" s="5" t="s">
        <v>23</v>
      </c>
      <c r="I414" s="6">
        <v>44912</v>
      </c>
      <c r="J414" s="5" t="s">
        <v>370</v>
      </c>
      <c r="K414" s="5" t="s">
        <v>434</v>
      </c>
      <c r="L414" s="5" t="s">
        <v>539</v>
      </c>
      <c r="M414" s="5"/>
      <c r="N414" s="7"/>
      <c r="O414" s="5" t="s">
        <v>553</v>
      </c>
      <c r="P414" s="8">
        <v>20000</v>
      </c>
      <c r="Q414" s="8">
        <f t="shared" si="6"/>
        <v>755590.46</v>
      </c>
    </row>
    <row r="415" spans="1:17" x14ac:dyDescent="0.25">
      <c r="A415" s="5"/>
      <c r="B415" s="5"/>
      <c r="C415" s="5"/>
      <c r="D415" s="5"/>
      <c r="E415" s="5"/>
      <c r="F415" s="5"/>
      <c r="G415" s="5"/>
      <c r="H415" s="5" t="s">
        <v>23</v>
      </c>
      <c r="I415" s="6">
        <v>44912</v>
      </c>
      <c r="J415" s="5" t="s">
        <v>370</v>
      </c>
      <c r="K415" s="5" t="s">
        <v>434</v>
      </c>
      <c r="L415" s="5" t="s">
        <v>505</v>
      </c>
      <c r="M415" s="5"/>
      <c r="N415" s="7"/>
      <c r="O415" s="5" t="s">
        <v>553</v>
      </c>
      <c r="P415" s="8">
        <v>0</v>
      </c>
      <c r="Q415" s="8">
        <f t="shared" si="6"/>
        <v>755590.46</v>
      </c>
    </row>
    <row r="416" spans="1:17" ht="15.75" thickBot="1" x14ac:dyDescent="0.3">
      <c r="A416" s="5"/>
      <c r="B416" s="5"/>
      <c r="C416" s="5"/>
      <c r="D416" s="5"/>
      <c r="E416" s="5"/>
      <c r="F416" s="5"/>
      <c r="G416" s="5"/>
      <c r="H416" s="5" t="s">
        <v>23</v>
      </c>
      <c r="I416" s="6">
        <v>44925</v>
      </c>
      <c r="J416" s="5" t="s">
        <v>371</v>
      </c>
      <c r="K416" s="5" t="s">
        <v>408</v>
      </c>
      <c r="L416" s="5" t="s">
        <v>540</v>
      </c>
      <c r="M416" s="5"/>
      <c r="N416" s="7"/>
      <c r="O416" s="5" t="s">
        <v>553</v>
      </c>
      <c r="P416" s="9">
        <v>7100</v>
      </c>
      <c r="Q416" s="9">
        <f t="shared" si="6"/>
        <v>762690.46</v>
      </c>
    </row>
    <row r="417" spans="1:17" x14ac:dyDescent="0.25">
      <c r="A417" s="5"/>
      <c r="B417" s="5"/>
      <c r="C417" s="5"/>
      <c r="D417" s="5"/>
      <c r="E417" s="5" t="s">
        <v>13</v>
      </c>
      <c r="F417" s="5"/>
      <c r="G417" s="5"/>
      <c r="H417" s="5"/>
      <c r="I417" s="6"/>
      <c r="J417" s="5"/>
      <c r="K417" s="5"/>
      <c r="L417" s="5"/>
      <c r="M417" s="5"/>
      <c r="N417" s="5"/>
      <c r="O417" s="5"/>
      <c r="P417" s="8">
        <f>ROUND(SUM(P4:P416),5)</f>
        <v>762690.46</v>
      </c>
      <c r="Q417" s="8">
        <f>Q416</f>
        <v>762690.46</v>
      </c>
    </row>
    <row r="418" spans="1:17" x14ac:dyDescent="0.25">
      <c r="A418" s="2"/>
      <c r="B418" s="2"/>
      <c r="C418" s="2"/>
      <c r="D418" s="2"/>
      <c r="E418" s="2" t="s">
        <v>14</v>
      </c>
      <c r="F418" s="2"/>
      <c r="G418" s="2"/>
      <c r="H418" s="2"/>
      <c r="I418" s="3"/>
      <c r="J418" s="2"/>
      <c r="K418" s="2"/>
      <c r="L418" s="2"/>
      <c r="M418" s="2"/>
      <c r="N418" s="2"/>
      <c r="O418" s="2"/>
      <c r="P418" s="4"/>
      <c r="Q418" s="4"/>
    </row>
    <row r="419" spans="1:17" x14ac:dyDescent="0.25">
      <c r="A419" s="5"/>
      <c r="B419" s="5"/>
      <c r="C419" s="5"/>
      <c r="D419" s="5"/>
      <c r="E419" s="5"/>
      <c r="F419" s="5"/>
      <c r="G419" s="5"/>
      <c r="H419" s="5" t="s">
        <v>25</v>
      </c>
      <c r="I419" s="6">
        <v>44768</v>
      </c>
      <c r="J419" s="5" t="s">
        <v>372</v>
      </c>
      <c r="K419" s="5"/>
      <c r="L419" s="5" t="s">
        <v>541</v>
      </c>
      <c r="M419" s="5"/>
      <c r="N419" s="7"/>
      <c r="O419" s="5" t="s">
        <v>554</v>
      </c>
      <c r="P419" s="8">
        <v>1364.63</v>
      </c>
      <c r="Q419" s="8">
        <f>ROUND(Q418+P419,5)</f>
        <v>1364.63</v>
      </c>
    </row>
    <row r="420" spans="1:17" x14ac:dyDescent="0.25">
      <c r="A420" s="5"/>
      <c r="B420" s="5"/>
      <c r="C420" s="5"/>
      <c r="D420" s="5"/>
      <c r="E420" s="5"/>
      <c r="F420" s="5"/>
      <c r="G420" s="5"/>
      <c r="H420" s="5" t="s">
        <v>25</v>
      </c>
      <c r="I420" s="6">
        <v>44785</v>
      </c>
      <c r="J420" s="5" t="s">
        <v>373</v>
      </c>
      <c r="K420" s="5"/>
      <c r="L420" s="5" t="s">
        <v>542</v>
      </c>
      <c r="M420" s="5"/>
      <c r="N420" s="7"/>
      <c r="O420" s="5" t="s">
        <v>554</v>
      </c>
      <c r="P420" s="8">
        <v>2657.58</v>
      </c>
      <c r="Q420" s="8">
        <f>ROUND(Q419+P420,5)</f>
        <v>4022.21</v>
      </c>
    </row>
    <row r="421" spans="1:17" x14ac:dyDescent="0.25">
      <c r="A421" s="5"/>
      <c r="B421" s="5"/>
      <c r="C421" s="5"/>
      <c r="D421" s="5"/>
      <c r="E421" s="5"/>
      <c r="F421" s="5"/>
      <c r="G421" s="5"/>
      <c r="H421" s="5" t="s">
        <v>25</v>
      </c>
      <c r="I421" s="6">
        <v>44797</v>
      </c>
      <c r="J421" s="5" t="s">
        <v>374</v>
      </c>
      <c r="K421" s="5"/>
      <c r="L421" s="5" t="s">
        <v>543</v>
      </c>
      <c r="M421" s="5"/>
      <c r="N421" s="7"/>
      <c r="O421" s="5" t="s">
        <v>554</v>
      </c>
      <c r="P421" s="8">
        <v>350</v>
      </c>
      <c r="Q421" s="8">
        <f>ROUND(Q420+P421,5)</f>
        <v>4372.21</v>
      </c>
    </row>
    <row r="422" spans="1:17" ht="15.75" thickBot="1" x14ac:dyDescent="0.3">
      <c r="A422" s="5"/>
      <c r="B422" s="5"/>
      <c r="C422" s="5"/>
      <c r="D422" s="5"/>
      <c r="E422" s="5"/>
      <c r="F422" s="5"/>
      <c r="G422" s="5"/>
      <c r="H422" s="5" t="s">
        <v>25</v>
      </c>
      <c r="I422" s="6">
        <v>44853</v>
      </c>
      <c r="J422" s="5" t="s">
        <v>375</v>
      </c>
      <c r="K422" s="5"/>
      <c r="L422" s="5"/>
      <c r="M422" s="5"/>
      <c r="N422" s="7"/>
      <c r="O422" s="5" t="s">
        <v>554</v>
      </c>
      <c r="P422" s="9">
        <v>2542.5</v>
      </c>
      <c r="Q422" s="9">
        <f>ROUND(Q421+P422,5)</f>
        <v>6914.71</v>
      </c>
    </row>
    <row r="423" spans="1:17" x14ac:dyDescent="0.25">
      <c r="A423" s="5"/>
      <c r="B423" s="5"/>
      <c r="C423" s="5"/>
      <c r="D423" s="5"/>
      <c r="E423" s="5" t="s">
        <v>15</v>
      </c>
      <c r="F423" s="5"/>
      <c r="G423" s="5"/>
      <c r="H423" s="5"/>
      <c r="I423" s="6"/>
      <c r="J423" s="5"/>
      <c r="K423" s="5"/>
      <c r="L423" s="5"/>
      <c r="M423" s="5"/>
      <c r="N423" s="5"/>
      <c r="O423" s="5"/>
      <c r="P423" s="8">
        <f>ROUND(SUM(P418:P422),5)</f>
        <v>6914.71</v>
      </c>
      <c r="Q423" s="8">
        <f>Q422</f>
        <v>6914.71</v>
      </c>
    </row>
    <row r="424" spans="1:17" x14ac:dyDescent="0.25">
      <c r="A424" s="2"/>
      <c r="B424" s="2"/>
      <c r="C424" s="2"/>
      <c r="D424" s="2"/>
      <c r="E424" s="2" t="s">
        <v>16</v>
      </c>
      <c r="F424" s="2"/>
      <c r="G424" s="2"/>
      <c r="H424" s="2"/>
      <c r="I424" s="3"/>
      <c r="J424" s="2"/>
      <c r="K424" s="2"/>
      <c r="L424" s="2"/>
      <c r="M424" s="2"/>
      <c r="N424" s="2"/>
      <c r="O424" s="2"/>
      <c r="P424" s="4"/>
      <c r="Q424" s="4"/>
    </row>
    <row r="425" spans="1:17" ht="15.75" thickBot="1" x14ac:dyDescent="0.3">
      <c r="A425" s="1"/>
      <c r="B425" s="1"/>
      <c r="C425" s="1"/>
      <c r="D425" s="1"/>
      <c r="E425" s="1"/>
      <c r="F425" s="5"/>
      <c r="G425" s="5"/>
      <c r="H425" s="5" t="s">
        <v>26</v>
      </c>
      <c r="I425" s="6">
        <v>44737</v>
      </c>
      <c r="J425" s="5"/>
      <c r="K425" s="5"/>
      <c r="L425" s="5"/>
      <c r="M425" s="5"/>
      <c r="N425" s="7"/>
      <c r="O425" s="5" t="s">
        <v>555</v>
      </c>
      <c r="P425" s="8">
        <v>-166.94</v>
      </c>
      <c r="Q425" s="8">
        <f>ROUND(Q424+P425,5)</f>
        <v>-166.94</v>
      </c>
    </row>
    <row r="426" spans="1:17" ht="15.75" thickBot="1" x14ac:dyDescent="0.3">
      <c r="A426" s="5"/>
      <c r="B426" s="5"/>
      <c r="C426" s="5"/>
      <c r="D426" s="5"/>
      <c r="E426" s="5" t="s">
        <v>17</v>
      </c>
      <c r="F426" s="5"/>
      <c r="G426" s="5"/>
      <c r="H426" s="5"/>
      <c r="I426" s="6"/>
      <c r="J426" s="5"/>
      <c r="K426" s="5"/>
      <c r="L426" s="5"/>
      <c r="M426" s="5"/>
      <c r="N426" s="5"/>
      <c r="O426" s="5"/>
      <c r="P426" s="10">
        <f>ROUND(SUM(P424:P425),5)</f>
        <v>-166.94</v>
      </c>
      <c r="Q426" s="10">
        <f>Q425</f>
        <v>-166.94</v>
      </c>
    </row>
    <row r="427" spans="1:17" x14ac:dyDescent="0.25">
      <c r="A427" s="5"/>
      <c r="B427" s="5"/>
      <c r="C427" s="5"/>
      <c r="D427" s="5" t="s">
        <v>18</v>
      </c>
      <c r="E427" s="5"/>
      <c r="F427" s="5"/>
      <c r="G427" s="5"/>
      <c r="H427" s="5"/>
      <c r="I427" s="6"/>
      <c r="J427" s="5"/>
      <c r="K427" s="5"/>
      <c r="L427" s="5"/>
      <c r="M427" s="5"/>
      <c r="N427" s="5"/>
      <c r="O427" s="5"/>
      <c r="P427" s="8">
        <f>ROUND(P417+P423+P426,5)</f>
        <v>769438.23</v>
      </c>
      <c r="Q427" s="8">
        <f>ROUND(Q417+Q423+Q426,5)</f>
        <v>769438.23</v>
      </c>
    </row>
    <row r="428" spans="1:17" x14ac:dyDescent="0.25">
      <c r="A428" s="2"/>
      <c r="B428" s="2"/>
      <c r="C428" s="2"/>
      <c r="D428" s="2" t="s">
        <v>19</v>
      </c>
      <c r="E428" s="2"/>
      <c r="F428" s="2"/>
      <c r="G428" s="2"/>
      <c r="H428" s="2"/>
      <c r="I428" s="3"/>
      <c r="J428" s="2"/>
      <c r="K428" s="2"/>
      <c r="L428" s="2"/>
      <c r="M428" s="2"/>
      <c r="N428" s="2"/>
      <c r="O428" s="2"/>
      <c r="P428" s="4"/>
      <c r="Q428" s="4"/>
    </row>
    <row r="429" spans="1:17" ht="15.75" thickBot="1" x14ac:dyDescent="0.3">
      <c r="A429" s="2"/>
      <c r="B429" s="2"/>
      <c r="C429" s="2"/>
      <c r="D429" s="2"/>
      <c r="E429" s="2" t="s">
        <v>20</v>
      </c>
      <c r="F429" s="2"/>
      <c r="G429" s="2"/>
      <c r="H429" s="15" t="s">
        <v>0</v>
      </c>
      <c r="I429" s="15" t="s">
        <v>1</v>
      </c>
      <c r="J429" s="15" t="s">
        <v>2</v>
      </c>
      <c r="K429" s="15" t="s">
        <v>3</v>
      </c>
      <c r="L429" s="15" t="s">
        <v>4</v>
      </c>
      <c r="M429" s="15" t="s">
        <v>5</v>
      </c>
      <c r="N429" s="15" t="s">
        <v>6</v>
      </c>
      <c r="O429" s="15" t="s">
        <v>7</v>
      </c>
      <c r="P429" s="15" t="s">
        <v>8</v>
      </c>
      <c r="Q429" s="15"/>
    </row>
    <row r="430" spans="1:17" ht="15.75" thickTop="1" x14ac:dyDescent="0.25">
      <c r="A430" s="5"/>
      <c r="B430" s="5"/>
      <c r="C430" s="5"/>
      <c r="D430" s="5"/>
      <c r="E430" s="5"/>
      <c r="F430" s="5"/>
      <c r="G430" s="5"/>
      <c r="H430" s="5" t="s">
        <v>27</v>
      </c>
      <c r="I430" s="6">
        <v>44673</v>
      </c>
      <c r="J430" s="5" t="s">
        <v>376</v>
      </c>
      <c r="K430" s="5" t="s">
        <v>438</v>
      </c>
      <c r="L430" s="5"/>
      <c r="M430" s="5"/>
      <c r="N430" s="7"/>
      <c r="O430" s="5" t="s">
        <v>556</v>
      </c>
      <c r="P430" s="8">
        <v>2900.1</v>
      </c>
      <c r="Q430" s="8">
        <f t="shared" ref="Q430:Q472" si="7">ROUND(Q429+P430,5)</f>
        <v>2900.1</v>
      </c>
    </row>
    <row r="431" spans="1:17" x14ac:dyDescent="0.25">
      <c r="A431" s="5"/>
      <c r="B431" s="5"/>
      <c r="C431" s="5"/>
      <c r="D431" s="5"/>
      <c r="E431" s="5"/>
      <c r="F431" s="5"/>
      <c r="G431" s="5"/>
      <c r="H431" s="5" t="s">
        <v>27</v>
      </c>
      <c r="I431" s="6">
        <v>44693</v>
      </c>
      <c r="J431" s="5" t="s">
        <v>377</v>
      </c>
      <c r="K431" s="5" t="s">
        <v>439</v>
      </c>
      <c r="L431" s="5"/>
      <c r="M431" s="5"/>
      <c r="N431" s="7"/>
      <c r="O431" s="5" t="s">
        <v>556</v>
      </c>
      <c r="P431" s="8">
        <v>3855</v>
      </c>
      <c r="Q431" s="8">
        <f t="shared" si="7"/>
        <v>6755.1</v>
      </c>
    </row>
    <row r="432" spans="1:17" x14ac:dyDescent="0.25">
      <c r="A432" s="5"/>
      <c r="B432" s="5"/>
      <c r="C432" s="5"/>
      <c r="D432" s="5"/>
      <c r="E432" s="5"/>
      <c r="F432" s="5"/>
      <c r="G432" s="5"/>
      <c r="H432" s="5" t="s">
        <v>26</v>
      </c>
      <c r="I432" s="6">
        <v>44693</v>
      </c>
      <c r="J432" s="5"/>
      <c r="K432" s="5" t="s">
        <v>440</v>
      </c>
      <c r="L432" s="5"/>
      <c r="M432" s="5"/>
      <c r="N432" s="7"/>
      <c r="O432" s="5" t="s">
        <v>555</v>
      </c>
      <c r="P432" s="8">
        <v>1559.5</v>
      </c>
      <c r="Q432" s="8">
        <f t="shared" si="7"/>
        <v>8314.6</v>
      </c>
    </row>
    <row r="433" spans="1:17" x14ac:dyDescent="0.25">
      <c r="A433" s="5"/>
      <c r="B433" s="5"/>
      <c r="C433" s="5"/>
      <c r="D433" s="5"/>
      <c r="E433" s="5"/>
      <c r="F433" s="5"/>
      <c r="G433" s="5"/>
      <c r="H433" s="5" t="s">
        <v>26</v>
      </c>
      <c r="I433" s="6">
        <v>44698</v>
      </c>
      <c r="J433" s="5"/>
      <c r="K433" s="5" t="s">
        <v>440</v>
      </c>
      <c r="L433" s="5"/>
      <c r="M433" s="5"/>
      <c r="N433" s="7"/>
      <c r="O433" s="5" t="s">
        <v>557</v>
      </c>
      <c r="P433" s="8"/>
      <c r="Q433" s="8">
        <f t="shared" si="7"/>
        <v>8314.6</v>
      </c>
    </row>
    <row r="434" spans="1:17" x14ac:dyDescent="0.25">
      <c r="A434" s="5"/>
      <c r="B434" s="5"/>
      <c r="C434" s="5"/>
      <c r="D434" s="5"/>
      <c r="E434" s="5"/>
      <c r="F434" s="5"/>
      <c r="G434" s="5"/>
      <c r="H434" s="5" t="s">
        <v>26</v>
      </c>
      <c r="I434" s="6">
        <v>44699</v>
      </c>
      <c r="J434" s="5"/>
      <c r="K434" s="5" t="s">
        <v>440</v>
      </c>
      <c r="L434" s="5"/>
      <c r="M434" s="5"/>
      <c r="N434" s="7"/>
      <c r="O434" s="5" t="s">
        <v>557</v>
      </c>
      <c r="P434" s="8"/>
      <c r="Q434" s="8">
        <f t="shared" si="7"/>
        <v>8314.6</v>
      </c>
    </row>
    <row r="435" spans="1:17" x14ac:dyDescent="0.25">
      <c r="A435" s="5"/>
      <c r="B435" s="5"/>
      <c r="C435" s="5"/>
      <c r="D435" s="5"/>
      <c r="E435" s="5"/>
      <c r="F435" s="5"/>
      <c r="G435" s="5"/>
      <c r="H435" s="5" t="s">
        <v>28</v>
      </c>
      <c r="I435" s="6">
        <v>44707</v>
      </c>
      <c r="J435" s="5"/>
      <c r="K435" s="5" t="s">
        <v>441</v>
      </c>
      <c r="L435" s="5" t="s">
        <v>544</v>
      </c>
      <c r="M435" s="5"/>
      <c r="N435" s="7"/>
      <c r="O435" s="5" t="s">
        <v>554</v>
      </c>
      <c r="P435" s="8">
        <v>425.47</v>
      </c>
      <c r="Q435" s="8">
        <f t="shared" si="7"/>
        <v>8740.07</v>
      </c>
    </row>
    <row r="436" spans="1:17" x14ac:dyDescent="0.25">
      <c r="A436" s="5"/>
      <c r="B436" s="5"/>
      <c r="C436" s="5"/>
      <c r="D436" s="5"/>
      <c r="E436" s="5"/>
      <c r="F436" s="5"/>
      <c r="G436" s="5"/>
      <c r="H436" s="5" t="s">
        <v>27</v>
      </c>
      <c r="I436" s="6">
        <v>44708</v>
      </c>
      <c r="J436" s="5"/>
      <c r="K436" s="5" t="s">
        <v>442</v>
      </c>
      <c r="L436" s="5"/>
      <c r="M436" s="5"/>
      <c r="N436" s="7"/>
      <c r="O436" s="5" t="s">
        <v>556</v>
      </c>
      <c r="P436" s="8">
        <v>158</v>
      </c>
      <c r="Q436" s="8">
        <f t="shared" si="7"/>
        <v>8898.07</v>
      </c>
    </row>
    <row r="437" spans="1:17" x14ac:dyDescent="0.25">
      <c r="A437" s="5"/>
      <c r="B437" s="5"/>
      <c r="C437" s="5"/>
      <c r="D437" s="5"/>
      <c r="E437" s="5"/>
      <c r="F437" s="5"/>
      <c r="G437" s="5"/>
      <c r="H437" s="5" t="s">
        <v>27</v>
      </c>
      <c r="I437" s="6">
        <v>44708</v>
      </c>
      <c r="J437" s="5"/>
      <c r="K437" s="5" t="s">
        <v>442</v>
      </c>
      <c r="L437" s="5"/>
      <c r="M437" s="5"/>
      <c r="N437" s="7"/>
      <c r="O437" s="5" t="s">
        <v>556</v>
      </c>
      <c r="P437" s="8">
        <v>760.71</v>
      </c>
      <c r="Q437" s="8">
        <f t="shared" si="7"/>
        <v>9658.7800000000007</v>
      </c>
    </row>
    <row r="438" spans="1:17" x14ac:dyDescent="0.25">
      <c r="A438" s="5"/>
      <c r="B438" s="5"/>
      <c r="C438" s="5"/>
      <c r="D438" s="5"/>
      <c r="E438" s="5"/>
      <c r="F438" s="5"/>
      <c r="G438" s="5"/>
      <c r="H438" s="5" t="s">
        <v>28</v>
      </c>
      <c r="I438" s="6">
        <v>44747</v>
      </c>
      <c r="J438" s="5" t="s">
        <v>378</v>
      </c>
      <c r="K438" s="5" t="s">
        <v>443</v>
      </c>
      <c r="L438" s="5"/>
      <c r="M438" s="5"/>
      <c r="N438" s="7"/>
      <c r="O438" s="5" t="s">
        <v>554</v>
      </c>
      <c r="P438" s="8">
        <v>260.7</v>
      </c>
      <c r="Q438" s="8">
        <f t="shared" si="7"/>
        <v>9919.48</v>
      </c>
    </row>
    <row r="439" spans="1:17" x14ac:dyDescent="0.25">
      <c r="A439" s="5"/>
      <c r="B439" s="5"/>
      <c r="C439" s="5"/>
      <c r="D439" s="5"/>
      <c r="E439" s="5"/>
      <c r="F439" s="5"/>
      <c r="G439" s="5"/>
      <c r="H439" s="5" t="s">
        <v>27</v>
      </c>
      <c r="I439" s="6">
        <v>44754</v>
      </c>
      <c r="J439" s="5"/>
      <c r="K439" s="5" t="s">
        <v>444</v>
      </c>
      <c r="L439" s="5"/>
      <c r="M439" s="5"/>
      <c r="N439" s="7"/>
      <c r="O439" s="5" t="s">
        <v>556</v>
      </c>
      <c r="P439" s="8">
        <v>5815</v>
      </c>
      <c r="Q439" s="8">
        <f t="shared" si="7"/>
        <v>15734.48</v>
      </c>
    </row>
    <row r="440" spans="1:17" x14ac:dyDescent="0.25">
      <c r="A440" s="5"/>
      <c r="B440" s="5"/>
      <c r="C440" s="5"/>
      <c r="D440" s="5"/>
      <c r="E440" s="5"/>
      <c r="F440" s="5"/>
      <c r="G440" s="5"/>
      <c r="H440" s="5" t="s">
        <v>28</v>
      </c>
      <c r="I440" s="6">
        <v>44756</v>
      </c>
      <c r="J440" s="5"/>
      <c r="K440" s="5" t="s">
        <v>441</v>
      </c>
      <c r="L440" s="5"/>
      <c r="M440" s="5"/>
      <c r="N440" s="7"/>
      <c r="O440" s="5" t="s">
        <v>554</v>
      </c>
      <c r="P440" s="8">
        <v>311.93</v>
      </c>
      <c r="Q440" s="8">
        <f t="shared" si="7"/>
        <v>16046.41</v>
      </c>
    </row>
    <row r="441" spans="1:17" x14ac:dyDescent="0.25">
      <c r="A441" s="5"/>
      <c r="B441" s="5"/>
      <c r="C441" s="5"/>
      <c r="D441" s="5"/>
      <c r="E441" s="5"/>
      <c r="F441" s="5"/>
      <c r="G441" s="5"/>
      <c r="H441" s="5" t="s">
        <v>27</v>
      </c>
      <c r="I441" s="6">
        <v>44777</v>
      </c>
      <c r="J441" s="5" t="s">
        <v>379</v>
      </c>
      <c r="K441" s="5" t="s">
        <v>445</v>
      </c>
      <c r="L441" s="5"/>
      <c r="M441" s="5"/>
      <c r="N441" s="7"/>
      <c r="O441" s="5" t="s">
        <v>556</v>
      </c>
      <c r="P441" s="8">
        <v>2071.66</v>
      </c>
      <c r="Q441" s="8">
        <f t="shared" si="7"/>
        <v>18118.07</v>
      </c>
    </row>
    <row r="442" spans="1:17" x14ac:dyDescent="0.25">
      <c r="A442" s="5"/>
      <c r="B442" s="5"/>
      <c r="C442" s="5"/>
      <c r="D442" s="5"/>
      <c r="E442" s="5"/>
      <c r="F442" s="5"/>
      <c r="G442" s="5"/>
      <c r="H442" s="5" t="s">
        <v>27</v>
      </c>
      <c r="I442" s="6">
        <v>44820</v>
      </c>
      <c r="J442" s="5"/>
      <c r="K442" s="5" t="s">
        <v>446</v>
      </c>
      <c r="L442" s="5"/>
      <c r="M442" s="5"/>
      <c r="N442" s="7"/>
      <c r="O442" s="5" t="s">
        <v>556</v>
      </c>
      <c r="P442" s="8">
        <v>728.83</v>
      </c>
      <c r="Q442" s="8">
        <f t="shared" si="7"/>
        <v>18846.900000000001</v>
      </c>
    </row>
    <row r="443" spans="1:17" x14ac:dyDescent="0.25">
      <c r="A443" s="5"/>
      <c r="B443" s="5"/>
      <c r="C443" s="5"/>
      <c r="D443" s="5"/>
      <c r="E443" s="5"/>
      <c r="F443" s="5"/>
      <c r="G443" s="5"/>
      <c r="H443" s="5" t="s">
        <v>28</v>
      </c>
      <c r="I443" s="6">
        <v>44830</v>
      </c>
      <c r="J443" s="5"/>
      <c r="K443" s="5" t="s">
        <v>446</v>
      </c>
      <c r="L443" s="5"/>
      <c r="M443" s="5"/>
      <c r="N443" s="7"/>
      <c r="O443" s="5" t="s">
        <v>554</v>
      </c>
      <c r="P443" s="8">
        <v>572.38</v>
      </c>
      <c r="Q443" s="8">
        <f t="shared" si="7"/>
        <v>19419.28</v>
      </c>
    </row>
    <row r="444" spans="1:17" x14ac:dyDescent="0.25">
      <c r="A444" s="5"/>
      <c r="B444" s="5"/>
      <c r="C444" s="5"/>
      <c r="D444" s="5"/>
      <c r="E444" s="5"/>
      <c r="F444" s="5"/>
      <c r="G444" s="5"/>
      <c r="H444" s="5" t="s">
        <v>28</v>
      </c>
      <c r="I444" s="6">
        <v>44830</v>
      </c>
      <c r="J444" s="5"/>
      <c r="K444" s="5" t="s">
        <v>446</v>
      </c>
      <c r="L444" s="5"/>
      <c r="M444" s="5"/>
      <c r="N444" s="7"/>
      <c r="O444" s="5" t="s">
        <v>554</v>
      </c>
      <c r="P444" s="8">
        <v>823.58</v>
      </c>
      <c r="Q444" s="8">
        <f t="shared" si="7"/>
        <v>20242.86</v>
      </c>
    </row>
    <row r="445" spans="1:17" x14ac:dyDescent="0.25">
      <c r="A445" s="5"/>
      <c r="B445" s="5"/>
      <c r="C445" s="5"/>
      <c r="D445" s="5"/>
      <c r="E445" s="5"/>
      <c r="F445" s="5"/>
      <c r="G445" s="5"/>
      <c r="H445" s="5" t="s">
        <v>27</v>
      </c>
      <c r="I445" s="6">
        <v>44833</v>
      </c>
      <c r="J445" s="5"/>
      <c r="K445" s="5" t="s">
        <v>447</v>
      </c>
      <c r="L445" s="5"/>
      <c r="M445" s="5"/>
      <c r="N445" s="7"/>
      <c r="O445" s="5" t="s">
        <v>556</v>
      </c>
      <c r="P445" s="8">
        <v>17377.27</v>
      </c>
      <c r="Q445" s="8">
        <f t="shared" si="7"/>
        <v>37620.129999999997</v>
      </c>
    </row>
    <row r="446" spans="1:17" x14ac:dyDescent="0.25">
      <c r="A446" s="5"/>
      <c r="B446" s="5"/>
      <c r="C446" s="5"/>
      <c r="D446" s="5"/>
      <c r="E446" s="5"/>
      <c r="F446" s="5"/>
      <c r="G446" s="5"/>
      <c r="H446" s="5" t="s">
        <v>27</v>
      </c>
      <c r="I446" s="6">
        <v>44838</v>
      </c>
      <c r="J446" s="5"/>
      <c r="K446" s="5" t="s">
        <v>446</v>
      </c>
      <c r="L446" s="5"/>
      <c r="M446" s="5"/>
      <c r="N446" s="7"/>
      <c r="O446" s="5" t="s">
        <v>556</v>
      </c>
      <c r="P446" s="8">
        <v>2212.39</v>
      </c>
      <c r="Q446" s="8">
        <f t="shared" si="7"/>
        <v>39832.519999999997</v>
      </c>
    </row>
    <row r="447" spans="1:17" x14ac:dyDescent="0.25">
      <c r="A447" s="5"/>
      <c r="B447" s="5"/>
      <c r="C447" s="5"/>
      <c r="D447" s="5"/>
      <c r="E447" s="5"/>
      <c r="F447" s="5"/>
      <c r="G447" s="5"/>
      <c r="H447" s="5" t="s">
        <v>25</v>
      </c>
      <c r="I447" s="6">
        <v>44869</v>
      </c>
      <c r="J447" s="5" t="s">
        <v>380</v>
      </c>
      <c r="K447" s="5"/>
      <c r="L447" s="5" t="s">
        <v>545</v>
      </c>
      <c r="M447" s="5"/>
      <c r="N447" s="7"/>
      <c r="O447" s="5" t="s">
        <v>554</v>
      </c>
      <c r="P447" s="8">
        <v>324.87</v>
      </c>
      <c r="Q447" s="8">
        <f t="shared" si="7"/>
        <v>40157.39</v>
      </c>
    </row>
    <row r="448" spans="1:17" x14ac:dyDescent="0.25">
      <c r="A448" s="5"/>
      <c r="B448" s="5"/>
      <c r="C448" s="5"/>
      <c r="D448" s="5"/>
      <c r="E448" s="5"/>
      <c r="F448" s="5"/>
      <c r="G448" s="5"/>
      <c r="H448" s="5" t="s">
        <v>27</v>
      </c>
      <c r="I448" s="6">
        <v>44874</v>
      </c>
      <c r="J448" s="5"/>
      <c r="K448" s="5" t="s">
        <v>448</v>
      </c>
      <c r="L448" s="5"/>
      <c r="M448" s="5"/>
      <c r="N448" s="7"/>
      <c r="O448" s="5" t="s">
        <v>556</v>
      </c>
      <c r="P448" s="8">
        <v>271.08</v>
      </c>
      <c r="Q448" s="8">
        <f t="shared" si="7"/>
        <v>40428.47</v>
      </c>
    </row>
    <row r="449" spans="1:17" x14ac:dyDescent="0.25">
      <c r="A449" s="5"/>
      <c r="B449" s="5"/>
      <c r="C449" s="5"/>
      <c r="D449" s="5"/>
      <c r="E449" s="5"/>
      <c r="F449" s="5"/>
      <c r="G449" s="5"/>
      <c r="H449" s="5" t="s">
        <v>27</v>
      </c>
      <c r="I449" s="6">
        <v>44874</v>
      </c>
      <c r="J449" s="5"/>
      <c r="K449" s="5" t="s">
        <v>442</v>
      </c>
      <c r="L449" s="5"/>
      <c r="M449" s="5"/>
      <c r="N449" s="7"/>
      <c r="O449" s="5" t="s">
        <v>556</v>
      </c>
      <c r="P449" s="8">
        <v>2212.39</v>
      </c>
      <c r="Q449" s="8">
        <f t="shared" si="7"/>
        <v>42640.86</v>
      </c>
    </row>
    <row r="450" spans="1:17" x14ac:dyDescent="0.25">
      <c r="A450" s="5"/>
      <c r="B450" s="5"/>
      <c r="C450" s="5"/>
      <c r="D450" s="5"/>
      <c r="E450" s="5"/>
      <c r="F450" s="5"/>
      <c r="G450" s="5"/>
      <c r="H450" s="5" t="s">
        <v>27</v>
      </c>
      <c r="I450" s="6">
        <v>44875</v>
      </c>
      <c r="J450" s="5"/>
      <c r="K450" s="5" t="s">
        <v>449</v>
      </c>
      <c r="L450" s="5"/>
      <c r="M450" s="5"/>
      <c r="N450" s="7"/>
      <c r="O450" s="5" t="s">
        <v>556</v>
      </c>
      <c r="P450" s="8">
        <v>350.07</v>
      </c>
      <c r="Q450" s="8">
        <f t="shared" si="7"/>
        <v>42990.93</v>
      </c>
    </row>
    <row r="451" spans="1:17" x14ac:dyDescent="0.25">
      <c r="A451" s="5"/>
      <c r="B451" s="5"/>
      <c r="C451" s="5"/>
      <c r="D451" s="5"/>
      <c r="E451" s="5"/>
      <c r="F451" s="5"/>
      <c r="G451" s="5"/>
      <c r="H451" s="5" t="s">
        <v>27</v>
      </c>
      <c r="I451" s="6">
        <v>44875</v>
      </c>
      <c r="J451" s="5"/>
      <c r="K451" s="5" t="s">
        <v>450</v>
      </c>
      <c r="L451" s="5"/>
      <c r="M451" s="5"/>
      <c r="N451" s="7"/>
      <c r="O451" s="5" t="s">
        <v>556</v>
      </c>
      <c r="P451" s="8">
        <v>197.56</v>
      </c>
      <c r="Q451" s="8">
        <f t="shared" si="7"/>
        <v>43188.49</v>
      </c>
    </row>
    <row r="452" spans="1:17" x14ac:dyDescent="0.25">
      <c r="A452" s="5"/>
      <c r="B452" s="5"/>
      <c r="C452" s="5"/>
      <c r="D452" s="5"/>
      <c r="E452" s="5"/>
      <c r="F452" s="5"/>
      <c r="G452" s="5"/>
      <c r="H452" s="5" t="s">
        <v>27</v>
      </c>
      <c r="I452" s="6">
        <v>44876</v>
      </c>
      <c r="J452" s="5"/>
      <c r="K452" s="5" t="s">
        <v>451</v>
      </c>
      <c r="L452" s="5"/>
      <c r="M452" s="5"/>
      <c r="N452" s="7"/>
      <c r="O452" s="5" t="s">
        <v>556</v>
      </c>
      <c r="P452" s="8">
        <v>371.3</v>
      </c>
      <c r="Q452" s="8">
        <f t="shared" si="7"/>
        <v>43559.79</v>
      </c>
    </row>
    <row r="453" spans="1:17" x14ac:dyDescent="0.25">
      <c r="A453" s="5"/>
      <c r="B453" s="5"/>
      <c r="C453" s="5"/>
      <c r="D453" s="5"/>
      <c r="E453" s="5"/>
      <c r="F453" s="5"/>
      <c r="G453" s="5"/>
      <c r="H453" s="5" t="s">
        <v>27</v>
      </c>
      <c r="I453" s="6">
        <v>44883</v>
      </c>
      <c r="J453" s="5"/>
      <c r="K453" s="5" t="s">
        <v>452</v>
      </c>
      <c r="L453" s="5"/>
      <c r="M453" s="5"/>
      <c r="N453" s="7"/>
      <c r="O453" s="5" t="s">
        <v>556</v>
      </c>
      <c r="P453" s="8">
        <v>3939.6</v>
      </c>
      <c r="Q453" s="8">
        <f t="shared" si="7"/>
        <v>47499.39</v>
      </c>
    </row>
    <row r="454" spans="1:17" x14ac:dyDescent="0.25">
      <c r="A454" s="5"/>
      <c r="B454" s="5"/>
      <c r="C454" s="5"/>
      <c r="D454" s="5"/>
      <c r="E454" s="5"/>
      <c r="F454" s="5"/>
      <c r="G454" s="5"/>
      <c r="H454" s="5" t="s">
        <v>27</v>
      </c>
      <c r="I454" s="6">
        <v>44886</v>
      </c>
      <c r="J454" s="5"/>
      <c r="K454" s="5" t="s">
        <v>453</v>
      </c>
      <c r="L454" s="5" t="s">
        <v>546</v>
      </c>
      <c r="M454" s="5"/>
      <c r="N454" s="7"/>
      <c r="O454" s="5" t="s">
        <v>556</v>
      </c>
      <c r="P454" s="8">
        <v>10062</v>
      </c>
      <c r="Q454" s="8">
        <f t="shared" si="7"/>
        <v>57561.39</v>
      </c>
    </row>
    <row r="455" spans="1:17" x14ac:dyDescent="0.25">
      <c r="A455" s="5"/>
      <c r="B455" s="5"/>
      <c r="C455" s="5"/>
      <c r="D455" s="5"/>
      <c r="E455" s="5"/>
      <c r="F455" s="5"/>
      <c r="G455" s="5"/>
      <c r="H455" s="5" t="s">
        <v>28</v>
      </c>
      <c r="I455" s="6">
        <v>44889</v>
      </c>
      <c r="J455" s="5"/>
      <c r="K455" s="5" t="s">
        <v>454</v>
      </c>
      <c r="L455" s="5"/>
      <c r="M455" s="5"/>
      <c r="N455" s="7"/>
      <c r="O455" s="5" t="s">
        <v>554</v>
      </c>
      <c r="P455" s="8">
        <v>63945.73</v>
      </c>
      <c r="Q455" s="8">
        <f t="shared" si="7"/>
        <v>121507.12</v>
      </c>
    </row>
    <row r="456" spans="1:17" x14ac:dyDescent="0.25">
      <c r="A456" s="5"/>
      <c r="B456" s="5"/>
      <c r="C456" s="5"/>
      <c r="D456" s="5"/>
      <c r="E456" s="5"/>
      <c r="F456" s="5"/>
      <c r="G456" s="5"/>
      <c r="H456" s="5" t="s">
        <v>27</v>
      </c>
      <c r="I456" s="6">
        <v>44895</v>
      </c>
      <c r="J456" s="5"/>
      <c r="K456" s="5" t="s">
        <v>450</v>
      </c>
      <c r="L456" s="5"/>
      <c r="M456" s="5"/>
      <c r="N456" s="7"/>
      <c r="O456" s="5" t="s">
        <v>556</v>
      </c>
      <c r="P456" s="8">
        <v>421.2</v>
      </c>
      <c r="Q456" s="8">
        <f t="shared" si="7"/>
        <v>121928.32000000001</v>
      </c>
    </row>
    <row r="457" spans="1:17" x14ac:dyDescent="0.25">
      <c r="A457" s="5"/>
      <c r="B457" s="5"/>
      <c r="C457" s="5"/>
      <c r="D457" s="5"/>
      <c r="E457" s="5"/>
      <c r="F457" s="5"/>
      <c r="G457" s="5"/>
      <c r="H457" s="5" t="s">
        <v>27</v>
      </c>
      <c r="I457" s="6">
        <v>44900</v>
      </c>
      <c r="J457" s="5"/>
      <c r="K457" s="5" t="s">
        <v>455</v>
      </c>
      <c r="L457" s="5" t="s">
        <v>547</v>
      </c>
      <c r="M457" s="5"/>
      <c r="N457" s="7"/>
      <c r="O457" s="5" t="s">
        <v>556</v>
      </c>
      <c r="P457" s="8">
        <v>4310</v>
      </c>
      <c r="Q457" s="8">
        <f t="shared" si="7"/>
        <v>126238.32</v>
      </c>
    </row>
    <row r="458" spans="1:17" x14ac:dyDescent="0.25">
      <c r="A458" s="5"/>
      <c r="B458" s="5"/>
      <c r="C458" s="5"/>
      <c r="D458" s="5"/>
      <c r="E458" s="5"/>
      <c r="F458" s="5"/>
      <c r="G458" s="5"/>
      <c r="H458" s="5" t="s">
        <v>28</v>
      </c>
      <c r="I458" s="6">
        <v>44900</v>
      </c>
      <c r="J458" s="5"/>
      <c r="K458" s="5" t="s">
        <v>455</v>
      </c>
      <c r="L458" s="5" t="s">
        <v>547</v>
      </c>
      <c r="M458" s="5"/>
      <c r="N458" s="7"/>
      <c r="O458" s="5" t="s">
        <v>554</v>
      </c>
      <c r="P458" s="8">
        <v>884.96</v>
      </c>
      <c r="Q458" s="8">
        <f t="shared" si="7"/>
        <v>127123.28</v>
      </c>
    </row>
    <row r="459" spans="1:17" x14ac:dyDescent="0.25">
      <c r="A459" s="5"/>
      <c r="B459" s="5"/>
      <c r="C459" s="5"/>
      <c r="D459" s="5"/>
      <c r="E459" s="5"/>
      <c r="F459" s="5"/>
      <c r="G459" s="5"/>
      <c r="H459" s="5" t="s">
        <v>28</v>
      </c>
      <c r="I459" s="6">
        <v>44901</v>
      </c>
      <c r="J459" s="5"/>
      <c r="K459" s="5" t="s">
        <v>455</v>
      </c>
      <c r="L459" s="5"/>
      <c r="M459" s="5"/>
      <c r="N459" s="7"/>
      <c r="O459" s="5" t="s">
        <v>554</v>
      </c>
      <c r="P459" s="8">
        <v>3425.04</v>
      </c>
      <c r="Q459" s="8">
        <f t="shared" si="7"/>
        <v>130548.32</v>
      </c>
    </row>
    <row r="460" spans="1:17" x14ac:dyDescent="0.25">
      <c r="A460" s="5"/>
      <c r="B460" s="5"/>
      <c r="C460" s="5"/>
      <c r="D460" s="5"/>
      <c r="E460" s="5"/>
      <c r="F460" s="5"/>
      <c r="G460" s="5"/>
      <c r="H460" s="5" t="s">
        <v>27</v>
      </c>
      <c r="I460" s="6">
        <v>44903</v>
      </c>
      <c r="J460" s="5"/>
      <c r="K460" s="5" t="s">
        <v>456</v>
      </c>
      <c r="L460" s="5" t="s">
        <v>548</v>
      </c>
      <c r="M460" s="5"/>
      <c r="N460" s="7"/>
      <c r="O460" s="5" t="s">
        <v>556</v>
      </c>
      <c r="P460" s="8">
        <v>157.96</v>
      </c>
      <c r="Q460" s="8">
        <f t="shared" si="7"/>
        <v>130706.28</v>
      </c>
    </row>
    <row r="461" spans="1:17" x14ac:dyDescent="0.25">
      <c r="A461" s="5"/>
      <c r="B461" s="5"/>
      <c r="C461" s="5"/>
      <c r="D461" s="5"/>
      <c r="E461" s="5"/>
      <c r="F461" s="5"/>
      <c r="G461" s="5"/>
      <c r="H461" s="5" t="s">
        <v>27</v>
      </c>
      <c r="I461" s="6">
        <v>44903</v>
      </c>
      <c r="J461" s="5"/>
      <c r="K461" s="5" t="s">
        <v>456</v>
      </c>
      <c r="L461" s="5" t="s">
        <v>548</v>
      </c>
      <c r="M461" s="5"/>
      <c r="N461" s="7"/>
      <c r="O461" s="5" t="s">
        <v>556</v>
      </c>
      <c r="P461" s="8">
        <v>188.95</v>
      </c>
      <c r="Q461" s="8">
        <f t="shared" si="7"/>
        <v>130895.23</v>
      </c>
    </row>
    <row r="462" spans="1:17" x14ac:dyDescent="0.25">
      <c r="A462" s="5"/>
      <c r="B462" s="5"/>
      <c r="C462" s="5"/>
      <c r="D462" s="5"/>
      <c r="E462" s="5"/>
      <c r="F462" s="5"/>
      <c r="G462" s="5"/>
      <c r="H462" s="5" t="s">
        <v>27</v>
      </c>
      <c r="I462" s="6">
        <v>44903</v>
      </c>
      <c r="J462" s="5"/>
      <c r="K462" s="5" t="s">
        <v>456</v>
      </c>
      <c r="L462" s="5" t="s">
        <v>548</v>
      </c>
      <c r="M462" s="5"/>
      <c r="N462" s="7"/>
      <c r="O462" s="5" t="s">
        <v>556</v>
      </c>
      <c r="P462" s="8">
        <v>35.979999999999997</v>
      </c>
      <c r="Q462" s="8">
        <f t="shared" si="7"/>
        <v>130931.21</v>
      </c>
    </row>
    <row r="463" spans="1:17" x14ac:dyDescent="0.25">
      <c r="A463" s="5"/>
      <c r="B463" s="5"/>
      <c r="C463" s="5"/>
      <c r="D463" s="5"/>
      <c r="E463" s="5"/>
      <c r="F463" s="5"/>
      <c r="G463" s="5"/>
      <c r="H463" s="5" t="s">
        <v>27</v>
      </c>
      <c r="I463" s="6">
        <v>44903</v>
      </c>
      <c r="J463" s="5"/>
      <c r="K463" s="5" t="s">
        <v>456</v>
      </c>
      <c r="L463" s="5" t="s">
        <v>548</v>
      </c>
      <c r="M463" s="5"/>
      <c r="N463" s="7"/>
      <c r="O463" s="5" t="s">
        <v>556</v>
      </c>
      <c r="P463" s="8">
        <v>171.54</v>
      </c>
      <c r="Q463" s="8">
        <f t="shared" si="7"/>
        <v>131102.75</v>
      </c>
    </row>
    <row r="464" spans="1:17" x14ac:dyDescent="0.25">
      <c r="A464" s="5"/>
      <c r="B464" s="5"/>
      <c r="C464" s="5"/>
      <c r="D464" s="5"/>
      <c r="E464" s="5"/>
      <c r="F464" s="5"/>
      <c r="G464" s="5"/>
      <c r="H464" s="5" t="s">
        <v>28</v>
      </c>
      <c r="I464" s="6">
        <v>44903</v>
      </c>
      <c r="J464" s="5"/>
      <c r="K464" s="5" t="s">
        <v>441</v>
      </c>
      <c r="L464" s="5"/>
      <c r="M464" s="5"/>
      <c r="N464" s="7"/>
      <c r="O464" s="5" t="s">
        <v>554</v>
      </c>
      <c r="P464" s="8">
        <v>626.5</v>
      </c>
      <c r="Q464" s="8">
        <f t="shared" si="7"/>
        <v>131729.25</v>
      </c>
    </row>
    <row r="465" spans="1:17" x14ac:dyDescent="0.25">
      <c r="A465" s="5"/>
      <c r="B465" s="5"/>
      <c r="C465" s="5"/>
      <c r="D465" s="5"/>
      <c r="E465" s="5"/>
      <c r="F465" s="5"/>
      <c r="G465" s="5"/>
      <c r="H465" s="5" t="s">
        <v>28</v>
      </c>
      <c r="I465" s="6">
        <v>44903</v>
      </c>
      <c r="J465" s="5" t="s">
        <v>381</v>
      </c>
      <c r="K465" s="5" t="s">
        <v>446</v>
      </c>
      <c r="L465" s="5"/>
      <c r="M465" s="5"/>
      <c r="N465" s="7"/>
      <c r="O465" s="5" t="s">
        <v>554</v>
      </c>
      <c r="P465" s="8">
        <v>2355.27</v>
      </c>
      <c r="Q465" s="8">
        <f t="shared" si="7"/>
        <v>134084.51999999999</v>
      </c>
    </row>
    <row r="466" spans="1:17" x14ac:dyDescent="0.25">
      <c r="A466" s="5"/>
      <c r="B466" s="5"/>
      <c r="C466" s="5"/>
      <c r="D466" s="5"/>
      <c r="E466" s="5"/>
      <c r="F466" s="5"/>
      <c r="G466" s="5"/>
      <c r="H466" s="5" t="s">
        <v>28</v>
      </c>
      <c r="I466" s="6">
        <v>44908</v>
      </c>
      <c r="J466" s="5"/>
      <c r="K466" s="5" t="s">
        <v>457</v>
      </c>
      <c r="L466" s="5" t="s">
        <v>549</v>
      </c>
      <c r="M466" s="5"/>
      <c r="N466" s="7"/>
      <c r="O466" s="5" t="s">
        <v>554</v>
      </c>
      <c r="P466" s="8">
        <v>2084.6799999999998</v>
      </c>
      <c r="Q466" s="8">
        <f t="shared" si="7"/>
        <v>136169.20000000001</v>
      </c>
    </row>
    <row r="467" spans="1:17" x14ac:dyDescent="0.25">
      <c r="A467" s="5"/>
      <c r="B467" s="5"/>
      <c r="C467" s="5"/>
      <c r="D467" s="5"/>
      <c r="E467" s="5"/>
      <c r="F467" s="5"/>
      <c r="G467" s="5"/>
      <c r="H467" s="5" t="s">
        <v>28</v>
      </c>
      <c r="I467" s="6">
        <v>44908</v>
      </c>
      <c r="J467" s="5"/>
      <c r="K467" s="5" t="s">
        <v>458</v>
      </c>
      <c r="L467" s="5" t="s">
        <v>550</v>
      </c>
      <c r="M467" s="5"/>
      <c r="N467" s="7"/>
      <c r="O467" s="5" t="s">
        <v>554</v>
      </c>
      <c r="P467" s="8">
        <v>1065.08</v>
      </c>
      <c r="Q467" s="8">
        <f t="shared" si="7"/>
        <v>137234.28</v>
      </c>
    </row>
    <row r="468" spans="1:17" x14ac:dyDescent="0.25">
      <c r="A468" s="5"/>
      <c r="B468" s="5"/>
      <c r="C468" s="5"/>
      <c r="D468" s="5"/>
      <c r="E468" s="5"/>
      <c r="F468" s="5"/>
      <c r="G468" s="5"/>
      <c r="H468" s="5" t="s">
        <v>27</v>
      </c>
      <c r="I468" s="6">
        <v>44916</v>
      </c>
      <c r="J468" s="5"/>
      <c r="K468" s="5" t="s">
        <v>459</v>
      </c>
      <c r="L468" s="5" t="s">
        <v>551</v>
      </c>
      <c r="M468" s="5"/>
      <c r="N468" s="7"/>
      <c r="O468" s="5" t="s">
        <v>556</v>
      </c>
      <c r="P468" s="8">
        <v>2320</v>
      </c>
      <c r="Q468" s="8">
        <f t="shared" si="7"/>
        <v>139554.28</v>
      </c>
    </row>
    <row r="469" spans="1:17" x14ac:dyDescent="0.25">
      <c r="A469" s="5"/>
      <c r="B469" s="5"/>
      <c r="C469" s="5"/>
      <c r="D469" s="5"/>
      <c r="E469" s="5"/>
      <c r="F469" s="5"/>
      <c r="G469" s="5"/>
      <c r="H469" s="5" t="s">
        <v>27</v>
      </c>
      <c r="I469" s="6">
        <v>44916</v>
      </c>
      <c r="J469" s="5"/>
      <c r="K469" s="5" t="s">
        <v>442</v>
      </c>
      <c r="L469" s="5"/>
      <c r="M469" s="5"/>
      <c r="N469" s="7"/>
      <c r="O469" s="5" t="s">
        <v>556</v>
      </c>
      <c r="P469" s="8">
        <v>5268.92</v>
      </c>
      <c r="Q469" s="8">
        <f t="shared" si="7"/>
        <v>144823.20000000001</v>
      </c>
    </row>
    <row r="470" spans="1:17" x14ac:dyDescent="0.25">
      <c r="A470" s="5"/>
      <c r="B470" s="5"/>
      <c r="C470" s="5"/>
      <c r="D470" s="5"/>
      <c r="E470" s="5"/>
      <c r="F470" s="5"/>
      <c r="G470" s="5"/>
      <c r="H470" s="5" t="s">
        <v>28</v>
      </c>
      <c r="I470" s="6">
        <v>44924</v>
      </c>
      <c r="J470" s="5"/>
      <c r="K470" s="5" t="s">
        <v>451</v>
      </c>
      <c r="L470" s="5" t="s">
        <v>552</v>
      </c>
      <c r="M470" s="5"/>
      <c r="N470" s="7"/>
      <c r="O470" s="5" t="s">
        <v>554</v>
      </c>
      <c r="P470" s="8">
        <v>33.380000000000003</v>
      </c>
      <c r="Q470" s="8">
        <f t="shared" si="7"/>
        <v>144856.57999999999</v>
      </c>
    </row>
    <row r="471" spans="1:17" x14ac:dyDescent="0.25">
      <c r="A471" s="5"/>
      <c r="B471" s="5"/>
      <c r="C471" s="5"/>
      <c r="D471" s="5"/>
      <c r="E471" s="5"/>
      <c r="F471" s="5"/>
      <c r="G471" s="5"/>
      <c r="H471" s="5" t="s">
        <v>28</v>
      </c>
      <c r="I471" s="6">
        <v>44924</v>
      </c>
      <c r="J471" s="5"/>
      <c r="K471" s="5" t="s">
        <v>449</v>
      </c>
      <c r="L471" s="5" t="s">
        <v>552</v>
      </c>
      <c r="M471" s="5"/>
      <c r="N471" s="7"/>
      <c r="O471" s="5" t="s">
        <v>554</v>
      </c>
      <c r="P471" s="8">
        <v>24.05</v>
      </c>
      <c r="Q471" s="8">
        <f t="shared" si="7"/>
        <v>144880.63</v>
      </c>
    </row>
    <row r="472" spans="1:17" ht="15.75" thickBot="1" x14ac:dyDescent="0.3">
      <c r="A472" s="5"/>
      <c r="B472" s="5"/>
      <c r="C472" s="5"/>
      <c r="D472" s="5"/>
      <c r="E472" s="5"/>
      <c r="F472" s="5"/>
      <c r="G472" s="5"/>
      <c r="H472" s="5" t="s">
        <v>28</v>
      </c>
      <c r="I472" s="6">
        <v>44924</v>
      </c>
      <c r="J472" s="5"/>
      <c r="K472" s="5" t="s">
        <v>460</v>
      </c>
      <c r="L472" s="5" t="s">
        <v>552</v>
      </c>
      <c r="M472" s="5"/>
      <c r="N472" s="7"/>
      <c r="O472" s="5" t="s">
        <v>554</v>
      </c>
      <c r="P472" s="9">
        <v>31.47</v>
      </c>
      <c r="Q472" s="9">
        <f t="shared" si="7"/>
        <v>144912.1</v>
      </c>
    </row>
    <row r="473" spans="1:17" x14ac:dyDescent="0.25">
      <c r="A473" s="5"/>
      <c r="B473" s="5"/>
      <c r="C473" s="5"/>
      <c r="D473" s="5"/>
      <c r="E473" s="5" t="s">
        <v>21</v>
      </c>
      <c r="F473" s="5"/>
      <c r="G473" s="5"/>
      <c r="H473" s="5"/>
      <c r="I473" s="6"/>
      <c r="J473" s="5"/>
      <c r="K473" s="5"/>
      <c r="L473" s="5"/>
      <c r="M473" s="5"/>
      <c r="N473" s="5"/>
      <c r="O473" s="5"/>
      <c r="P473" s="8">
        <f>ROUND(SUM(P429:P472),5)</f>
        <v>144912.1</v>
      </c>
      <c r="Q473" s="8">
        <f>Q472</f>
        <v>144912.1</v>
      </c>
    </row>
    <row r="474" spans="1:17" x14ac:dyDescent="0.25">
      <c r="A474" s="2"/>
      <c r="B474" s="2"/>
      <c r="C474" s="2"/>
      <c r="D474" s="2"/>
      <c r="E474" s="2" t="s">
        <v>22</v>
      </c>
      <c r="F474" s="2"/>
      <c r="G474" s="2"/>
      <c r="H474" s="2"/>
      <c r="I474" s="3"/>
      <c r="J474" s="2"/>
      <c r="K474" s="2"/>
      <c r="L474" s="2"/>
      <c r="M474" s="2"/>
      <c r="N474" s="2"/>
      <c r="O474" s="2"/>
      <c r="P474" s="4"/>
      <c r="Q474" s="4"/>
    </row>
    <row r="475" spans="1:17" x14ac:dyDescent="0.25">
      <c r="A475" s="5"/>
      <c r="B475" s="5"/>
      <c r="C475" s="5"/>
      <c r="D475" s="5"/>
      <c r="E475" s="5"/>
      <c r="F475" s="5"/>
      <c r="G475" s="5"/>
      <c r="H475" s="5" t="s">
        <v>27</v>
      </c>
      <c r="I475" s="6">
        <v>44665</v>
      </c>
      <c r="J475" s="5" t="s">
        <v>382</v>
      </c>
      <c r="K475" s="5" t="s">
        <v>461</v>
      </c>
      <c r="L475" s="5"/>
      <c r="M475" s="5"/>
      <c r="N475" s="7"/>
      <c r="O475" s="5" t="s">
        <v>556</v>
      </c>
      <c r="P475" s="8">
        <v>1376</v>
      </c>
      <c r="Q475" s="8">
        <f t="shared" ref="Q475:Q506" si="8">ROUND(Q474+P475,5)</f>
        <v>1376</v>
      </c>
    </row>
    <row r="476" spans="1:17" x14ac:dyDescent="0.25">
      <c r="A476" s="5"/>
      <c r="B476" s="5"/>
      <c r="C476" s="5"/>
      <c r="D476" s="5"/>
      <c r="E476" s="5"/>
      <c r="F476" s="5"/>
      <c r="G476" s="5"/>
      <c r="H476" s="5" t="s">
        <v>27</v>
      </c>
      <c r="I476" s="6">
        <v>44679</v>
      </c>
      <c r="J476" s="5"/>
      <c r="K476" s="5" t="s">
        <v>461</v>
      </c>
      <c r="L476" s="5"/>
      <c r="M476" s="5"/>
      <c r="N476" s="7"/>
      <c r="O476" s="5" t="s">
        <v>556</v>
      </c>
      <c r="P476" s="8">
        <v>768</v>
      </c>
      <c r="Q476" s="8">
        <f t="shared" si="8"/>
        <v>2144</v>
      </c>
    </row>
    <row r="477" spans="1:17" x14ac:dyDescent="0.25">
      <c r="A477" s="5"/>
      <c r="B477" s="5"/>
      <c r="C477" s="5"/>
      <c r="D477" s="5"/>
      <c r="E477" s="5"/>
      <c r="F477" s="5"/>
      <c r="G477" s="5"/>
      <c r="H477" s="5" t="s">
        <v>27</v>
      </c>
      <c r="I477" s="6">
        <v>44681</v>
      </c>
      <c r="J477" s="5" t="s">
        <v>383</v>
      </c>
      <c r="K477" s="5" t="s">
        <v>458</v>
      </c>
      <c r="L477" s="5"/>
      <c r="M477" s="5"/>
      <c r="N477" s="7"/>
      <c r="O477" s="5" t="s">
        <v>556</v>
      </c>
      <c r="P477" s="8">
        <v>10000</v>
      </c>
      <c r="Q477" s="8">
        <f t="shared" si="8"/>
        <v>12144</v>
      </c>
    </row>
    <row r="478" spans="1:17" x14ac:dyDescent="0.25">
      <c r="A478" s="5"/>
      <c r="B478" s="5"/>
      <c r="C478" s="5"/>
      <c r="D478" s="5"/>
      <c r="E478" s="5"/>
      <c r="F478" s="5"/>
      <c r="G478" s="5"/>
      <c r="H478" s="5" t="s">
        <v>27</v>
      </c>
      <c r="I478" s="6">
        <v>44693</v>
      </c>
      <c r="J478" s="5" t="s">
        <v>384</v>
      </c>
      <c r="K478" s="5" t="s">
        <v>461</v>
      </c>
      <c r="L478" s="5"/>
      <c r="M478" s="5"/>
      <c r="N478" s="7"/>
      <c r="O478" s="5" t="s">
        <v>556</v>
      </c>
      <c r="P478" s="8">
        <v>1792</v>
      </c>
      <c r="Q478" s="8">
        <f t="shared" si="8"/>
        <v>13936</v>
      </c>
    </row>
    <row r="479" spans="1:17" x14ac:dyDescent="0.25">
      <c r="A479" s="5"/>
      <c r="B479" s="5"/>
      <c r="C479" s="5"/>
      <c r="D479" s="5"/>
      <c r="E479" s="5"/>
      <c r="F479" s="5"/>
      <c r="G479" s="5"/>
      <c r="H479" s="5" t="s">
        <v>27</v>
      </c>
      <c r="I479" s="6">
        <v>44707</v>
      </c>
      <c r="J479" s="5" t="s">
        <v>385</v>
      </c>
      <c r="K479" s="5" t="s">
        <v>461</v>
      </c>
      <c r="L479" s="5"/>
      <c r="M479" s="5"/>
      <c r="N479" s="7"/>
      <c r="O479" s="5" t="s">
        <v>556</v>
      </c>
      <c r="P479" s="8">
        <v>2048</v>
      </c>
      <c r="Q479" s="8">
        <f t="shared" si="8"/>
        <v>15984</v>
      </c>
    </row>
    <row r="480" spans="1:17" x14ac:dyDescent="0.25">
      <c r="A480" s="5"/>
      <c r="B480" s="5"/>
      <c r="C480" s="5"/>
      <c r="D480" s="5"/>
      <c r="E480" s="5"/>
      <c r="F480" s="5"/>
      <c r="G480" s="5"/>
      <c r="H480" s="5" t="s">
        <v>27</v>
      </c>
      <c r="I480" s="6">
        <v>44713</v>
      </c>
      <c r="J480" s="5" t="s">
        <v>386</v>
      </c>
      <c r="K480" s="5" t="s">
        <v>458</v>
      </c>
      <c r="L480" s="5"/>
      <c r="M480" s="5"/>
      <c r="N480" s="7"/>
      <c r="O480" s="5" t="s">
        <v>556</v>
      </c>
      <c r="P480" s="8">
        <v>10000</v>
      </c>
      <c r="Q480" s="8">
        <f t="shared" si="8"/>
        <v>25984</v>
      </c>
    </row>
    <row r="481" spans="1:17" x14ac:dyDescent="0.25">
      <c r="A481" s="5"/>
      <c r="B481" s="5"/>
      <c r="C481" s="5"/>
      <c r="D481" s="5"/>
      <c r="E481" s="5"/>
      <c r="F481" s="5"/>
      <c r="G481" s="5"/>
      <c r="H481" s="5" t="s">
        <v>27</v>
      </c>
      <c r="I481" s="6">
        <v>44721</v>
      </c>
      <c r="J481" s="5" t="s">
        <v>387</v>
      </c>
      <c r="K481" s="5" t="s">
        <v>461</v>
      </c>
      <c r="L481" s="5"/>
      <c r="M481" s="5"/>
      <c r="N481" s="7"/>
      <c r="O481" s="5" t="s">
        <v>556</v>
      </c>
      <c r="P481" s="8">
        <v>2048</v>
      </c>
      <c r="Q481" s="8">
        <f t="shared" si="8"/>
        <v>28032</v>
      </c>
    </row>
    <row r="482" spans="1:17" x14ac:dyDescent="0.25">
      <c r="A482" s="5"/>
      <c r="B482" s="5"/>
      <c r="C482" s="5"/>
      <c r="D482" s="5"/>
      <c r="E482" s="5"/>
      <c r="F482" s="5"/>
      <c r="G482" s="5"/>
      <c r="H482" s="5" t="s">
        <v>27</v>
      </c>
      <c r="I482" s="6">
        <v>44721</v>
      </c>
      <c r="J482" s="5" t="s">
        <v>388</v>
      </c>
      <c r="K482" s="5" t="s">
        <v>462</v>
      </c>
      <c r="L482" s="5"/>
      <c r="M482" s="5"/>
      <c r="N482" s="7"/>
      <c r="O482" s="5" t="s">
        <v>556</v>
      </c>
      <c r="P482" s="8">
        <v>1390</v>
      </c>
      <c r="Q482" s="8">
        <f t="shared" si="8"/>
        <v>29422</v>
      </c>
    </row>
    <row r="483" spans="1:17" x14ac:dyDescent="0.25">
      <c r="A483" s="5"/>
      <c r="B483" s="5"/>
      <c r="C483" s="5"/>
      <c r="D483" s="5"/>
      <c r="E483" s="5"/>
      <c r="F483" s="5"/>
      <c r="G483" s="5"/>
      <c r="H483" s="5" t="s">
        <v>27</v>
      </c>
      <c r="I483" s="6">
        <v>44734</v>
      </c>
      <c r="J483" s="5"/>
      <c r="K483" s="5" t="s">
        <v>458</v>
      </c>
      <c r="L483" s="5"/>
      <c r="M483" s="5"/>
      <c r="N483" s="7"/>
      <c r="O483" s="5" t="s">
        <v>556</v>
      </c>
      <c r="P483" s="8">
        <v>6825.45</v>
      </c>
      <c r="Q483" s="8">
        <f t="shared" si="8"/>
        <v>36247.449999999997</v>
      </c>
    </row>
    <row r="484" spans="1:17" x14ac:dyDescent="0.25">
      <c r="A484" s="5"/>
      <c r="B484" s="5"/>
      <c r="C484" s="5"/>
      <c r="D484" s="5"/>
      <c r="E484" s="5"/>
      <c r="F484" s="5"/>
      <c r="G484" s="5"/>
      <c r="H484" s="5" t="s">
        <v>27</v>
      </c>
      <c r="I484" s="6">
        <v>44742</v>
      </c>
      <c r="J484" s="5" t="s">
        <v>389</v>
      </c>
      <c r="K484" s="5" t="s">
        <v>462</v>
      </c>
      <c r="L484" s="5"/>
      <c r="M484" s="5"/>
      <c r="N484" s="7"/>
      <c r="O484" s="5" t="s">
        <v>556</v>
      </c>
      <c r="P484" s="8">
        <v>880</v>
      </c>
      <c r="Q484" s="8">
        <f t="shared" si="8"/>
        <v>37127.449999999997</v>
      </c>
    </row>
    <row r="485" spans="1:17" x14ac:dyDescent="0.25">
      <c r="A485" s="5"/>
      <c r="B485" s="5"/>
      <c r="C485" s="5"/>
      <c r="D485" s="5"/>
      <c r="E485" s="5"/>
      <c r="F485" s="5"/>
      <c r="G485" s="5"/>
      <c r="H485" s="5" t="s">
        <v>27</v>
      </c>
      <c r="I485" s="6">
        <v>44742</v>
      </c>
      <c r="J485" s="5" t="s">
        <v>390</v>
      </c>
      <c r="K485" s="5" t="s">
        <v>457</v>
      </c>
      <c r="L485" s="5"/>
      <c r="M485" s="5"/>
      <c r="N485" s="7"/>
      <c r="O485" s="5" t="s">
        <v>556</v>
      </c>
      <c r="P485" s="8">
        <v>8000</v>
      </c>
      <c r="Q485" s="8">
        <f t="shared" si="8"/>
        <v>45127.45</v>
      </c>
    </row>
    <row r="486" spans="1:17" x14ac:dyDescent="0.25">
      <c r="A486" s="5"/>
      <c r="B486" s="5"/>
      <c r="C486" s="5"/>
      <c r="D486" s="5"/>
      <c r="E486" s="5"/>
      <c r="F486" s="5"/>
      <c r="G486" s="5"/>
      <c r="H486" s="5" t="s">
        <v>27</v>
      </c>
      <c r="I486" s="6">
        <v>44749</v>
      </c>
      <c r="J486" s="5" t="s">
        <v>391</v>
      </c>
      <c r="K486" s="5" t="s">
        <v>462</v>
      </c>
      <c r="L486" s="5"/>
      <c r="M486" s="5"/>
      <c r="N486" s="7"/>
      <c r="O486" s="5" t="s">
        <v>556</v>
      </c>
      <c r="P486" s="8">
        <v>1846</v>
      </c>
      <c r="Q486" s="8">
        <f t="shared" si="8"/>
        <v>46973.45</v>
      </c>
    </row>
    <row r="487" spans="1:17" x14ac:dyDescent="0.25">
      <c r="A487" s="5"/>
      <c r="B487" s="5"/>
      <c r="C487" s="5"/>
      <c r="D487" s="5"/>
      <c r="E487" s="5"/>
      <c r="F487" s="5"/>
      <c r="G487" s="5"/>
      <c r="H487" s="5" t="s">
        <v>27</v>
      </c>
      <c r="I487" s="6">
        <v>44749</v>
      </c>
      <c r="J487" s="5" t="s">
        <v>392</v>
      </c>
      <c r="K487" s="5" t="s">
        <v>461</v>
      </c>
      <c r="L487" s="5"/>
      <c r="M487" s="5"/>
      <c r="N487" s="7"/>
      <c r="O487" s="5" t="s">
        <v>556</v>
      </c>
      <c r="P487" s="8">
        <v>2024.04</v>
      </c>
      <c r="Q487" s="8">
        <f t="shared" si="8"/>
        <v>48997.49</v>
      </c>
    </row>
    <row r="488" spans="1:17" x14ac:dyDescent="0.25">
      <c r="A488" s="5"/>
      <c r="B488" s="5"/>
      <c r="C488" s="5"/>
      <c r="D488" s="5"/>
      <c r="E488" s="5"/>
      <c r="F488" s="5"/>
      <c r="G488" s="5"/>
      <c r="H488" s="5" t="s">
        <v>27</v>
      </c>
      <c r="I488" s="6">
        <v>44749</v>
      </c>
      <c r="J488" s="5" t="s">
        <v>393</v>
      </c>
      <c r="K488" s="5" t="s">
        <v>461</v>
      </c>
      <c r="L488" s="5"/>
      <c r="M488" s="5"/>
      <c r="N488" s="7"/>
      <c r="O488" s="5" t="s">
        <v>556</v>
      </c>
      <c r="P488" s="8">
        <v>2304</v>
      </c>
      <c r="Q488" s="8">
        <f t="shared" si="8"/>
        <v>51301.49</v>
      </c>
    </row>
    <row r="489" spans="1:17" x14ac:dyDescent="0.25">
      <c r="A489" s="5"/>
      <c r="B489" s="5"/>
      <c r="C489" s="5"/>
      <c r="D489" s="5"/>
      <c r="E489" s="5"/>
      <c r="F489" s="5"/>
      <c r="G489" s="5"/>
      <c r="H489" s="5" t="s">
        <v>27</v>
      </c>
      <c r="I489" s="6">
        <v>44753</v>
      </c>
      <c r="J489" s="5" t="s">
        <v>394</v>
      </c>
      <c r="K489" s="5" t="s">
        <v>463</v>
      </c>
      <c r="L489" s="5"/>
      <c r="M489" s="5"/>
      <c r="N489" s="7"/>
      <c r="O489" s="5" t="s">
        <v>556</v>
      </c>
      <c r="P489" s="8">
        <v>1475</v>
      </c>
      <c r="Q489" s="8">
        <f t="shared" si="8"/>
        <v>52776.49</v>
      </c>
    </row>
    <row r="490" spans="1:17" x14ac:dyDescent="0.25">
      <c r="A490" s="5"/>
      <c r="B490" s="5"/>
      <c r="C490" s="5"/>
      <c r="D490" s="5"/>
      <c r="E490" s="5"/>
      <c r="F490" s="5"/>
      <c r="G490" s="5"/>
      <c r="H490" s="5" t="s">
        <v>27</v>
      </c>
      <c r="I490" s="6">
        <v>44763</v>
      </c>
      <c r="J490" s="5"/>
      <c r="K490" s="5" t="s">
        <v>461</v>
      </c>
      <c r="L490" s="5"/>
      <c r="M490" s="5"/>
      <c r="N490" s="7"/>
      <c r="O490" s="5" t="s">
        <v>556</v>
      </c>
      <c r="P490" s="8">
        <v>2304</v>
      </c>
      <c r="Q490" s="8">
        <f t="shared" si="8"/>
        <v>55080.49</v>
      </c>
    </row>
    <row r="491" spans="1:17" x14ac:dyDescent="0.25">
      <c r="A491" s="5"/>
      <c r="B491" s="5"/>
      <c r="C491" s="5"/>
      <c r="D491" s="5"/>
      <c r="E491" s="5"/>
      <c r="F491" s="5"/>
      <c r="G491" s="5"/>
      <c r="H491" s="5" t="s">
        <v>27</v>
      </c>
      <c r="I491" s="6">
        <v>44763</v>
      </c>
      <c r="J491" s="5"/>
      <c r="K491" s="5" t="s">
        <v>463</v>
      </c>
      <c r="L491" s="5"/>
      <c r="M491" s="5"/>
      <c r="N491" s="7"/>
      <c r="O491" s="5" t="s">
        <v>556</v>
      </c>
      <c r="P491" s="8">
        <v>1641.26</v>
      </c>
      <c r="Q491" s="8">
        <f t="shared" si="8"/>
        <v>56721.75</v>
      </c>
    </row>
    <row r="492" spans="1:17" x14ac:dyDescent="0.25">
      <c r="A492" s="5"/>
      <c r="B492" s="5"/>
      <c r="C492" s="5"/>
      <c r="D492" s="5"/>
      <c r="E492" s="5"/>
      <c r="F492" s="5"/>
      <c r="G492" s="5"/>
      <c r="H492" s="5" t="s">
        <v>27</v>
      </c>
      <c r="I492" s="6">
        <v>44772</v>
      </c>
      <c r="J492" s="5" t="s">
        <v>395</v>
      </c>
      <c r="K492" s="5" t="s">
        <v>457</v>
      </c>
      <c r="L492" s="5"/>
      <c r="M492" s="5"/>
      <c r="N492" s="7"/>
      <c r="O492" s="5" t="s">
        <v>556</v>
      </c>
      <c r="P492" s="8">
        <v>8000</v>
      </c>
      <c r="Q492" s="8">
        <f t="shared" si="8"/>
        <v>64721.75</v>
      </c>
    </row>
    <row r="493" spans="1:17" x14ac:dyDescent="0.25">
      <c r="A493" s="5"/>
      <c r="B493" s="5"/>
      <c r="C493" s="5"/>
      <c r="D493" s="5"/>
      <c r="E493" s="5"/>
      <c r="F493" s="5"/>
      <c r="G493" s="5"/>
      <c r="H493" s="5" t="s">
        <v>27</v>
      </c>
      <c r="I493" s="6">
        <v>44777</v>
      </c>
      <c r="J493" s="5" t="s">
        <v>396</v>
      </c>
      <c r="K493" s="5" t="s">
        <v>461</v>
      </c>
      <c r="L493" s="5"/>
      <c r="M493" s="5"/>
      <c r="N493" s="7"/>
      <c r="O493" s="5" t="s">
        <v>556</v>
      </c>
      <c r="P493" s="8">
        <v>2560</v>
      </c>
      <c r="Q493" s="8">
        <f t="shared" si="8"/>
        <v>67281.75</v>
      </c>
    </row>
    <row r="494" spans="1:17" x14ac:dyDescent="0.25">
      <c r="A494" s="5"/>
      <c r="B494" s="5"/>
      <c r="C494" s="5"/>
      <c r="D494" s="5"/>
      <c r="E494" s="5"/>
      <c r="F494" s="5"/>
      <c r="G494" s="5"/>
      <c r="H494" s="5" t="s">
        <v>27</v>
      </c>
      <c r="I494" s="6">
        <v>44777</v>
      </c>
      <c r="J494" s="5"/>
      <c r="K494" s="5" t="s">
        <v>458</v>
      </c>
      <c r="L494" s="5"/>
      <c r="M494" s="5"/>
      <c r="N494" s="7"/>
      <c r="O494" s="5" t="s">
        <v>556</v>
      </c>
      <c r="P494" s="8">
        <v>6827.22</v>
      </c>
      <c r="Q494" s="8">
        <f t="shared" si="8"/>
        <v>74108.97</v>
      </c>
    </row>
    <row r="495" spans="1:17" x14ac:dyDescent="0.25">
      <c r="A495" s="5"/>
      <c r="B495" s="5"/>
      <c r="C495" s="5"/>
      <c r="D495" s="5"/>
      <c r="E495" s="5"/>
      <c r="F495" s="5"/>
      <c r="G495" s="5"/>
      <c r="H495" s="5" t="s">
        <v>27</v>
      </c>
      <c r="I495" s="6">
        <v>44777</v>
      </c>
      <c r="J495" s="5" t="s">
        <v>397</v>
      </c>
      <c r="K495" s="5" t="s">
        <v>463</v>
      </c>
      <c r="L495" s="5"/>
      <c r="M495" s="5"/>
      <c r="N495" s="7"/>
      <c r="O495" s="5" t="s">
        <v>556</v>
      </c>
      <c r="P495" s="8">
        <v>1725</v>
      </c>
      <c r="Q495" s="8">
        <f t="shared" si="8"/>
        <v>75833.97</v>
      </c>
    </row>
    <row r="496" spans="1:17" x14ac:dyDescent="0.25">
      <c r="A496" s="5"/>
      <c r="B496" s="5"/>
      <c r="C496" s="5"/>
      <c r="D496" s="5"/>
      <c r="E496" s="5"/>
      <c r="F496" s="5"/>
      <c r="G496" s="5"/>
      <c r="H496" s="5" t="s">
        <v>27</v>
      </c>
      <c r="I496" s="6">
        <v>44777</v>
      </c>
      <c r="J496" s="5" t="s">
        <v>398</v>
      </c>
      <c r="K496" s="5" t="s">
        <v>463</v>
      </c>
      <c r="L496" s="5"/>
      <c r="M496" s="5"/>
      <c r="N496" s="7"/>
      <c r="O496" s="5" t="s">
        <v>556</v>
      </c>
      <c r="P496" s="8">
        <v>1725</v>
      </c>
      <c r="Q496" s="8">
        <f t="shared" si="8"/>
        <v>77558.97</v>
      </c>
    </row>
    <row r="497" spans="1:17" x14ac:dyDescent="0.25">
      <c r="A497" s="5"/>
      <c r="B497" s="5"/>
      <c r="C497" s="5"/>
      <c r="D497" s="5"/>
      <c r="E497" s="5"/>
      <c r="F497" s="5"/>
      <c r="G497" s="5"/>
      <c r="H497" s="5" t="s">
        <v>27</v>
      </c>
      <c r="I497" s="6">
        <v>44791</v>
      </c>
      <c r="J497" s="5" t="s">
        <v>399</v>
      </c>
      <c r="K497" s="5" t="s">
        <v>461</v>
      </c>
      <c r="L497" s="5"/>
      <c r="M497" s="5"/>
      <c r="N497" s="7"/>
      <c r="O497" s="5" t="s">
        <v>556</v>
      </c>
      <c r="P497" s="8">
        <v>2304</v>
      </c>
      <c r="Q497" s="8">
        <f t="shared" si="8"/>
        <v>79862.97</v>
      </c>
    </row>
    <row r="498" spans="1:17" x14ac:dyDescent="0.25">
      <c r="A498" s="5"/>
      <c r="B498" s="5"/>
      <c r="C498" s="5"/>
      <c r="D498" s="5"/>
      <c r="E498" s="5"/>
      <c r="F498" s="5"/>
      <c r="G498" s="5"/>
      <c r="H498" s="5" t="s">
        <v>27</v>
      </c>
      <c r="I498" s="6">
        <v>44791</v>
      </c>
      <c r="J498" s="5" t="s">
        <v>400</v>
      </c>
      <c r="K498" s="5" t="s">
        <v>463</v>
      </c>
      <c r="L498" s="5"/>
      <c r="M498" s="5"/>
      <c r="N498" s="7"/>
      <c r="O498" s="5" t="s">
        <v>556</v>
      </c>
      <c r="P498" s="8">
        <v>1168.75</v>
      </c>
      <c r="Q498" s="8">
        <f t="shared" si="8"/>
        <v>81031.72</v>
      </c>
    </row>
    <row r="499" spans="1:17" x14ac:dyDescent="0.25">
      <c r="A499" s="5"/>
      <c r="B499" s="5"/>
      <c r="C499" s="5"/>
      <c r="D499" s="5"/>
      <c r="E499" s="5"/>
      <c r="F499" s="5"/>
      <c r="G499" s="5"/>
      <c r="H499" s="5" t="s">
        <v>27</v>
      </c>
      <c r="I499" s="6">
        <v>44805</v>
      </c>
      <c r="J499" s="5" t="s">
        <v>401</v>
      </c>
      <c r="K499" s="5" t="s">
        <v>461</v>
      </c>
      <c r="L499" s="5"/>
      <c r="M499" s="5"/>
      <c r="N499" s="7"/>
      <c r="O499" s="5" t="s">
        <v>556</v>
      </c>
      <c r="P499" s="8">
        <v>2560</v>
      </c>
      <c r="Q499" s="8">
        <f t="shared" si="8"/>
        <v>83591.72</v>
      </c>
    </row>
    <row r="500" spans="1:17" x14ac:dyDescent="0.25">
      <c r="A500" s="5"/>
      <c r="B500" s="5"/>
      <c r="C500" s="5"/>
      <c r="D500" s="5"/>
      <c r="E500" s="5"/>
      <c r="F500" s="5"/>
      <c r="G500" s="5"/>
      <c r="H500" s="5" t="s">
        <v>27</v>
      </c>
      <c r="I500" s="6">
        <v>44805</v>
      </c>
      <c r="J500" s="5" t="s">
        <v>402</v>
      </c>
      <c r="K500" s="5" t="s">
        <v>462</v>
      </c>
      <c r="L500" s="5"/>
      <c r="M500" s="5"/>
      <c r="N500" s="7"/>
      <c r="O500" s="5" t="s">
        <v>556</v>
      </c>
      <c r="P500" s="8">
        <v>1486</v>
      </c>
      <c r="Q500" s="8">
        <f t="shared" si="8"/>
        <v>85077.72</v>
      </c>
    </row>
    <row r="501" spans="1:17" x14ac:dyDescent="0.25">
      <c r="A501" s="5"/>
      <c r="B501" s="5"/>
      <c r="C501" s="5"/>
      <c r="D501" s="5"/>
      <c r="E501" s="5"/>
      <c r="F501" s="5"/>
      <c r="G501" s="5"/>
      <c r="H501" s="5" t="s">
        <v>27</v>
      </c>
      <c r="I501" s="6">
        <v>44808</v>
      </c>
      <c r="J501" s="5"/>
      <c r="K501" s="5" t="s">
        <v>458</v>
      </c>
      <c r="L501" s="5"/>
      <c r="M501" s="5"/>
      <c r="N501" s="7"/>
      <c r="O501" s="5" t="s">
        <v>556</v>
      </c>
      <c r="P501" s="8">
        <v>6826.55</v>
      </c>
      <c r="Q501" s="8">
        <f t="shared" si="8"/>
        <v>91904.27</v>
      </c>
    </row>
    <row r="502" spans="1:17" x14ac:dyDescent="0.25">
      <c r="A502" s="5"/>
      <c r="B502" s="5"/>
      <c r="C502" s="5"/>
      <c r="D502" s="5"/>
      <c r="E502" s="5"/>
      <c r="F502" s="5"/>
      <c r="G502" s="5"/>
      <c r="H502" s="5" t="s">
        <v>27</v>
      </c>
      <c r="I502" s="6">
        <v>44819</v>
      </c>
      <c r="J502" s="5" t="s">
        <v>403</v>
      </c>
      <c r="K502" s="5" t="s">
        <v>461</v>
      </c>
      <c r="L502" s="5"/>
      <c r="M502" s="5"/>
      <c r="N502" s="7"/>
      <c r="O502" s="5" t="s">
        <v>556</v>
      </c>
      <c r="P502" s="8">
        <v>2048</v>
      </c>
      <c r="Q502" s="8">
        <f t="shared" si="8"/>
        <v>93952.27</v>
      </c>
    </row>
    <row r="503" spans="1:17" x14ac:dyDescent="0.25">
      <c r="A503" s="5"/>
      <c r="B503" s="5"/>
      <c r="C503" s="5"/>
      <c r="D503" s="5"/>
      <c r="E503" s="5"/>
      <c r="F503" s="5"/>
      <c r="G503" s="5"/>
      <c r="H503" s="5" t="s">
        <v>27</v>
      </c>
      <c r="I503" s="6">
        <v>44819</v>
      </c>
      <c r="J503" s="5" t="s">
        <v>404</v>
      </c>
      <c r="K503" s="5" t="s">
        <v>462</v>
      </c>
      <c r="L503" s="5"/>
      <c r="M503" s="5"/>
      <c r="N503" s="7"/>
      <c r="O503" s="5" t="s">
        <v>556</v>
      </c>
      <c r="P503" s="8">
        <v>1533.63</v>
      </c>
      <c r="Q503" s="8">
        <f t="shared" si="8"/>
        <v>95485.9</v>
      </c>
    </row>
    <row r="504" spans="1:17" x14ac:dyDescent="0.25">
      <c r="A504" s="5"/>
      <c r="B504" s="5"/>
      <c r="C504" s="5"/>
      <c r="D504" s="5"/>
      <c r="E504" s="5"/>
      <c r="F504" s="5"/>
      <c r="G504" s="5"/>
      <c r="H504" s="5" t="s">
        <v>27</v>
      </c>
      <c r="I504" s="6">
        <v>44833</v>
      </c>
      <c r="J504" s="5"/>
      <c r="K504" s="5" t="s">
        <v>461</v>
      </c>
      <c r="L504" s="5"/>
      <c r="M504" s="5"/>
      <c r="N504" s="7"/>
      <c r="O504" s="5" t="s">
        <v>556</v>
      </c>
      <c r="P504" s="8">
        <v>2560</v>
      </c>
      <c r="Q504" s="8">
        <f t="shared" si="8"/>
        <v>98045.9</v>
      </c>
    </row>
    <row r="505" spans="1:17" x14ac:dyDescent="0.25">
      <c r="A505" s="5"/>
      <c r="B505" s="5"/>
      <c r="C505" s="5"/>
      <c r="D505" s="5"/>
      <c r="E505" s="5"/>
      <c r="F505" s="5"/>
      <c r="G505" s="5"/>
      <c r="H505" s="5" t="s">
        <v>27</v>
      </c>
      <c r="I505" s="6">
        <v>44838</v>
      </c>
      <c r="J505" s="5"/>
      <c r="K505" s="5" t="s">
        <v>708</v>
      </c>
      <c r="L505" s="5"/>
      <c r="M505" s="5"/>
      <c r="N505" s="7"/>
      <c r="O505" s="5" t="s">
        <v>556</v>
      </c>
      <c r="P505" s="8">
        <v>4500</v>
      </c>
      <c r="Q505" s="8">
        <f t="shared" si="8"/>
        <v>102545.9</v>
      </c>
    </row>
    <row r="506" spans="1:17" x14ac:dyDescent="0.25">
      <c r="A506" s="5"/>
      <c r="B506" s="5"/>
      <c r="C506" s="5"/>
      <c r="D506" s="5"/>
      <c r="E506" s="5"/>
      <c r="F506" s="5"/>
      <c r="G506" s="5"/>
      <c r="H506" s="5" t="s">
        <v>27</v>
      </c>
      <c r="I506" s="6">
        <v>44840</v>
      </c>
      <c r="J506" s="5"/>
      <c r="K506" s="5" t="s">
        <v>708</v>
      </c>
      <c r="L506" s="5"/>
      <c r="M506" s="5"/>
      <c r="N506" s="7"/>
      <c r="O506" s="5" t="s">
        <v>556</v>
      </c>
      <c r="P506" s="8">
        <v>4500</v>
      </c>
      <c r="Q506" s="8">
        <f t="shared" si="8"/>
        <v>107045.9</v>
      </c>
    </row>
    <row r="507" spans="1:17" x14ac:dyDescent="0.25">
      <c r="A507" s="5"/>
      <c r="B507" s="5"/>
      <c r="C507" s="5"/>
      <c r="D507" s="5"/>
      <c r="E507" s="5"/>
      <c r="F507" s="5"/>
      <c r="G507" s="5"/>
      <c r="H507" s="5" t="s">
        <v>27</v>
      </c>
      <c r="I507" s="6">
        <v>44847</v>
      </c>
      <c r="J507" s="5" t="s">
        <v>597</v>
      </c>
      <c r="K507" s="5" t="s">
        <v>461</v>
      </c>
      <c r="L507" s="5"/>
      <c r="M507" s="5"/>
      <c r="N507" s="7"/>
      <c r="O507" s="5" t="s">
        <v>556</v>
      </c>
      <c r="P507" s="8">
        <v>2670.4</v>
      </c>
      <c r="Q507" s="8">
        <f t="shared" ref="Q507:Q525" si="9">ROUND(Q506+P507,5)</f>
        <v>109716.3</v>
      </c>
    </row>
    <row r="508" spans="1:17" x14ac:dyDescent="0.25">
      <c r="A508" s="5"/>
      <c r="B508" s="5"/>
      <c r="C508" s="5"/>
      <c r="D508" s="5"/>
      <c r="E508" s="5"/>
      <c r="F508" s="5"/>
      <c r="G508" s="5"/>
      <c r="H508" s="5" t="s">
        <v>27</v>
      </c>
      <c r="I508" s="6">
        <v>44847</v>
      </c>
      <c r="J508" s="5" t="s">
        <v>598</v>
      </c>
      <c r="K508" s="5" t="s">
        <v>463</v>
      </c>
      <c r="L508" s="5"/>
      <c r="M508" s="5"/>
      <c r="N508" s="7"/>
      <c r="O508" s="5" t="s">
        <v>556</v>
      </c>
      <c r="P508" s="8">
        <v>1835.74</v>
      </c>
      <c r="Q508" s="8">
        <f t="shared" si="9"/>
        <v>111552.04</v>
      </c>
    </row>
    <row r="509" spans="1:17" x14ac:dyDescent="0.25">
      <c r="A509" s="5"/>
      <c r="B509" s="5"/>
      <c r="C509" s="5"/>
      <c r="D509" s="5"/>
      <c r="E509" s="5"/>
      <c r="F509" s="5"/>
      <c r="G509" s="5"/>
      <c r="H509" s="5" t="s">
        <v>27</v>
      </c>
      <c r="I509" s="6">
        <v>44851</v>
      </c>
      <c r="J509" s="5" t="s">
        <v>599</v>
      </c>
      <c r="K509" s="5" t="s">
        <v>708</v>
      </c>
      <c r="L509" s="5"/>
      <c r="M509" s="5"/>
      <c r="N509" s="7"/>
      <c r="O509" s="5" t="s">
        <v>556</v>
      </c>
      <c r="P509" s="8">
        <v>4820</v>
      </c>
      <c r="Q509" s="8">
        <f t="shared" si="9"/>
        <v>116372.04</v>
      </c>
    </row>
    <row r="510" spans="1:17" x14ac:dyDescent="0.25">
      <c r="A510" s="5"/>
      <c r="B510" s="5"/>
      <c r="C510" s="5"/>
      <c r="D510" s="5"/>
      <c r="E510" s="5"/>
      <c r="F510" s="5"/>
      <c r="G510" s="5"/>
      <c r="H510" s="5" t="s">
        <v>27</v>
      </c>
      <c r="I510" s="6">
        <v>44861</v>
      </c>
      <c r="J510" s="5" t="s">
        <v>600</v>
      </c>
      <c r="K510" s="5" t="s">
        <v>461</v>
      </c>
      <c r="L510" s="5"/>
      <c r="M510" s="5"/>
      <c r="N510" s="7"/>
      <c r="O510" s="5" t="s">
        <v>556</v>
      </c>
      <c r="P510" s="8">
        <v>2453.33</v>
      </c>
      <c r="Q510" s="8">
        <f t="shared" si="9"/>
        <v>118825.37</v>
      </c>
    </row>
    <row r="511" spans="1:17" x14ac:dyDescent="0.25">
      <c r="A511" s="5"/>
      <c r="B511" s="5"/>
      <c r="C511" s="5"/>
      <c r="D511" s="5"/>
      <c r="E511" s="5"/>
      <c r="F511" s="5"/>
      <c r="G511" s="5"/>
      <c r="H511" s="5" t="s">
        <v>27</v>
      </c>
      <c r="I511" s="6">
        <v>44861</v>
      </c>
      <c r="J511" s="5" t="s">
        <v>601</v>
      </c>
      <c r="K511" s="5" t="s">
        <v>463</v>
      </c>
      <c r="L511" s="5"/>
      <c r="M511" s="5"/>
      <c r="N511" s="7"/>
      <c r="O511" s="5" t="s">
        <v>556</v>
      </c>
      <c r="P511" s="8">
        <v>1318</v>
      </c>
      <c r="Q511" s="8">
        <f t="shared" si="9"/>
        <v>120143.37</v>
      </c>
    </row>
    <row r="512" spans="1:17" x14ac:dyDescent="0.25">
      <c r="A512" s="5"/>
      <c r="B512" s="5"/>
      <c r="C512" s="5"/>
      <c r="D512" s="5"/>
      <c r="E512" s="5"/>
      <c r="F512" s="5"/>
      <c r="G512" s="5"/>
      <c r="H512" s="5" t="s">
        <v>27</v>
      </c>
      <c r="I512" s="6">
        <v>44861</v>
      </c>
      <c r="J512" s="5"/>
      <c r="K512" s="5" t="s">
        <v>463</v>
      </c>
      <c r="L512" s="5"/>
      <c r="M512" s="5"/>
      <c r="N512" s="7"/>
      <c r="O512" s="5" t="s">
        <v>556</v>
      </c>
      <c r="P512" s="8">
        <v>489.74</v>
      </c>
      <c r="Q512" s="8">
        <f t="shared" si="9"/>
        <v>120633.11</v>
      </c>
    </row>
    <row r="513" spans="1:17" x14ac:dyDescent="0.25">
      <c r="A513" s="5"/>
      <c r="B513" s="5"/>
      <c r="C513" s="5"/>
      <c r="D513" s="5"/>
      <c r="E513" s="5"/>
      <c r="F513" s="5"/>
      <c r="G513" s="5"/>
      <c r="H513" s="5" t="s">
        <v>27</v>
      </c>
      <c r="I513" s="6">
        <v>44861</v>
      </c>
      <c r="J513" s="5" t="s">
        <v>602</v>
      </c>
      <c r="K513" s="5" t="s">
        <v>461</v>
      </c>
      <c r="L513" s="5"/>
      <c r="M513" s="5"/>
      <c r="N513" s="7"/>
      <c r="O513" s="5" t="s">
        <v>556</v>
      </c>
      <c r="P513" s="8">
        <v>2670.4</v>
      </c>
      <c r="Q513" s="8">
        <f t="shared" si="9"/>
        <v>123303.51</v>
      </c>
    </row>
    <row r="514" spans="1:17" x14ac:dyDescent="0.25">
      <c r="A514" s="5"/>
      <c r="B514" s="5"/>
      <c r="C514" s="5"/>
      <c r="D514" s="5"/>
      <c r="E514" s="5"/>
      <c r="F514" s="5"/>
      <c r="G514" s="5"/>
      <c r="H514" s="5" t="s">
        <v>28</v>
      </c>
      <c r="I514" s="6">
        <v>44869</v>
      </c>
      <c r="J514" s="5"/>
      <c r="K514" s="5" t="s">
        <v>708</v>
      </c>
      <c r="L514" s="5"/>
      <c r="M514" s="5"/>
      <c r="N514" s="7"/>
      <c r="O514" s="5" t="s">
        <v>554</v>
      </c>
      <c r="P514" s="8">
        <v>6295</v>
      </c>
      <c r="Q514" s="8">
        <f t="shared" si="9"/>
        <v>129598.51</v>
      </c>
    </row>
    <row r="515" spans="1:17" x14ac:dyDescent="0.25">
      <c r="A515" s="5"/>
      <c r="B515" s="5"/>
      <c r="C515" s="5"/>
      <c r="D515" s="5"/>
      <c r="E515" s="5"/>
      <c r="F515" s="5"/>
      <c r="G515" s="5"/>
      <c r="H515" s="5" t="s">
        <v>28</v>
      </c>
      <c r="I515" s="6">
        <v>44869</v>
      </c>
      <c r="J515" s="5"/>
      <c r="K515" s="5" t="s">
        <v>709</v>
      </c>
      <c r="L515" s="5"/>
      <c r="M515" s="5"/>
      <c r="N515" s="7"/>
      <c r="O515" s="5" t="s">
        <v>554</v>
      </c>
      <c r="P515" s="8">
        <v>4885</v>
      </c>
      <c r="Q515" s="8">
        <f t="shared" si="9"/>
        <v>134483.51</v>
      </c>
    </row>
    <row r="516" spans="1:17" x14ac:dyDescent="0.25">
      <c r="A516" s="5"/>
      <c r="B516" s="5"/>
      <c r="C516" s="5"/>
      <c r="D516" s="5"/>
      <c r="E516" s="5"/>
      <c r="F516" s="5"/>
      <c r="G516" s="5"/>
      <c r="H516" s="5" t="s">
        <v>28</v>
      </c>
      <c r="I516" s="6">
        <v>44872</v>
      </c>
      <c r="J516" s="5"/>
      <c r="K516" s="5" t="s">
        <v>710</v>
      </c>
      <c r="L516" s="5"/>
      <c r="M516" s="5"/>
      <c r="N516" s="7"/>
      <c r="O516" s="5" t="s">
        <v>554</v>
      </c>
      <c r="P516" s="8">
        <v>5000</v>
      </c>
      <c r="Q516" s="8">
        <f t="shared" si="9"/>
        <v>139483.51</v>
      </c>
    </row>
    <row r="517" spans="1:17" x14ac:dyDescent="0.25">
      <c r="A517" s="5"/>
      <c r="B517" s="5"/>
      <c r="C517" s="5"/>
      <c r="D517" s="5"/>
      <c r="E517" s="5"/>
      <c r="F517" s="5"/>
      <c r="G517" s="5"/>
      <c r="H517" s="5" t="s">
        <v>27</v>
      </c>
      <c r="I517" s="6">
        <v>44874</v>
      </c>
      <c r="J517" s="5" t="s">
        <v>603</v>
      </c>
      <c r="K517" s="5" t="s">
        <v>461</v>
      </c>
      <c r="L517" s="5"/>
      <c r="M517" s="5"/>
      <c r="N517" s="7"/>
      <c r="O517" s="5" t="s">
        <v>556</v>
      </c>
      <c r="P517" s="8">
        <v>2268.8000000000002</v>
      </c>
      <c r="Q517" s="8">
        <f t="shared" si="9"/>
        <v>141752.31</v>
      </c>
    </row>
    <row r="518" spans="1:17" x14ac:dyDescent="0.25">
      <c r="A518" s="5"/>
      <c r="B518" s="5"/>
      <c r="C518" s="5"/>
      <c r="D518" s="5"/>
      <c r="E518" s="5"/>
      <c r="F518" s="5"/>
      <c r="G518" s="5"/>
      <c r="H518" s="5" t="s">
        <v>27</v>
      </c>
      <c r="I518" s="6">
        <v>44874</v>
      </c>
      <c r="J518" s="5" t="s">
        <v>604</v>
      </c>
      <c r="K518" s="5" t="s">
        <v>463</v>
      </c>
      <c r="L518" s="5"/>
      <c r="M518" s="5"/>
      <c r="N518" s="7"/>
      <c r="O518" s="5" t="s">
        <v>556</v>
      </c>
      <c r="P518" s="8">
        <v>1164.5</v>
      </c>
      <c r="Q518" s="8">
        <f t="shared" si="9"/>
        <v>142916.81</v>
      </c>
    </row>
    <row r="519" spans="1:17" x14ac:dyDescent="0.25">
      <c r="A519" s="5"/>
      <c r="B519" s="5"/>
      <c r="C519" s="5"/>
      <c r="D519" s="5"/>
      <c r="E519" s="5"/>
      <c r="F519" s="5"/>
      <c r="G519" s="5"/>
      <c r="H519" s="5" t="s">
        <v>28</v>
      </c>
      <c r="I519" s="6">
        <v>44876</v>
      </c>
      <c r="J519" s="5"/>
      <c r="K519" s="5" t="s">
        <v>458</v>
      </c>
      <c r="L519" s="5"/>
      <c r="M519" s="5"/>
      <c r="N519" s="7"/>
      <c r="O519" s="5" t="s">
        <v>554</v>
      </c>
      <c r="P519" s="8">
        <v>6826.78</v>
      </c>
      <c r="Q519" s="8">
        <f t="shared" si="9"/>
        <v>149743.59</v>
      </c>
    </row>
    <row r="520" spans="1:17" x14ac:dyDescent="0.25">
      <c r="A520" s="5"/>
      <c r="B520" s="5"/>
      <c r="C520" s="5"/>
      <c r="D520" s="5"/>
      <c r="E520" s="5"/>
      <c r="F520" s="5"/>
      <c r="G520" s="5"/>
      <c r="H520" s="5" t="s">
        <v>28</v>
      </c>
      <c r="I520" s="6">
        <v>44889</v>
      </c>
      <c r="J520" s="5"/>
      <c r="K520" s="5" t="s">
        <v>461</v>
      </c>
      <c r="L520" s="5"/>
      <c r="M520" s="5"/>
      <c r="N520" s="7"/>
      <c r="O520" s="5" t="s">
        <v>554</v>
      </c>
      <c r="P520" s="8">
        <v>1793.91</v>
      </c>
      <c r="Q520" s="8">
        <f t="shared" si="9"/>
        <v>151537.5</v>
      </c>
    </row>
    <row r="521" spans="1:17" x14ac:dyDescent="0.25">
      <c r="A521" s="5"/>
      <c r="B521" s="5"/>
      <c r="C521" s="5"/>
      <c r="D521" s="5"/>
      <c r="E521" s="5"/>
      <c r="F521" s="5"/>
      <c r="G521" s="5"/>
      <c r="H521" s="5" t="s">
        <v>28</v>
      </c>
      <c r="I521" s="6">
        <v>44897</v>
      </c>
      <c r="J521" s="5"/>
      <c r="K521" s="5" t="s">
        <v>461</v>
      </c>
      <c r="L521" s="5"/>
      <c r="M521" s="5"/>
      <c r="N521" s="7"/>
      <c r="O521" s="5" t="s">
        <v>554</v>
      </c>
      <c r="P521" s="8">
        <v>2240</v>
      </c>
      <c r="Q521" s="8">
        <f t="shared" si="9"/>
        <v>153777.5</v>
      </c>
    </row>
    <row r="522" spans="1:17" x14ac:dyDescent="0.25">
      <c r="A522" s="5"/>
      <c r="B522" s="5"/>
      <c r="C522" s="5"/>
      <c r="D522" s="5"/>
      <c r="E522" s="5"/>
      <c r="F522" s="5"/>
      <c r="G522" s="5"/>
      <c r="H522" s="5" t="s">
        <v>28</v>
      </c>
      <c r="I522" s="6">
        <v>44903</v>
      </c>
      <c r="J522" s="5" t="s">
        <v>605</v>
      </c>
      <c r="K522" s="5" t="s">
        <v>461</v>
      </c>
      <c r="L522" s="5"/>
      <c r="M522" s="5"/>
      <c r="N522" s="7"/>
      <c r="O522" s="5" t="s">
        <v>554</v>
      </c>
      <c r="P522" s="8">
        <v>2560</v>
      </c>
      <c r="Q522" s="8">
        <f t="shared" si="9"/>
        <v>156337.5</v>
      </c>
    </row>
    <row r="523" spans="1:17" x14ac:dyDescent="0.25">
      <c r="A523" s="5"/>
      <c r="B523" s="5"/>
      <c r="C523" s="5"/>
      <c r="D523" s="5"/>
      <c r="E523" s="5"/>
      <c r="F523" s="5"/>
      <c r="G523" s="5"/>
      <c r="H523" s="5" t="s">
        <v>28</v>
      </c>
      <c r="I523" s="6">
        <v>44903</v>
      </c>
      <c r="J523" s="5"/>
      <c r="K523" s="5" t="s">
        <v>458</v>
      </c>
      <c r="L523" s="5"/>
      <c r="M523" s="5"/>
      <c r="N523" s="7"/>
      <c r="O523" s="5" t="s">
        <v>554</v>
      </c>
      <c r="P523" s="8">
        <v>6825.45</v>
      </c>
      <c r="Q523" s="8">
        <f t="shared" si="9"/>
        <v>163162.95000000001</v>
      </c>
    </row>
    <row r="524" spans="1:17" x14ac:dyDescent="0.25">
      <c r="A524" s="5"/>
      <c r="B524" s="5"/>
      <c r="C524" s="5"/>
      <c r="D524" s="5"/>
      <c r="E524" s="5"/>
      <c r="F524" s="5"/>
      <c r="G524" s="5"/>
      <c r="H524" s="5" t="s">
        <v>28</v>
      </c>
      <c r="I524" s="6">
        <v>44917</v>
      </c>
      <c r="J524" s="5"/>
      <c r="K524" s="5" t="s">
        <v>461</v>
      </c>
      <c r="L524" s="5" t="s">
        <v>743</v>
      </c>
      <c r="M524" s="5"/>
      <c r="N524" s="7"/>
      <c r="O524" s="5" t="s">
        <v>554</v>
      </c>
      <c r="P524" s="8">
        <v>2530.88</v>
      </c>
      <c r="Q524" s="8">
        <f t="shared" si="9"/>
        <v>165693.82999999999</v>
      </c>
    </row>
    <row r="525" spans="1:17" ht="15.75" thickBot="1" x14ac:dyDescent="0.3">
      <c r="A525" s="5"/>
      <c r="B525" s="5"/>
      <c r="C525" s="5"/>
      <c r="D525" s="5"/>
      <c r="E525" s="5"/>
      <c r="F525" s="5"/>
      <c r="G525" s="5"/>
      <c r="H525" s="5" t="s">
        <v>28</v>
      </c>
      <c r="I525" s="6">
        <v>44917</v>
      </c>
      <c r="J525" s="5"/>
      <c r="K525" s="5" t="s">
        <v>463</v>
      </c>
      <c r="L525" s="5"/>
      <c r="M525" s="5"/>
      <c r="N525" s="7"/>
      <c r="O525" s="5" t="s">
        <v>554</v>
      </c>
      <c r="P525" s="8">
        <v>387.25</v>
      </c>
      <c r="Q525" s="8">
        <f t="shared" si="9"/>
        <v>166081.07999999999</v>
      </c>
    </row>
    <row r="526" spans="1:17" ht="15.75" thickBot="1" x14ac:dyDescent="0.3">
      <c r="A526" s="5"/>
      <c r="B526" s="5"/>
      <c r="C526" s="5"/>
      <c r="D526" s="5"/>
      <c r="E526" s="5" t="s">
        <v>558</v>
      </c>
      <c r="F526" s="5"/>
      <c r="G526" s="5"/>
      <c r="H526" s="5"/>
      <c r="I526" s="6"/>
      <c r="J526" s="5"/>
      <c r="K526" s="5"/>
      <c r="L526" s="5"/>
      <c r="M526" s="5"/>
      <c r="N526" s="5"/>
      <c r="O526" s="5"/>
      <c r="P526" s="11">
        <f>ROUND(SUM(P474:P525),5)</f>
        <v>166081.07999999999</v>
      </c>
      <c r="Q526" s="11">
        <f>Q525</f>
        <v>166081.07999999999</v>
      </c>
    </row>
    <row r="527" spans="1:17" ht="15.75" thickBot="1" x14ac:dyDescent="0.3">
      <c r="A527" s="5"/>
      <c r="B527" s="5"/>
      <c r="C527" s="5"/>
      <c r="D527" s="5" t="s">
        <v>559</v>
      </c>
      <c r="E527" s="5"/>
      <c r="F527" s="5"/>
      <c r="G527" s="5"/>
      <c r="H527" s="5"/>
      <c r="I527" s="6"/>
      <c r="J527" s="5"/>
      <c r="K527" s="5"/>
      <c r="L527" s="5"/>
      <c r="M527" s="5"/>
      <c r="N527" s="5"/>
      <c r="O527" s="5"/>
      <c r="P527" s="10">
        <f>ROUND(P473+P526,5)</f>
        <v>310993.18</v>
      </c>
      <c r="Q527" s="10">
        <f>ROUND(Q473+Q526,5)</f>
        <v>310993.18</v>
      </c>
    </row>
    <row r="528" spans="1:17" x14ac:dyDescent="0.25">
      <c r="A528" s="5"/>
      <c r="B528" s="5"/>
      <c r="C528" s="5" t="s">
        <v>560</v>
      </c>
      <c r="D528" s="5"/>
      <c r="E528" s="5"/>
      <c r="F528" s="5"/>
      <c r="G528" s="5"/>
      <c r="H528" s="5"/>
      <c r="I528" s="6"/>
      <c r="J528" s="5"/>
      <c r="K528" s="5"/>
      <c r="L528" s="5"/>
      <c r="M528" s="5"/>
      <c r="N528" s="5"/>
      <c r="O528" s="5"/>
      <c r="P528" s="8">
        <f>ROUND(P427-P527,5)</f>
        <v>458445.05</v>
      </c>
      <c r="Q528" s="8">
        <f>ROUND(Q427-Q527,5)</f>
        <v>458445.05</v>
      </c>
    </row>
    <row r="529" spans="1:17" x14ac:dyDescent="0.25">
      <c r="A529" s="2"/>
      <c r="B529" s="2"/>
      <c r="C529" s="2"/>
      <c r="D529" s="2" t="s">
        <v>561</v>
      </c>
      <c r="E529" s="2"/>
      <c r="F529" s="2"/>
      <c r="G529" s="2"/>
      <c r="H529" s="2"/>
      <c r="I529" s="3"/>
      <c r="J529" s="2"/>
      <c r="K529" s="2"/>
      <c r="L529" s="2"/>
      <c r="M529" s="2"/>
      <c r="N529" s="2"/>
      <c r="O529" s="2"/>
      <c r="P529" s="4"/>
      <c r="Q529" s="4"/>
    </row>
    <row r="530" spans="1:17" x14ac:dyDescent="0.25">
      <c r="A530" s="2"/>
      <c r="B530" s="2"/>
      <c r="C530" s="2"/>
      <c r="D530" s="2"/>
      <c r="E530" s="2" t="s">
        <v>562</v>
      </c>
      <c r="F530" s="2"/>
      <c r="G530" s="2"/>
      <c r="H530" s="2"/>
      <c r="I530" s="3"/>
      <c r="J530" s="2"/>
      <c r="K530" s="2"/>
      <c r="L530" s="2"/>
      <c r="M530" s="2"/>
      <c r="N530" s="2"/>
      <c r="O530" s="2"/>
      <c r="P530" s="4"/>
      <c r="Q530" s="4"/>
    </row>
    <row r="531" spans="1:17" x14ac:dyDescent="0.25">
      <c r="A531" s="5"/>
      <c r="B531" s="5"/>
      <c r="C531" s="5"/>
      <c r="D531" s="5"/>
      <c r="E531" s="5"/>
      <c r="F531" s="5"/>
      <c r="G531" s="5"/>
      <c r="H531" s="5" t="s">
        <v>25</v>
      </c>
      <c r="I531" s="6">
        <v>44733</v>
      </c>
      <c r="J531" s="5" t="s">
        <v>606</v>
      </c>
      <c r="K531" s="5" t="s">
        <v>711</v>
      </c>
      <c r="L531" s="5" t="s">
        <v>744</v>
      </c>
      <c r="M531" s="5"/>
      <c r="N531" s="7"/>
      <c r="O531" s="5" t="s">
        <v>556</v>
      </c>
      <c r="P531" s="8">
        <v>15000</v>
      </c>
      <c r="Q531" s="8">
        <f>ROUND(Q530+P531,5)</f>
        <v>15000</v>
      </c>
    </row>
    <row r="532" spans="1:17" ht="15.75" thickBot="1" x14ac:dyDescent="0.3">
      <c r="A532" s="5"/>
      <c r="B532" s="5"/>
      <c r="C532" s="5"/>
      <c r="D532" s="5"/>
      <c r="E532" s="5"/>
      <c r="F532" s="5"/>
      <c r="G532" s="5"/>
      <c r="H532" s="5" t="s">
        <v>27</v>
      </c>
      <c r="I532" s="6">
        <v>44833</v>
      </c>
      <c r="J532" s="5"/>
      <c r="K532" s="5" t="s">
        <v>447</v>
      </c>
      <c r="L532" s="5"/>
      <c r="M532" s="5"/>
      <c r="N532" s="7"/>
      <c r="O532" s="5" t="s">
        <v>556</v>
      </c>
      <c r="P532" s="9">
        <v>9275</v>
      </c>
      <c r="Q532" s="9">
        <f>ROUND(Q531+P532,5)</f>
        <v>24275</v>
      </c>
    </row>
    <row r="533" spans="1:17" x14ac:dyDescent="0.25">
      <c r="A533" s="5"/>
      <c r="B533" s="5"/>
      <c r="C533" s="5"/>
      <c r="D533" s="5"/>
      <c r="E533" s="5" t="s">
        <v>563</v>
      </c>
      <c r="F533" s="5"/>
      <c r="G533" s="5"/>
      <c r="H533" s="5"/>
      <c r="I533" s="6"/>
      <c r="J533" s="5"/>
      <c r="K533" s="5"/>
      <c r="L533" s="5"/>
      <c r="M533" s="5"/>
      <c r="N533" s="5"/>
      <c r="O533" s="5"/>
      <c r="P533" s="8">
        <f>ROUND(SUM(P530:P532),5)</f>
        <v>24275</v>
      </c>
      <c r="Q533" s="8">
        <f>Q532</f>
        <v>24275</v>
      </c>
    </row>
    <row r="534" spans="1:17" x14ac:dyDescent="0.25">
      <c r="A534" s="2"/>
      <c r="B534" s="2"/>
      <c r="C534" s="2"/>
      <c r="D534" s="2"/>
      <c r="E534" s="2" t="s">
        <v>564</v>
      </c>
      <c r="F534" s="2"/>
      <c r="G534" s="2"/>
      <c r="H534" s="2"/>
      <c r="I534" s="3"/>
      <c r="J534" s="2"/>
      <c r="K534" s="2"/>
      <c r="L534" s="2"/>
      <c r="M534" s="2"/>
      <c r="N534" s="2"/>
      <c r="O534" s="2"/>
      <c r="P534" s="4"/>
      <c r="Q534" s="4"/>
    </row>
    <row r="535" spans="1:17" x14ac:dyDescent="0.25">
      <c r="A535" s="5"/>
      <c r="B535" s="5"/>
      <c r="C535" s="5"/>
      <c r="D535" s="5"/>
      <c r="E535" s="5"/>
      <c r="F535" s="5"/>
      <c r="G535" s="5"/>
      <c r="H535" s="5" t="s">
        <v>27</v>
      </c>
      <c r="I535" s="6">
        <v>44699</v>
      </c>
      <c r="J535" s="5"/>
      <c r="K535" s="5" t="s">
        <v>712</v>
      </c>
      <c r="L535" s="5"/>
      <c r="M535" s="5"/>
      <c r="N535" s="7"/>
      <c r="O535" s="5" t="s">
        <v>556</v>
      </c>
      <c r="P535" s="8">
        <v>144.86000000000001</v>
      </c>
      <c r="Q535" s="8">
        <f t="shared" ref="Q535:Q545" si="10">ROUND(Q534+P535,5)</f>
        <v>144.86000000000001</v>
      </c>
    </row>
    <row r="536" spans="1:17" x14ac:dyDescent="0.25">
      <c r="A536" s="5"/>
      <c r="B536" s="5"/>
      <c r="C536" s="5"/>
      <c r="D536" s="5"/>
      <c r="E536" s="5"/>
      <c r="F536" s="5"/>
      <c r="G536" s="5"/>
      <c r="H536" s="5" t="s">
        <v>26</v>
      </c>
      <c r="I536" s="6">
        <v>44719</v>
      </c>
      <c r="J536" s="5"/>
      <c r="K536" s="5" t="s">
        <v>713</v>
      </c>
      <c r="L536" s="5" t="s">
        <v>745</v>
      </c>
      <c r="M536" s="5"/>
      <c r="N536" s="7"/>
      <c r="O536" s="5" t="s">
        <v>555</v>
      </c>
      <c r="P536" s="8">
        <v>1696.23</v>
      </c>
      <c r="Q536" s="8">
        <f t="shared" si="10"/>
        <v>1841.09</v>
      </c>
    </row>
    <row r="537" spans="1:17" x14ac:dyDescent="0.25">
      <c r="A537" s="5"/>
      <c r="B537" s="5"/>
      <c r="C537" s="5"/>
      <c r="D537" s="5"/>
      <c r="E537" s="5"/>
      <c r="F537" s="5"/>
      <c r="G537" s="5"/>
      <c r="H537" s="5" t="s">
        <v>27</v>
      </c>
      <c r="I537" s="6">
        <v>44748</v>
      </c>
      <c r="J537" s="5"/>
      <c r="K537" s="5" t="s">
        <v>712</v>
      </c>
      <c r="L537" s="5"/>
      <c r="M537" s="5"/>
      <c r="N537" s="7"/>
      <c r="O537" s="5" t="s">
        <v>556</v>
      </c>
      <c r="P537" s="8">
        <v>278.3</v>
      </c>
      <c r="Q537" s="8">
        <f t="shared" si="10"/>
        <v>2119.39</v>
      </c>
    </row>
    <row r="538" spans="1:17" x14ac:dyDescent="0.25">
      <c r="A538" s="5"/>
      <c r="B538" s="5"/>
      <c r="C538" s="5"/>
      <c r="D538" s="5"/>
      <c r="E538" s="5"/>
      <c r="F538" s="5"/>
      <c r="G538" s="5"/>
      <c r="H538" s="5" t="s">
        <v>28</v>
      </c>
      <c r="I538" s="6">
        <v>44756</v>
      </c>
      <c r="J538" s="5"/>
      <c r="K538" s="5" t="s">
        <v>441</v>
      </c>
      <c r="L538" s="5"/>
      <c r="M538" s="5"/>
      <c r="N538" s="7"/>
      <c r="O538" s="5" t="s">
        <v>554</v>
      </c>
      <c r="P538" s="8">
        <v>886.51</v>
      </c>
      <c r="Q538" s="8">
        <f t="shared" si="10"/>
        <v>3005.9</v>
      </c>
    </row>
    <row r="539" spans="1:17" x14ac:dyDescent="0.25">
      <c r="A539" s="5"/>
      <c r="B539" s="5"/>
      <c r="C539" s="5"/>
      <c r="D539" s="5"/>
      <c r="E539" s="5"/>
      <c r="F539" s="5"/>
      <c r="G539" s="5"/>
      <c r="H539" s="5" t="s">
        <v>28</v>
      </c>
      <c r="I539" s="6">
        <v>44771</v>
      </c>
      <c r="J539" s="5"/>
      <c r="K539" s="5" t="s">
        <v>712</v>
      </c>
      <c r="L539" s="5"/>
      <c r="M539" s="5"/>
      <c r="N539" s="7"/>
      <c r="O539" s="5" t="s">
        <v>554</v>
      </c>
      <c r="P539" s="8">
        <v>272.41000000000003</v>
      </c>
      <c r="Q539" s="8">
        <f t="shared" si="10"/>
        <v>3278.31</v>
      </c>
    </row>
    <row r="540" spans="1:17" x14ac:dyDescent="0.25">
      <c r="A540" s="5"/>
      <c r="B540" s="5"/>
      <c r="C540" s="5"/>
      <c r="D540" s="5"/>
      <c r="E540" s="5"/>
      <c r="F540" s="5"/>
      <c r="G540" s="5"/>
      <c r="H540" s="5" t="s">
        <v>28</v>
      </c>
      <c r="I540" s="6">
        <v>44776</v>
      </c>
      <c r="J540" s="5" t="s">
        <v>607</v>
      </c>
      <c r="K540" s="5" t="s">
        <v>441</v>
      </c>
      <c r="L540" s="5"/>
      <c r="M540" s="5"/>
      <c r="N540" s="7"/>
      <c r="O540" s="5" t="s">
        <v>554</v>
      </c>
      <c r="P540" s="8">
        <v>2332.66</v>
      </c>
      <c r="Q540" s="8">
        <f t="shared" si="10"/>
        <v>5610.97</v>
      </c>
    </row>
    <row r="541" spans="1:17" x14ac:dyDescent="0.25">
      <c r="A541" s="5"/>
      <c r="B541" s="5"/>
      <c r="C541" s="5"/>
      <c r="D541" s="5"/>
      <c r="E541" s="5"/>
      <c r="F541" s="5"/>
      <c r="G541" s="5"/>
      <c r="H541" s="5" t="s">
        <v>27</v>
      </c>
      <c r="I541" s="6">
        <v>44812</v>
      </c>
      <c r="J541" s="5"/>
      <c r="K541" s="5" t="s">
        <v>712</v>
      </c>
      <c r="L541" s="5"/>
      <c r="M541" s="5"/>
      <c r="N541" s="7"/>
      <c r="O541" s="5" t="s">
        <v>556</v>
      </c>
      <c r="P541" s="8">
        <v>111.5</v>
      </c>
      <c r="Q541" s="8">
        <f t="shared" si="10"/>
        <v>5722.47</v>
      </c>
    </row>
    <row r="542" spans="1:17" x14ac:dyDescent="0.25">
      <c r="A542" s="5"/>
      <c r="B542" s="5"/>
      <c r="C542" s="5"/>
      <c r="D542" s="5"/>
      <c r="E542" s="5"/>
      <c r="F542" s="5"/>
      <c r="G542" s="5"/>
      <c r="H542" s="5" t="s">
        <v>27</v>
      </c>
      <c r="I542" s="6">
        <v>44833</v>
      </c>
      <c r="J542" s="5"/>
      <c r="K542" s="5" t="s">
        <v>447</v>
      </c>
      <c r="L542" s="5"/>
      <c r="M542" s="5"/>
      <c r="N542" s="7"/>
      <c r="O542" s="5" t="s">
        <v>556</v>
      </c>
      <c r="P542" s="8">
        <v>5578.37</v>
      </c>
      <c r="Q542" s="8">
        <f t="shared" si="10"/>
        <v>11300.84</v>
      </c>
    </row>
    <row r="543" spans="1:17" x14ac:dyDescent="0.25">
      <c r="A543" s="5"/>
      <c r="B543" s="5"/>
      <c r="C543" s="5"/>
      <c r="D543" s="5"/>
      <c r="E543" s="5"/>
      <c r="F543" s="5"/>
      <c r="G543" s="5"/>
      <c r="H543" s="5" t="s">
        <v>27</v>
      </c>
      <c r="I543" s="6">
        <v>44844</v>
      </c>
      <c r="J543" s="5"/>
      <c r="K543" s="5" t="s">
        <v>712</v>
      </c>
      <c r="L543" s="5"/>
      <c r="M543" s="5"/>
      <c r="N543" s="7"/>
      <c r="O543" s="5" t="s">
        <v>556</v>
      </c>
      <c r="P543" s="8">
        <v>309.67</v>
      </c>
      <c r="Q543" s="8">
        <f t="shared" si="10"/>
        <v>11610.51</v>
      </c>
    </row>
    <row r="544" spans="1:17" x14ac:dyDescent="0.25">
      <c r="A544" s="5"/>
      <c r="B544" s="5"/>
      <c r="C544" s="5"/>
      <c r="D544" s="5"/>
      <c r="E544" s="5"/>
      <c r="F544" s="5"/>
      <c r="G544" s="5"/>
      <c r="H544" s="5" t="s">
        <v>27</v>
      </c>
      <c r="I544" s="6">
        <v>44875</v>
      </c>
      <c r="J544" s="5"/>
      <c r="K544" s="5" t="s">
        <v>712</v>
      </c>
      <c r="L544" s="5"/>
      <c r="M544" s="5"/>
      <c r="N544" s="7"/>
      <c r="O544" s="5" t="s">
        <v>556</v>
      </c>
      <c r="P544" s="8">
        <v>356.12</v>
      </c>
      <c r="Q544" s="8">
        <f t="shared" si="10"/>
        <v>11966.63</v>
      </c>
    </row>
    <row r="545" spans="1:17" ht="15.75" thickBot="1" x14ac:dyDescent="0.3">
      <c r="A545" s="5"/>
      <c r="B545" s="5"/>
      <c r="C545" s="5"/>
      <c r="D545" s="5"/>
      <c r="E545" s="5"/>
      <c r="F545" s="5"/>
      <c r="G545" s="5"/>
      <c r="H545" s="5" t="s">
        <v>28</v>
      </c>
      <c r="I545" s="6">
        <v>44905</v>
      </c>
      <c r="J545" s="5"/>
      <c r="K545" s="5" t="s">
        <v>712</v>
      </c>
      <c r="L545" s="5"/>
      <c r="M545" s="5"/>
      <c r="N545" s="7"/>
      <c r="O545" s="5" t="s">
        <v>554</v>
      </c>
      <c r="P545" s="9">
        <v>470.27</v>
      </c>
      <c r="Q545" s="9">
        <f t="shared" si="10"/>
        <v>12436.9</v>
      </c>
    </row>
    <row r="546" spans="1:17" x14ac:dyDescent="0.25">
      <c r="A546" s="5"/>
      <c r="B546" s="5"/>
      <c r="C546" s="5"/>
      <c r="D546" s="5"/>
      <c r="E546" s="5" t="s">
        <v>565</v>
      </c>
      <c r="F546" s="5"/>
      <c r="G546" s="5"/>
      <c r="H546" s="5"/>
      <c r="I546" s="6"/>
      <c r="J546" s="5"/>
      <c r="K546" s="5"/>
      <c r="L546" s="5"/>
      <c r="M546" s="5"/>
      <c r="N546" s="5"/>
      <c r="O546" s="5"/>
      <c r="P546" s="8">
        <f>ROUND(SUM(P534:P545),5)</f>
        <v>12436.9</v>
      </c>
      <c r="Q546" s="8">
        <f>Q545</f>
        <v>12436.9</v>
      </c>
    </row>
    <row r="547" spans="1:17" x14ac:dyDescent="0.25">
      <c r="A547" s="2"/>
      <c r="B547" s="2"/>
      <c r="C547" s="2"/>
      <c r="D547" s="2"/>
      <c r="E547" s="2" t="s">
        <v>566</v>
      </c>
      <c r="F547" s="2"/>
      <c r="G547" s="2"/>
      <c r="H547" s="2"/>
      <c r="I547" s="3"/>
      <c r="J547" s="2"/>
      <c r="K547" s="2"/>
      <c r="L547" s="2"/>
      <c r="M547" s="2"/>
      <c r="N547" s="2"/>
      <c r="O547" s="2"/>
      <c r="P547" s="4"/>
      <c r="Q547" s="4"/>
    </row>
    <row r="548" spans="1:17" x14ac:dyDescent="0.25">
      <c r="A548" s="5"/>
      <c r="B548" s="5"/>
      <c r="C548" s="5"/>
      <c r="D548" s="5"/>
      <c r="E548" s="5"/>
      <c r="F548" s="5"/>
      <c r="G548" s="5"/>
      <c r="H548" s="5" t="s">
        <v>25</v>
      </c>
      <c r="I548" s="6">
        <v>44776</v>
      </c>
      <c r="J548" s="5" t="s">
        <v>608</v>
      </c>
      <c r="K548" s="5"/>
      <c r="L548" s="5" t="s">
        <v>746</v>
      </c>
      <c r="M548" s="5"/>
      <c r="N548" s="7"/>
      <c r="O548" s="5" t="s">
        <v>554</v>
      </c>
      <c r="P548" s="8">
        <v>800</v>
      </c>
      <c r="Q548" s="8">
        <f>ROUND(Q547+P548,5)</f>
        <v>800</v>
      </c>
    </row>
    <row r="549" spans="1:17" ht="15.75" thickBot="1" x14ac:dyDescent="0.3">
      <c r="A549" s="5"/>
      <c r="B549" s="5"/>
      <c r="C549" s="5"/>
      <c r="D549" s="5"/>
      <c r="E549" s="5"/>
      <c r="F549" s="5"/>
      <c r="G549" s="5"/>
      <c r="H549" s="5" t="s">
        <v>27</v>
      </c>
      <c r="I549" s="6">
        <v>44833</v>
      </c>
      <c r="J549" s="5"/>
      <c r="K549" s="5" t="s">
        <v>447</v>
      </c>
      <c r="L549" s="5"/>
      <c r="M549" s="5"/>
      <c r="N549" s="7"/>
      <c r="O549" s="5" t="s">
        <v>556</v>
      </c>
      <c r="P549" s="9">
        <v>4714</v>
      </c>
      <c r="Q549" s="9">
        <f>ROUND(Q548+P549,5)</f>
        <v>5514</v>
      </c>
    </row>
    <row r="550" spans="1:17" x14ac:dyDescent="0.25">
      <c r="A550" s="5"/>
      <c r="B550" s="5"/>
      <c r="C550" s="5"/>
      <c r="D550" s="5"/>
      <c r="E550" s="5" t="s">
        <v>567</v>
      </c>
      <c r="F550" s="5"/>
      <c r="G550" s="5"/>
      <c r="H550" s="5"/>
      <c r="I550" s="6"/>
      <c r="J550" s="5"/>
      <c r="K550" s="5"/>
      <c r="L550" s="5"/>
      <c r="M550" s="5"/>
      <c r="N550" s="5"/>
      <c r="O550" s="5"/>
      <c r="P550" s="8">
        <f>ROUND(SUM(P547:P549),5)</f>
        <v>5514</v>
      </c>
      <c r="Q550" s="8">
        <f>Q549</f>
        <v>5514</v>
      </c>
    </row>
    <row r="551" spans="1:17" x14ac:dyDescent="0.25">
      <c r="A551" s="2"/>
      <c r="B551" s="2"/>
      <c r="C551" s="2"/>
      <c r="D551" s="2"/>
      <c r="E551" s="2" t="s">
        <v>568</v>
      </c>
      <c r="F551" s="2"/>
      <c r="G551" s="2"/>
      <c r="H551" s="2"/>
      <c r="I551" s="3"/>
      <c r="J551" s="2"/>
      <c r="K551" s="2"/>
      <c r="L551" s="2"/>
      <c r="M551" s="2"/>
      <c r="N551" s="2"/>
      <c r="O551" s="2"/>
      <c r="P551" s="4"/>
      <c r="Q551" s="4"/>
    </row>
    <row r="552" spans="1:17" x14ac:dyDescent="0.25">
      <c r="A552" s="5"/>
      <c r="B552" s="5"/>
      <c r="C552" s="5"/>
      <c r="D552" s="5"/>
      <c r="E552" s="5"/>
      <c r="F552" s="5"/>
      <c r="G552" s="5"/>
      <c r="H552" s="5" t="s">
        <v>27</v>
      </c>
      <c r="I552" s="6">
        <v>44691</v>
      </c>
      <c r="J552" s="5"/>
      <c r="K552" s="5" t="s">
        <v>714</v>
      </c>
      <c r="L552" s="5"/>
      <c r="M552" s="5"/>
      <c r="N552" s="7"/>
      <c r="O552" s="5" t="s">
        <v>556</v>
      </c>
      <c r="P552" s="8">
        <v>360</v>
      </c>
      <c r="Q552" s="8">
        <f>ROUND(Q551+P552,5)</f>
        <v>360</v>
      </c>
    </row>
    <row r="553" spans="1:17" x14ac:dyDescent="0.25">
      <c r="A553" s="5"/>
      <c r="B553" s="5"/>
      <c r="C553" s="5"/>
      <c r="D553" s="5"/>
      <c r="E553" s="5"/>
      <c r="F553" s="5"/>
      <c r="G553" s="5"/>
      <c r="H553" s="5" t="s">
        <v>27</v>
      </c>
      <c r="I553" s="6">
        <v>44708</v>
      </c>
      <c r="J553" s="5"/>
      <c r="K553" s="5" t="s">
        <v>714</v>
      </c>
      <c r="L553" s="5"/>
      <c r="M553" s="5"/>
      <c r="N553" s="7"/>
      <c r="O553" s="5" t="s">
        <v>556</v>
      </c>
      <c r="P553" s="8">
        <v>400</v>
      </c>
      <c r="Q553" s="8">
        <f>ROUND(Q552+P553,5)</f>
        <v>760</v>
      </c>
    </row>
    <row r="554" spans="1:17" ht="15.75" thickBot="1" x14ac:dyDescent="0.3">
      <c r="A554" s="5"/>
      <c r="B554" s="5"/>
      <c r="C554" s="5"/>
      <c r="D554" s="5"/>
      <c r="E554" s="5"/>
      <c r="F554" s="5"/>
      <c r="G554" s="5"/>
      <c r="H554" s="5" t="s">
        <v>27</v>
      </c>
      <c r="I554" s="6">
        <v>44867</v>
      </c>
      <c r="J554" s="5"/>
      <c r="K554" s="5" t="s">
        <v>715</v>
      </c>
      <c r="L554" s="5" t="s">
        <v>747</v>
      </c>
      <c r="M554" s="5"/>
      <c r="N554" s="7"/>
      <c r="O554" s="5" t="s">
        <v>556</v>
      </c>
      <c r="P554" s="9">
        <v>132.74</v>
      </c>
      <c r="Q554" s="9">
        <f>ROUND(Q553+P554,5)</f>
        <v>892.74</v>
      </c>
    </row>
    <row r="555" spans="1:17" x14ac:dyDescent="0.25">
      <c r="A555" s="5"/>
      <c r="B555" s="5"/>
      <c r="C555" s="5"/>
      <c r="D555" s="5"/>
      <c r="E555" s="5" t="s">
        <v>569</v>
      </c>
      <c r="F555" s="5"/>
      <c r="G555" s="5"/>
      <c r="H555" s="5"/>
      <c r="I555" s="6"/>
      <c r="J555" s="5"/>
      <c r="K555" s="5"/>
      <c r="L555" s="5"/>
      <c r="M555" s="5"/>
      <c r="N555" s="5"/>
      <c r="O555" s="5"/>
      <c r="P555" s="8">
        <f>ROUND(SUM(P551:P554),5)</f>
        <v>892.74</v>
      </c>
      <c r="Q555" s="8">
        <f>Q554</f>
        <v>892.74</v>
      </c>
    </row>
    <row r="556" spans="1:17" x14ac:dyDescent="0.25">
      <c r="A556" s="2"/>
      <c r="B556" s="2"/>
      <c r="C556" s="2"/>
      <c r="D556" s="2"/>
      <c r="E556" s="2" t="s">
        <v>570</v>
      </c>
      <c r="F556" s="2"/>
      <c r="G556" s="2"/>
      <c r="H556" s="2"/>
      <c r="I556" s="3"/>
      <c r="J556" s="2"/>
      <c r="K556" s="2"/>
      <c r="L556" s="2"/>
      <c r="M556" s="2"/>
      <c r="N556" s="2"/>
      <c r="O556" s="2"/>
      <c r="P556" s="4"/>
      <c r="Q556" s="4"/>
    </row>
    <row r="557" spans="1:17" x14ac:dyDescent="0.25">
      <c r="A557" s="5"/>
      <c r="B557" s="5"/>
      <c r="C557" s="5"/>
      <c r="D557" s="5"/>
      <c r="E557" s="5"/>
      <c r="F557" s="5"/>
      <c r="G557" s="5"/>
      <c r="H557" s="5" t="s">
        <v>28</v>
      </c>
      <c r="I557" s="6">
        <v>44663</v>
      </c>
      <c r="J557" s="5"/>
      <c r="K557" s="5" t="s">
        <v>716</v>
      </c>
      <c r="L557" s="5"/>
      <c r="M557" s="5"/>
      <c r="N557" s="7"/>
      <c r="O557" s="5" t="s">
        <v>554</v>
      </c>
      <c r="P557" s="8">
        <v>135.5</v>
      </c>
      <c r="Q557" s="8">
        <f t="shared" ref="Q557:Q578" si="11">ROUND(Q556+P557,5)</f>
        <v>135.5</v>
      </c>
    </row>
    <row r="558" spans="1:17" x14ac:dyDescent="0.25">
      <c r="A558" s="5"/>
      <c r="B558" s="5"/>
      <c r="C558" s="5"/>
      <c r="D558" s="5"/>
      <c r="E558" s="5"/>
      <c r="F558" s="5"/>
      <c r="G558" s="5"/>
      <c r="H558" s="5" t="s">
        <v>28</v>
      </c>
      <c r="I558" s="6">
        <v>44672</v>
      </c>
      <c r="J558" s="5" t="s">
        <v>609</v>
      </c>
      <c r="K558" s="5" t="s">
        <v>717</v>
      </c>
      <c r="L558" s="5"/>
      <c r="M558" s="5"/>
      <c r="N558" s="7"/>
      <c r="O558" s="5" t="s">
        <v>554</v>
      </c>
      <c r="P558" s="8">
        <v>88.5</v>
      </c>
      <c r="Q558" s="8">
        <f t="shared" si="11"/>
        <v>224</v>
      </c>
    </row>
    <row r="559" spans="1:17" x14ac:dyDescent="0.25">
      <c r="A559" s="5"/>
      <c r="B559" s="5"/>
      <c r="C559" s="5"/>
      <c r="D559" s="5"/>
      <c r="E559" s="5"/>
      <c r="F559" s="5"/>
      <c r="G559" s="5"/>
      <c r="H559" s="5" t="s">
        <v>28</v>
      </c>
      <c r="I559" s="6">
        <v>44672</v>
      </c>
      <c r="J559" s="5" t="s">
        <v>610</v>
      </c>
      <c r="K559" s="5" t="s">
        <v>441</v>
      </c>
      <c r="L559" s="5"/>
      <c r="M559" s="5"/>
      <c r="N559" s="7"/>
      <c r="O559" s="5" t="s">
        <v>554</v>
      </c>
      <c r="P559" s="8">
        <v>109.73</v>
      </c>
      <c r="Q559" s="8">
        <f t="shared" si="11"/>
        <v>333.73</v>
      </c>
    </row>
    <row r="560" spans="1:17" x14ac:dyDescent="0.25">
      <c r="A560" s="5"/>
      <c r="B560" s="5"/>
      <c r="C560" s="5"/>
      <c r="D560" s="5"/>
      <c r="E560" s="5"/>
      <c r="F560" s="5"/>
      <c r="G560" s="5"/>
      <c r="H560" s="5" t="s">
        <v>28</v>
      </c>
      <c r="I560" s="6">
        <v>44684</v>
      </c>
      <c r="J560" s="5"/>
      <c r="K560" s="5" t="s">
        <v>716</v>
      </c>
      <c r="L560" s="5"/>
      <c r="M560" s="5"/>
      <c r="N560" s="7"/>
      <c r="O560" s="5" t="s">
        <v>554</v>
      </c>
      <c r="P560" s="8">
        <v>279.77999999999997</v>
      </c>
      <c r="Q560" s="8">
        <f t="shared" si="11"/>
        <v>613.51</v>
      </c>
    </row>
    <row r="561" spans="1:17" x14ac:dyDescent="0.25">
      <c r="A561" s="5"/>
      <c r="B561" s="5"/>
      <c r="C561" s="5"/>
      <c r="D561" s="5"/>
      <c r="E561" s="5"/>
      <c r="F561" s="5"/>
      <c r="G561" s="5"/>
      <c r="H561" s="5" t="s">
        <v>28</v>
      </c>
      <c r="I561" s="6">
        <v>44747</v>
      </c>
      <c r="J561" s="5"/>
      <c r="K561" s="5" t="s">
        <v>716</v>
      </c>
      <c r="L561" s="5"/>
      <c r="M561" s="5"/>
      <c r="N561" s="7"/>
      <c r="O561" s="5" t="s">
        <v>554</v>
      </c>
      <c r="P561" s="8">
        <v>1578.41</v>
      </c>
      <c r="Q561" s="8">
        <f t="shared" si="11"/>
        <v>2191.92</v>
      </c>
    </row>
    <row r="562" spans="1:17" x14ac:dyDescent="0.25">
      <c r="A562" s="5"/>
      <c r="B562" s="5"/>
      <c r="C562" s="5"/>
      <c r="D562" s="5"/>
      <c r="E562" s="5"/>
      <c r="F562" s="5"/>
      <c r="G562" s="5"/>
      <c r="H562" s="5" t="s">
        <v>28</v>
      </c>
      <c r="I562" s="6">
        <v>44756</v>
      </c>
      <c r="J562" s="5"/>
      <c r="K562" s="5" t="s">
        <v>441</v>
      </c>
      <c r="L562" s="5"/>
      <c r="M562" s="5"/>
      <c r="N562" s="7"/>
      <c r="O562" s="5" t="s">
        <v>554</v>
      </c>
      <c r="P562" s="8">
        <v>420.49</v>
      </c>
      <c r="Q562" s="8">
        <f t="shared" si="11"/>
        <v>2612.41</v>
      </c>
    </row>
    <row r="563" spans="1:17" x14ac:dyDescent="0.25">
      <c r="A563" s="5"/>
      <c r="B563" s="5"/>
      <c r="C563" s="5"/>
      <c r="D563" s="5"/>
      <c r="E563" s="5"/>
      <c r="F563" s="5"/>
      <c r="G563" s="5"/>
      <c r="H563" s="5" t="s">
        <v>28</v>
      </c>
      <c r="I563" s="6">
        <v>44777</v>
      </c>
      <c r="J563" s="5"/>
      <c r="K563" s="5" t="s">
        <v>716</v>
      </c>
      <c r="L563" s="5"/>
      <c r="M563" s="5"/>
      <c r="N563" s="7"/>
      <c r="O563" s="5" t="s">
        <v>554</v>
      </c>
      <c r="P563" s="8">
        <v>860.35</v>
      </c>
      <c r="Q563" s="8">
        <f t="shared" si="11"/>
        <v>3472.76</v>
      </c>
    </row>
    <row r="564" spans="1:17" x14ac:dyDescent="0.25">
      <c r="A564" s="5"/>
      <c r="B564" s="5"/>
      <c r="C564" s="5"/>
      <c r="D564" s="5"/>
      <c r="E564" s="5"/>
      <c r="F564" s="5"/>
      <c r="G564" s="5"/>
      <c r="H564" s="5" t="s">
        <v>27</v>
      </c>
      <c r="I564" s="6">
        <v>44840</v>
      </c>
      <c r="J564" s="5"/>
      <c r="K564" s="5" t="s">
        <v>716</v>
      </c>
      <c r="L564" s="5"/>
      <c r="M564" s="5"/>
      <c r="N564" s="7"/>
      <c r="O564" s="5" t="s">
        <v>556</v>
      </c>
      <c r="P564" s="8">
        <v>2586.4499999999998</v>
      </c>
      <c r="Q564" s="8">
        <f t="shared" si="11"/>
        <v>6059.21</v>
      </c>
    </row>
    <row r="565" spans="1:17" x14ac:dyDescent="0.25">
      <c r="A565" s="5"/>
      <c r="B565" s="5"/>
      <c r="C565" s="5"/>
      <c r="D565" s="5"/>
      <c r="E565" s="5"/>
      <c r="F565" s="5"/>
      <c r="G565" s="5"/>
      <c r="H565" s="5" t="s">
        <v>27</v>
      </c>
      <c r="I565" s="6">
        <v>44862</v>
      </c>
      <c r="J565" s="5"/>
      <c r="K565" s="5" t="s">
        <v>716</v>
      </c>
      <c r="L565" s="5"/>
      <c r="M565" s="5"/>
      <c r="N565" s="7"/>
      <c r="O565" s="5" t="s">
        <v>556</v>
      </c>
      <c r="P565" s="8">
        <v>153.83000000000001</v>
      </c>
      <c r="Q565" s="8">
        <f t="shared" si="11"/>
        <v>6213.04</v>
      </c>
    </row>
    <row r="566" spans="1:17" x14ac:dyDescent="0.25">
      <c r="A566" s="5"/>
      <c r="B566" s="5"/>
      <c r="C566" s="5"/>
      <c r="D566" s="5"/>
      <c r="E566" s="5"/>
      <c r="F566" s="5"/>
      <c r="G566" s="5"/>
      <c r="H566" s="5" t="s">
        <v>27</v>
      </c>
      <c r="I566" s="6">
        <v>44866</v>
      </c>
      <c r="J566" s="5"/>
      <c r="K566" s="5" t="s">
        <v>716</v>
      </c>
      <c r="L566" s="5"/>
      <c r="M566" s="5"/>
      <c r="N566" s="7"/>
      <c r="O566" s="5" t="s">
        <v>556</v>
      </c>
      <c r="P566" s="8">
        <v>115.39</v>
      </c>
      <c r="Q566" s="8">
        <f t="shared" si="11"/>
        <v>6328.43</v>
      </c>
    </row>
    <row r="567" spans="1:17" x14ac:dyDescent="0.25">
      <c r="A567" s="5"/>
      <c r="B567" s="5"/>
      <c r="C567" s="5"/>
      <c r="D567" s="5"/>
      <c r="E567" s="5"/>
      <c r="F567" s="5"/>
      <c r="G567" s="5"/>
      <c r="H567" s="5" t="s">
        <v>27</v>
      </c>
      <c r="I567" s="6">
        <v>44867</v>
      </c>
      <c r="J567" s="5"/>
      <c r="K567" s="5" t="s">
        <v>716</v>
      </c>
      <c r="L567" s="5"/>
      <c r="M567" s="5"/>
      <c r="N567" s="7"/>
      <c r="O567" s="5" t="s">
        <v>556</v>
      </c>
      <c r="P567" s="8">
        <v>176.99</v>
      </c>
      <c r="Q567" s="8">
        <f t="shared" si="11"/>
        <v>6505.42</v>
      </c>
    </row>
    <row r="568" spans="1:17" x14ac:dyDescent="0.25">
      <c r="A568" s="5"/>
      <c r="B568" s="5"/>
      <c r="C568" s="5"/>
      <c r="D568" s="5"/>
      <c r="E568" s="5"/>
      <c r="F568" s="5"/>
      <c r="G568" s="5"/>
      <c r="H568" s="5" t="s">
        <v>27</v>
      </c>
      <c r="I568" s="6">
        <v>44868</v>
      </c>
      <c r="J568" s="5"/>
      <c r="K568" s="5" t="s">
        <v>716</v>
      </c>
      <c r="L568" s="5"/>
      <c r="M568" s="5"/>
      <c r="N568" s="7"/>
      <c r="O568" s="5" t="s">
        <v>556</v>
      </c>
      <c r="P568" s="8">
        <v>107.96</v>
      </c>
      <c r="Q568" s="8">
        <f t="shared" si="11"/>
        <v>6613.38</v>
      </c>
    </row>
    <row r="569" spans="1:17" x14ac:dyDescent="0.25">
      <c r="A569" s="5"/>
      <c r="B569" s="5"/>
      <c r="C569" s="5"/>
      <c r="D569" s="5"/>
      <c r="E569" s="5"/>
      <c r="F569" s="5"/>
      <c r="G569" s="5"/>
      <c r="H569" s="5" t="s">
        <v>27</v>
      </c>
      <c r="I569" s="6">
        <v>44869</v>
      </c>
      <c r="J569" s="5"/>
      <c r="K569" s="5" t="s">
        <v>716</v>
      </c>
      <c r="L569" s="5"/>
      <c r="M569" s="5"/>
      <c r="N569" s="7"/>
      <c r="O569" s="5" t="s">
        <v>556</v>
      </c>
      <c r="P569" s="8">
        <v>143.69999999999999</v>
      </c>
      <c r="Q569" s="8">
        <f t="shared" si="11"/>
        <v>6757.08</v>
      </c>
    </row>
    <row r="570" spans="1:17" x14ac:dyDescent="0.25">
      <c r="A570" s="5"/>
      <c r="B570" s="5"/>
      <c r="C570" s="5"/>
      <c r="D570" s="5"/>
      <c r="E570" s="5"/>
      <c r="F570" s="5"/>
      <c r="G570" s="5"/>
      <c r="H570" s="5" t="s">
        <v>27</v>
      </c>
      <c r="I570" s="6">
        <v>44873</v>
      </c>
      <c r="J570" s="5"/>
      <c r="K570" s="5" t="s">
        <v>716</v>
      </c>
      <c r="L570" s="5"/>
      <c r="M570" s="5"/>
      <c r="N570" s="7"/>
      <c r="O570" s="5" t="s">
        <v>556</v>
      </c>
      <c r="P570" s="8">
        <v>166.59</v>
      </c>
      <c r="Q570" s="8">
        <f t="shared" si="11"/>
        <v>6923.67</v>
      </c>
    </row>
    <row r="571" spans="1:17" x14ac:dyDescent="0.25">
      <c r="A571" s="5"/>
      <c r="B571" s="5"/>
      <c r="C571" s="5"/>
      <c r="D571" s="5"/>
      <c r="E571" s="5"/>
      <c r="F571" s="5"/>
      <c r="G571" s="5"/>
      <c r="H571" s="5" t="s">
        <v>27</v>
      </c>
      <c r="I571" s="6">
        <v>44879</v>
      </c>
      <c r="J571" s="5"/>
      <c r="K571" s="5" t="s">
        <v>716</v>
      </c>
      <c r="L571" s="5"/>
      <c r="M571" s="5"/>
      <c r="N571" s="7"/>
      <c r="O571" s="5" t="s">
        <v>556</v>
      </c>
      <c r="P571" s="8">
        <v>128.5</v>
      </c>
      <c r="Q571" s="8">
        <f t="shared" si="11"/>
        <v>7052.17</v>
      </c>
    </row>
    <row r="572" spans="1:17" x14ac:dyDescent="0.25">
      <c r="A572" s="5"/>
      <c r="B572" s="5"/>
      <c r="C572" s="5"/>
      <c r="D572" s="5"/>
      <c r="E572" s="5"/>
      <c r="F572" s="5"/>
      <c r="G572" s="5"/>
      <c r="H572" s="5" t="s">
        <v>27</v>
      </c>
      <c r="I572" s="6">
        <v>44881</v>
      </c>
      <c r="J572" s="5"/>
      <c r="K572" s="5" t="s">
        <v>716</v>
      </c>
      <c r="L572" s="5"/>
      <c r="M572" s="5"/>
      <c r="N572" s="7"/>
      <c r="O572" s="5" t="s">
        <v>556</v>
      </c>
      <c r="P572" s="8">
        <v>163.28</v>
      </c>
      <c r="Q572" s="8">
        <f t="shared" si="11"/>
        <v>7215.45</v>
      </c>
    </row>
    <row r="573" spans="1:17" x14ac:dyDescent="0.25">
      <c r="A573" s="5"/>
      <c r="B573" s="5"/>
      <c r="C573" s="5"/>
      <c r="D573" s="5"/>
      <c r="E573" s="5"/>
      <c r="F573" s="5"/>
      <c r="G573" s="5"/>
      <c r="H573" s="5" t="s">
        <v>28</v>
      </c>
      <c r="I573" s="6">
        <v>44894</v>
      </c>
      <c r="J573" s="5" t="s">
        <v>611</v>
      </c>
      <c r="K573" s="5" t="s">
        <v>716</v>
      </c>
      <c r="L573" s="5"/>
      <c r="M573" s="5"/>
      <c r="N573" s="7"/>
      <c r="O573" s="5" t="s">
        <v>554</v>
      </c>
      <c r="P573" s="8">
        <v>2261.9499999999998</v>
      </c>
      <c r="Q573" s="8">
        <f t="shared" si="11"/>
        <v>9477.4</v>
      </c>
    </row>
    <row r="574" spans="1:17" x14ac:dyDescent="0.25">
      <c r="A574" s="5"/>
      <c r="B574" s="5"/>
      <c r="C574" s="5"/>
      <c r="D574" s="5"/>
      <c r="E574" s="5"/>
      <c r="F574" s="5"/>
      <c r="G574" s="5"/>
      <c r="H574" s="5" t="s">
        <v>27</v>
      </c>
      <c r="I574" s="6">
        <v>44902</v>
      </c>
      <c r="J574" s="5"/>
      <c r="K574" s="5" t="s">
        <v>716</v>
      </c>
      <c r="L574" s="5"/>
      <c r="M574" s="5"/>
      <c r="N574" s="7"/>
      <c r="O574" s="5" t="s">
        <v>556</v>
      </c>
      <c r="P574" s="8">
        <v>105</v>
      </c>
      <c r="Q574" s="8">
        <f t="shared" si="11"/>
        <v>9582.4</v>
      </c>
    </row>
    <row r="575" spans="1:17" x14ac:dyDescent="0.25">
      <c r="A575" s="5"/>
      <c r="B575" s="5"/>
      <c r="C575" s="5"/>
      <c r="D575" s="5"/>
      <c r="E575" s="5"/>
      <c r="F575" s="5"/>
      <c r="G575" s="5"/>
      <c r="H575" s="5" t="s">
        <v>27</v>
      </c>
      <c r="I575" s="6">
        <v>44915</v>
      </c>
      <c r="J575" s="5"/>
      <c r="K575" s="5" t="s">
        <v>716</v>
      </c>
      <c r="L575" s="5"/>
      <c r="M575" s="5"/>
      <c r="N575" s="7"/>
      <c r="O575" s="5" t="s">
        <v>556</v>
      </c>
      <c r="P575" s="8">
        <v>96.97</v>
      </c>
      <c r="Q575" s="8">
        <f t="shared" si="11"/>
        <v>9679.3700000000008</v>
      </c>
    </row>
    <row r="576" spans="1:17" x14ac:dyDescent="0.25">
      <c r="A576" s="5"/>
      <c r="B576" s="5"/>
      <c r="C576" s="5"/>
      <c r="D576" s="5"/>
      <c r="E576" s="5"/>
      <c r="F576" s="5"/>
      <c r="G576" s="5"/>
      <c r="H576" s="5" t="s">
        <v>27</v>
      </c>
      <c r="I576" s="6">
        <v>44916</v>
      </c>
      <c r="J576" s="5"/>
      <c r="K576" s="5" t="s">
        <v>716</v>
      </c>
      <c r="L576" s="5"/>
      <c r="M576" s="5"/>
      <c r="N576" s="7"/>
      <c r="O576" s="5" t="s">
        <v>556</v>
      </c>
      <c r="P576" s="8">
        <v>96.35</v>
      </c>
      <c r="Q576" s="8">
        <f t="shared" si="11"/>
        <v>9775.7199999999993</v>
      </c>
    </row>
    <row r="577" spans="1:17" x14ac:dyDescent="0.25">
      <c r="A577" s="5"/>
      <c r="B577" s="5"/>
      <c r="C577" s="5"/>
      <c r="D577" s="5"/>
      <c r="E577" s="5"/>
      <c r="F577" s="5"/>
      <c r="G577" s="5"/>
      <c r="H577" s="5" t="s">
        <v>27</v>
      </c>
      <c r="I577" s="6">
        <v>44916</v>
      </c>
      <c r="J577" s="5"/>
      <c r="K577" s="5" t="s">
        <v>716</v>
      </c>
      <c r="L577" s="5"/>
      <c r="M577" s="5"/>
      <c r="N577" s="7"/>
      <c r="O577" s="5" t="s">
        <v>556</v>
      </c>
      <c r="P577" s="8">
        <v>100.35</v>
      </c>
      <c r="Q577" s="8">
        <f t="shared" si="11"/>
        <v>9876.07</v>
      </c>
    </row>
    <row r="578" spans="1:17" ht="15.75" thickBot="1" x14ac:dyDescent="0.3">
      <c r="A578" s="5"/>
      <c r="B578" s="5"/>
      <c r="C578" s="5"/>
      <c r="D578" s="5"/>
      <c r="E578" s="5"/>
      <c r="F578" s="5"/>
      <c r="G578" s="5"/>
      <c r="H578" s="5" t="s">
        <v>27</v>
      </c>
      <c r="I578" s="6">
        <v>44917</v>
      </c>
      <c r="J578" s="5"/>
      <c r="K578" s="5" t="s">
        <v>716</v>
      </c>
      <c r="L578" s="5"/>
      <c r="M578" s="5"/>
      <c r="N578" s="7"/>
      <c r="O578" s="5" t="s">
        <v>556</v>
      </c>
      <c r="P578" s="9">
        <v>131.65</v>
      </c>
      <c r="Q578" s="9">
        <f t="shared" si="11"/>
        <v>10007.719999999999</v>
      </c>
    </row>
    <row r="579" spans="1:17" x14ac:dyDescent="0.25">
      <c r="A579" s="5"/>
      <c r="B579" s="5"/>
      <c r="C579" s="5"/>
      <c r="D579" s="5"/>
      <c r="E579" s="5" t="s">
        <v>571</v>
      </c>
      <c r="F579" s="5"/>
      <c r="G579" s="5"/>
      <c r="H579" s="5"/>
      <c r="I579" s="6"/>
      <c r="J579" s="5"/>
      <c r="K579" s="5"/>
      <c r="L579" s="5"/>
      <c r="M579" s="5"/>
      <c r="N579" s="5"/>
      <c r="O579" s="5"/>
      <c r="P579" s="8">
        <f>ROUND(SUM(P556:P578),5)</f>
        <v>10007.719999999999</v>
      </c>
      <c r="Q579" s="8">
        <f>Q578</f>
        <v>10007.719999999999</v>
      </c>
    </row>
    <row r="580" spans="1:17" x14ac:dyDescent="0.25">
      <c r="A580" s="2"/>
      <c r="B580" s="2"/>
      <c r="C580" s="2"/>
      <c r="D580" s="2"/>
      <c r="E580" s="2" t="s">
        <v>572</v>
      </c>
      <c r="F580" s="2"/>
      <c r="G580" s="2"/>
      <c r="H580" s="2"/>
      <c r="I580" s="3"/>
      <c r="J580" s="2"/>
      <c r="K580" s="2"/>
      <c r="L580" s="2"/>
      <c r="M580" s="2"/>
      <c r="N580" s="2"/>
      <c r="O580" s="2"/>
      <c r="P580" s="4"/>
      <c r="Q580" s="4"/>
    </row>
    <row r="581" spans="1:17" x14ac:dyDescent="0.25">
      <c r="A581" s="5"/>
      <c r="B581" s="5"/>
      <c r="C581" s="5"/>
      <c r="D581" s="5"/>
      <c r="E581" s="5"/>
      <c r="F581" s="5"/>
      <c r="G581" s="5"/>
      <c r="H581" s="5" t="s">
        <v>28</v>
      </c>
      <c r="I581" s="6">
        <v>44681</v>
      </c>
      <c r="J581" s="5"/>
      <c r="K581" s="5"/>
      <c r="L581" s="5"/>
      <c r="M581" s="5"/>
      <c r="N581" s="7"/>
      <c r="O581" s="5" t="s">
        <v>554</v>
      </c>
      <c r="P581" s="8">
        <v>204.62</v>
      </c>
      <c r="Q581" s="8">
        <f t="shared" ref="Q581:Q594" si="12">ROUND(Q580+P581,5)</f>
        <v>204.62</v>
      </c>
    </row>
    <row r="582" spans="1:17" x14ac:dyDescent="0.25">
      <c r="A582" s="5"/>
      <c r="B582" s="5"/>
      <c r="C582" s="5"/>
      <c r="D582" s="5"/>
      <c r="E582" s="5"/>
      <c r="F582" s="5"/>
      <c r="G582" s="5"/>
      <c r="H582" s="5" t="s">
        <v>25</v>
      </c>
      <c r="I582" s="6">
        <v>44706</v>
      </c>
      <c r="J582" s="5" t="s">
        <v>612</v>
      </c>
      <c r="K582" s="5"/>
      <c r="L582" s="5" t="s">
        <v>748</v>
      </c>
      <c r="M582" s="5"/>
      <c r="N582" s="7"/>
      <c r="O582" s="5" t="s">
        <v>763</v>
      </c>
      <c r="P582" s="8">
        <v>124.11</v>
      </c>
      <c r="Q582" s="8">
        <f t="shared" si="12"/>
        <v>328.73</v>
      </c>
    </row>
    <row r="583" spans="1:17" x14ac:dyDescent="0.25">
      <c r="A583" s="5"/>
      <c r="B583" s="5"/>
      <c r="C583" s="5"/>
      <c r="D583" s="5"/>
      <c r="E583" s="5"/>
      <c r="F583" s="5"/>
      <c r="G583" s="5"/>
      <c r="H583" s="5" t="s">
        <v>28</v>
      </c>
      <c r="I583" s="6">
        <v>44712</v>
      </c>
      <c r="J583" s="5"/>
      <c r="K583" s="5"/>
      <c r="L583" s="5"/>
      <c r="M583" s="5"/>
      <c r="N583" s="7"/>
      <c r="O583" s="5" t="s">
        <v>554</v>
      </c>
      <c r="P583" s="8">
        <v>145.31</v>
      </c>
      <c r="Q583" s="8">
        <f t="shared" si="12"/>
        <v>474.04</v>
      </c>
    </row>
    <row r="584" spans="1:17" x14ac:dyDescent="0.25">
      <c r="A584" s="5"/>
      <c r="B584" s="5"/>
      <c r="C584" s="5"/>
      <c r="D584" s="5"/>
      <c r="E584" s="5"/>
      <c r="F584" s="5"/>
      <c r="G584" s="5"/>
      <c r="H584" s="5" t="s">
        <v>28</v>
      </c>
      <c r="I584" s="6">
        <v>44739</v>
      </c>
      <c r="J584" s="5"/>
      <c r="K584" s="5"/>
      <c r="L584" s="5"/>
      <c r="M584" s="5"/>
      <c r="N584" s="7"/>
      <c r="O584" s="5" t="s">
        <v>554</v>
      </c>
      <c r="P584" s="8">
        <v>331.55</v>
      </c>
      <c r="Q584" s="8">
        <f t="shared" si="12"/>
        <v>805.59</v>
      </c>
    </row>
    <row r="585" spans="1:17" x14ac:dyDescent="0.25">
      <c r="A585" s="5"/>
      <c r="B585" s="5"/>
      <c r="C585" s="5"/>
      <c r="D585" s="5"/>
      <c r="E585" s="5"/>
      <c r="F585" s="5"/>
      <c r="G585" s="5"/>
      <c r="H585" s="5" t="s">
        <v>28</v>
      </c>
      <c r="I585" s="6">
        <v>44743</v>
      </c>
      <c r="J585" s="5"/>
      <c r="K585" s="5"/>
      <c r="L585" s="5" t="s">
        <v>749</v>
      </c>
      <c r="M585" s="5"/>
      <c r="N585" s="7"/>
      <c r="O585" s="5" t="s">
        <v>554</v>
      </c>
      <c r="P585" s="8">
        <v>573.23</v>
      </c>
      <c r="Q585" s="8">
        <f t="shared" si="12"/>
        <v>1378.82</v>
      </c>
    </row>
    <row r="586" spans="1:17" x14ac:dyDescent="0.25">
      <c r="A586" s="5"/>
      <c r="B586" s="5"/>
      <c r="C586" s="5"/>
      <c r="D586" s="5"/>
      <c r="E586" s="5"/>
      <c r="F586" s="5"/>
      <c r="G586" s="5"/>
      <c r="H586" s="5" t="s">
        <v>25</v>
      </c>
      <c r="I586" s="6">
        <v>44746</v>
      </c>
      <c r="J586" s="5" t="s">
        <v>613</v>
      </c>
      <c r="K586" s="5"/>
      <c r="L586" s="5"/>
      <c r="M586" s="5"/>
      <c r="N586" s="7"/>
      <c r="O586" s="5" t="s">
        <v>554</v>
      </c>
      <c r="P586" s="8">
        <v>2</v>
      </c>
      <c r="Q586" s="8">
        <f t="shared" si="12"/>
        <v>1380.82</v>
      </c>
    </row>
    <row r="587" spans="1:17" x14ac:dyDescent="0.25">
      <c r="A587" s="5"/>
      <c r="B587" s="5"/>
      <c r="C587" s="5"/>
      <c r="D587" s="5"/>
      <c r="E587" s="5"/>
      <c r="F587" s="5"/>
      <c r="G587" s="5"/>
      <c r="H587" s="5" t="s">
        <v>28</v>
      </c>
      <c r="I587" s="6">
        <v>44774</v>
      </c>
      <c r="J587" s="5"/>
      <c r="K587" s="5"/>
      <c r="L587" s="5" t="s">
        <v>749</v>
      </c>
      <c r="M587" s="5"/>
      <c r="N587" s="7"/>
      <c r="O587" s="5" t="s">
        <v>554</v>
      </c>
      <c r="P587" s="8">
        <v>1064.25</v>
      </c>
      <c r="Q587" s="8">
        <f t="shared" si="12"/>
        <v>2445.0700000000002</v>
      </c>
    </row>
    <row r="588" spans="1:17" x14ac:dyDescent="0.25">
      <c r="A588" s="5"/>
      <c r="B588" s="5"/>
      <c r="C588" s="5"/>
      <c r="D588" s="5"/>
      <c r="E588" s="5"/>
      <c r="F588" s="5"/>
      <c r="G588" s="5"/>
      <c r="H588" s="5" t="s">
        <v>28</v>
      </c>
      <c r="I588" s="6">
        <v>44805</v>
      </c>
      <c r="J588" s="5"/>
      <c r="K588" s="5"/>
      <c r="L588" s="5" t="s">
        <v>749</v>
      </c>
      <c r="M588" s="5"/>
      <c r="N588" s="7"/>
      <c r="O588" s="5" t="s">
        <v>554</v>
      </c>
      <c r="P588" s="8">
        <v>842.03</v>
      </c>
      <c r="Q588" s="8">
        <f t="shared" si="12"/>
        <v>3287.1</v>
      </c>
    </row>
    <row r="589" spans="1:17" x14ac:dyDescent="0.25">
      <c r="A589" s="5"/>
      <c r="B589" s="5"/>
      <c r="C589" s="5"/>
      <c r="D589" s="5"/>
      <c r="E589" s="5"/>
      <c r="F589" s="5"/>
      <c r="G589" s="5"/>
      <c r="H589" s="5" t="s">
        <v>27</v>
      </c>
      <c r="I589" s="6">
        <v>44833</v>
      </c>
      <c r="J589" s="5"/>
      <c r="K589" s="5" t="s">
        <v>447</v>
      </c>
      <c r="L589" s="5"/>
      <c r="M589" s="5"/>
      <c r="N589" s="7"/>
      <c r="O589" s="5" t="s">
        <v>556</v>
      </c>
      <c r="P589" s="8">
        <v>970.73</v>
      </c>
      <c r="Q589" s="8">
        <f t="shared" si="12"/>
        <v>4257.83</v>
      </c>
    </row>
    <row r="590" spans="1:17" x14ac:dyDescent="0.25">
      <c r="A590" s="5"/>
      <c r="B590" s="5"/>
      <c r="C590" s="5"/>
      <c r="D590" s="5"/>
      <c r="E590" s="5"/>
      <c r="F590" s="5"/>
      <c r="G590" s="5"/>
      <c r="H590" s="5" t="s">
        <v>28</v>
      </c>
      <c r="I590" s="6">
        <v>44835</v>
      </c>
      <c r="J590" s="5"/>
      <c r="K590" s="5"/>
      <c r="L590" s="5" t="s">
        <v>749</v>
      </c>
      <c r="M590" s="5"/>
      <c r="N590" s="7"/>
      <c r="O590" s="5" t="s">
        <v>554</v>
      </c>
      <c r="P590" s="8">
        <v>1726.5</v>
      </c>
      <c r="Q590" s="8">
        <f t="shared" si="12"/>
        <v>5984.33</v>
      </c>
    </row>
    <row r="591" spans="1:17" x14ac:dyDescent="0.25">
      <c r="A591" s="5"/>
      <c r="B591" s="5"/>
      <c r="C591" s="5"/>
      <c r="D591" s="5"/>
      <c r="E591" s="5"/>
      <c r="F591" s="5"/>
      <c r="G591" s="5"/>
      <c r="H591" s="5" t="s">
        <v>28</v>
      </c>
      <c r="I591" s="6">
        <v>44866</v>
      </c>
      <c r="J591" s="5"/>
      <c r="K591" s="5"/>
      <c r="L591" s="5" t="s">
        <v>749</v>
      </c>
      <c r="M591" s="5"/>
      <c r="N591" s="7"/>
      <c r="O591" s="5" t="s">
        <v>554</v>
      </c>
      <c r="P591" s="8">
        <v>298.55</v>
      </c>
      <c r="Q591" s="8">
        <f t="shared" si="12"/>
        <v>6282.88</v>
      </c>
    </row>
    <row r="592" spans="1:17" x14ac:dyDescent="0.25">
      <c r="A592" s="5"/>
      <c r="B592" s="5"/>
      <c r="C592" s="5"/>
      <c r="D592" s="5"/>
      <c r="E592" s="5"/>
      <c r="F592" s="5"/>
      <c r="G592" s="5"/>
      <c r="H592" s="5" t="s">
        <v>25</v>
      </c>
      <c r="I592" s="6">
        <v>44879</v>
      </c>
      <c r="J592" s="5" t="s">
        <v>614</v>
      </c>
      <c r="K592" s="5"/>
      <c r="L592" s="5" t="s">
        <v>750</v>
      </c>
      <c r="M592" s="5"/>
      <c r="N592" s="7"/>
      <c r="O592" s="5" t="s">
        <v>554</v>
      </c>
      <c r="P592" s="8">
        <v>558.24</v>
      </c>
      <c r="Q592" s="8">
        <f t="shared" si="12"/>
        <v>6841.12</v>
      </c>
    </row>
    <row r="593" spans="1:17" x14ac:dyDescent="0.25">
      <c r="A593" s="5"/>
      <c r="B593" s="5"/>
      <c r="C593" s="5"/>
      <c r="D593" s="5"/>
      <c r="E593" s="5"/>
      <c r="F593" s="5"/>
      <c r="G593" s="5"/>
      <c r="H593" s="5" t="s">
        <v>25</v>
      </c>
      <c r="I593" s="6">
        <v>44879</v>
      </c>
      <c r="J593" s="5" t="s">
        <v>615</v>
      </c>
      <c r="K593" s="5"/>
      <c r="L593" s="5" t="s">
        <v>751</v>
      </c>
      <c r="M593" s="5"/>
      <c r="N593" s="7"/>
      <c r="O593" s="5" t="s">
        <v>554</v>
      </c>
      <c r="P593" s="8">
        <v>7</v>
      </c>
      <c r="Q593" s="8">
        <f t="shared" si="12"/>
        <v>6848.12</v>
      </c>
    </row>
    <row r="594" spans="1:17" ht="15.75" thickBot="1" x14ac:dyDescent="0.3">
      <c r="A594" s="5"/>
      <c r="B594" s="5"/>
      <c r="C594" s="5"/>
      <c r="D594" s="5"/>
      <c r="E594" s="5"/>
      <c r="F594" s="5"/>
      <c r="G594" s="5"/>
      <c r="H594" s="5" t="s">
        <v>28</v>
      </c>
      <c r="I594" s="6">
        <v>44896</v>
      </c>
      <c r="J594" s="5"/>
      <c r="K594" s="5"/>
      <c r="L594" s="5" t="s">
        <v>749</v>
      </c>
      <c r="M594" s="5"/>
      <c r="N594" s="7"/>
      <c r="O594" s="5" t="s">
        <v>554</v>
      </c>
      <c r="P594" s="9">
        <v>1195.1600000000001</v>
      </c>
      <c r="Q594" s="9">
        <f t="shared" si="12"/>
        <v>8043.28</v>
      </c>
    </row>
    <row r="595" spans="1:17" x14ac:dyDescent="0.25">
      <c r="A595" s="5"/>
      <c r="B595" s="5"/>
      <c r="C595" s="5"/>
      <c r="D595" s="5"/>
      <c r="E595" s="5" t="s">
        <v>573</v>
      </c>
      <c r="F595" s="5"/>
      <c r="G595" s="5"/>
      <c r="H595" s="5"/>
      <c r="I595" s="6"/>
      <c r="J595" s="5"/>
      <c r="K595" s="5"/>
      <c r="L595" s="5"/>
      <c r="M595" s="5"/>
      <c r="N595" s="5"/>
      <c r="O595" s="5"/>
      <c r="P595" s="8">
        <f>ROUND(SUM(P580:P594),5)</f>
        <v>8043.28</v>
      </c>
      <c r="Q595" s="8">
        <f>Q594</f>
        <v>8043.28</v>
      </c>
    </row>
    <row r="596" spans="1:17" x14ac:dyDescent="0.25">
      <c r="A596" s="2"/>
      <c r="B596" s="2"/>
      <c r="C596" s="2"/>
      <c r="D596" s="2"/>
      <c r="E596" s="2" t="s">
        <v>574</v>
      </c>
      <c r="F596" s="2"/>
      <c r="G596" s="2"/>
      <c r="H596" s="2"/>
      <c r="I596" s="3"/>
      <c r="J596" s="2"/>
      <c r="K596" s="2"/>
      <c r="L596" s="2"/>
      <c r="M596" s="2"/>
      <c r="N596" s="2"/>
      <c r="O596" s="2"/>
      <c r="P596" s="4"/>
      <c r="Q596" s="4"/>
    </row>
    <row r="597" spans="1:17" x14ac:dyDescent="0.25">
      <c r="A597" s="5"/>
      <c r="B597" s="5"/>
      <c r="C597" s="5"/>
      <c r="D597" s="5"/>
      <c r="E597" s="5"/>
      <c r="F597" s="5"/>
      <c r="G597" s="5"/>
      <c r="H597" s="5" t="s">
        <v>25</v>
      </c>
      <c r="I597" s="6">
        <v>44817</v>
      </c>
      <c r="J597" s="5" t="s">
        <v>616</v>
      </c>
      <c r="K597" s="5"/>
      <c r="L597" s="5" t="s">
        <v>752</v>
      </c>
      <c r="M597" s="5"/>
      <c r="N597" s="7"/>
      <c r="O597" s="5" t="s">
        <v>764</v>
      </c>
      <c r="P597" s="8">
        <v>678</v>
      </c>
      <c r="Q597" s="8">
        <f>ROUND(Q596+P597,5)</f>
        <v>678</v>
      </c>
    </row>
    <row r="598" spans="1:17" ht="15.75" thickBot="1" x14ac:dyDescent="0.3">
      <c r="A598" s="5"/>
      <c r="B598" s="5"/>
      <c r="C598" s="5"/>
      <c r="D598" s="5"/>
      <c r="E598" s="5"/>
      <c r="F598" s="5"/>
      <c r="G598" s="5"/>
      <c r="H598" s="5" t="s">
        <v>25</v>
      </c>
      <c r="I598" s="6">
        <v>44817</v>
      </c>
      <c r="J598" s="5" t="s">
        <v>616</v>
      </c>
      <c r="K598" s="5"/>
      <c r="L598" s="5" t="s">
        <v>752</v>
      </c>
      <c r="M598" s="5"/>
      <c r="N598" s="7"/>
      <c r="O598" s="5" t="s">
        <v>574</v>
      </c>
      <c r="P598" s="9">
        <v>678</v>
      </c>
      <c r="Q598" s="9">
        <f>ROUND(Q597+P598,5)</f>
        <v>1356</v>
      </c>
    </row>
    <row r="599" spans="1:17" x14ac:dyDescent="0.25">
      <c r="A599" s="5"/>
      <c r="B599" s="5"/>
      <c r="C599" s="5"/>
      <c r="D599" s="5"/>
      <c r="E599" s="5" t="s">
        <v>575</v>
      </c>
      <c r="F599" s="5"/>
      <c r="G599" s="5"/>
      <c r="H599" s="5"/>
      <c r="I599" s="6"/>
      <c r="J599" s="5"/>
      <c r="K599" s="5"/>
      <c r="L599" s="5"/>
      <c r="M599" s="5"/>
      <c r="N599" s="5"/>
      <c r="O599" s="5"/>
      <c r="P599" s="8">
        <f>ROUND(SUM(P596:P598),5)</f>
        <v>1356</v>
      </c>
      <c r="Q599" s="8">
        <f>Q598</f>
        <v>1356</v>
      </c>
    </row>
    <row r="600" spans="1:17" x14ac:dyDescent="0.25">
      <c r="A600" s="2"/>
      <c r="B600" s="2"/>
      <c r="C600" s="2"/>
      <c r="D600" s="2"/>
      <c r="E600" s="2" t="s">
        <v>576</v>
      </c>
      <c r="F600" s="2"/>
      <c r="G600" s="2"/>
      <c r="H600" s="2"/>
      <c r="I600" s="3"/>
      <c r="J600" s="2"/>
      <c r="K600" s="2"/>
      <c r="L600" s="2"/>
      <c r="M600" s="2"/>
      <c r="N600" s="2"/>
      <c r="O600" s="2"/>
      <c r="P600" s="4"/>
      <c r="Q600" s="4"/>
    </row>
    <row r="601" spans="1:17" x14ac:dyDescent="0.25">
      <c r="A601" s="5"/>
      <c r="B601" s="5"/>
      <c r="C601" s="5"/>
      <c r="D601" s="5"/>
      <c r="E601" s="5"/>
      <c r="F601" s="5"/>
      <c r="G601" s="5"/>
      <c r="H601" s="5" t="s">
        <v>28</v>
      </c>
      <c r="I601" s="6">
        <v>44725</v>
      </c>
      <c r="J601" s="5"/>
      <c r="K601" s="5"/>
      <c r="L601" s="5" t="s">
        <v>753</v>
      </c>
      <c r="M601" s="5"/>
      <c r="N601" s="7"/>
      <c r="O601" s="5" t="s">
        <v>554</v>
      </c>
      <c r="P601" s="8">
        <v>402.22</v>
      </c>
      <c r="Q601" s="8">
        <f>ROUND(Q600+P601,5)</f>
        <v>402.22</v>
      </c>
    </row>
    <row r="602" spans="1:17" x14ac:dyDescent="0.25">
      <c r="A602" s="5"/>
      <c r="B602" s="5"/>
      <c r="C602" s="5"/>
      <c r="D602" s="5"/>
      <c r="E602" s="5"/>
      <c r="F602" s="5"/>
      <c r="G602" s="5"/>
      <c r="H602" s="5" t="s">
        <v>28</v>
      </c>
      <c r="I602" s="6">
        <v>44739</v>
      </c>
      <c r="J602" s="5"/>
      <c r="K602" s="5"/>
      <c r="L602" s="5"/>
      <c r="M602" s="5"/>
      <c r="N602" s="7"/>
      <c r="O602" s="5" t="s">
        <v>554</v>
      </c>
      <c r="P602" s="8">
        <v>402.22</v>
      </c>
      <c r="Q602" s="8">
        <f>ROUND(Q601+P602,5)</f>
        <v>804.44</v>
      </c>
    </row>
    <row r="603" spans="1:17" ht="15.75" thickBot="1" x14ac:dyDescent="0.3">
      <c r="A603" s="5"/>
      <c r="B603" s="5"/>
      <c r="C603" s="5"/>
      <c r="D603" s="5"/>
      <c r="E603" s="5"/>
      <c r="F603" s="5"/>
      <c r="G603" s="5"/>
      <c r="H603" s="5" t="s">
        <v>25</v>
      </c>
      <c r="I603" s="6">
        <v>44890</v>
      </c>
      <c r="J603" s="5" t="s">
        <v>617</v>
      </c>
      <c r="K603" s="5"/>
      <c r="L603" s="5"/>
      <c r="M603" s="5"/>
      <c r="N603" s="7"/>
      <c r="O603" s="5" t="s">
        <v>554</v>
      </c>
      <c r="P603" s="9">
        <v>1091.5899999999999</v>
      </c>
      <c r="Q603" s="9">
        <f>ROUND(Q602+P603,5)</f>
        <v>1896.03</v>
      </c>
    </row>
    <row r="604" spans="1:17" x14ac:dyDescent="0.25">
      <c r="A604" s="5"/>
      <c r="B604" s="5"/>
      <c r="C604" s="5"/>
      <c r="D604" s="5"/>
      <c r="E604" s="5" t="s">
        <v>577</v>
      </c>
      <c r="F604" s="5"/>
      <c r="G604" s="5"/>
      <c r="H604" s="5"/>
      <c r="I604" s="6"/>
      <c r="J604" s="5"/>
      <c r="K604" s="5"/>
      <c r="L604" s="5"/>
      <c r="M604" s="5"/>
      <c r="N604" s="5"/>
      <c r="O604" s="5"/>
      <c r="P604" s="8">
        <f>ROUND(SUM(P600:P603),5)</f>
        <v>1896.03</v>
      </c>
      <c r="Q604" s="8">
        <f>Q603</f>
        <v>1896.03</v>
      </c>
    </row>
    <row r="605" spans="1:17" x14ac:dyDescent="0.25">
      <c r="A605" s="2"/>
      <c r="B605" s="2"/>
      <c r="C605" s="2"/>
      <c r="D605" s="2"/>
      <c r="E605" s="2" t="s">
        <v>578</v>
      </c>
      <c r="F605" s="2"/>
      <c r="G605" s="2"/>
      <c r="H605" s="2"/>
      <c r="I605" s="3"/>
      <c r="J605" s="2"/>
      <c r="K605" s="2"/>
      <c r="L605" s="2"/>
      <c r="M605" s="2"/>
      <c r="N605" s="2"/>
      <c r="O605" s="2"/>
      <c r="P605" s="4"/>
      <c r="Q605" s="4"/>
    </row>
    <row r="606" spans="1:17" ht="15.75" thickBot="1" x14ac:dyDescent="0.3">
      <c r="A606" s="1"/>
      <c r="B606" s="1"/>
      <c r="C606" s="1"/>
      <c r="D606" s="1"/>
      <c r="E606" s="1"/>
      <c r="F606" s="5"/>
      <c r="G606" s="5"/>
      <c r="H606" s="5" t="s">
        <v>25</v>
      </c>
      <c r="I606" s="6">
        <v>44655</v>
      </c>
      <c r="J606" s="5" t="s">
        <v>618</v>
      </c>
      <c r="K606" s="5"/>
      <c r="L606" s="5" t="s">
        <v>754</v>
      </c>
      <c r="M606" s="5"/>
      <c r="N606" s="7"/>
      <c r="O606" s="5" t="s">
        <v>764</v>
      </c>
      <c r="P606" s="9">
        <v>593.27</v>
      </c>
      <c r="Q606" s="9">
        <f>ROUND(Q605+P606,5)</f>
        <v>593.27</v>
      </c>
    </row>
    <row r="607" spans="1:17" x14ac:dyDescent="0.25">
      <c r="A607" s="5"/>
      <c r="B607" s="5"/>
      <c r="C607" s="5"/>
      <c r="D607" s="5"/>
      <c r="E607" s="5" t="s">
        <v>579</v>
      </c>
      <c r="F607" s="5"/>
      <c r="G607" s="5"/>
      <c r="H607" s="5"/>
      <c r="I607" s="6"/>
      <c r="J607" s="5"/>
      <c r="K607" s="5"/>
      <c r="L607" s="5"/>
      <c r="M607" s="5"/>
      <c r="N607" s="5"/>
      <c r="O607" s="5"/>
      <c r="P607" s="8">
        <f>ROUND(SUM(P605:P606),5)</f>
        <v>593.27</v>
      </c>
      <c r="Q607" s="8">
        <f>Q606</f>
        <v>593.27</v>
      </c>
    </row>
    <row r="608" spans="1:17" x14ac:dyDescent="0.25">
      <c r="A608" s="2"/>
      <c r="B608" s="2"/>
      <c r="C608" s="2"/>
      <c r="D608" s="2"/>
      <c r="E608" s="2" t="s">
        <v>580</v>
      </c>
      <c r="F608" s="2"/>
      <c r="G608" s="2"/>
      <c r="H608" s="2"/>
      <c r="I608" s="3"/>
      <c r="J608" s="2"/>
      <c r="K608" s="2"/>
      <c r="L608" s="2"/>
      <c r="M608" s="2"/>
      <c r="N608" s="2"/>
      <c r="O608" s="2"/>
      <c r="P608" s="4"/>
      <c r="Q608" s="4"/>
    </row>
    <row r="609" spans="1:17" x14ac:dyDescent="0.25">
      <c r="A609" s="5"/>
      <c r="B609" s="5"/>
      <c r="C609" s="5"/>
      <c r="D609" s="5"/>
      <c r="E609" s="5"/>
      <c r="F609" s="5"/>
      <c r="G609" s="5"/>
      <c r="H609" s="5" t="s">
        <v>28</v>
      </c>
      <c r="I609" s="6">
        <v>44701</v>
      </c>
      <c r="J609" s="5"/>
      <c r="K609" s="5" t="s">
        <v>718</v>
      </c>
      <c r="L609" s="5"/>
      <c r="M609" s="5"/>
      <c r="N609" s="7"/>
      <c r="O609" s="5" t="s">
        <v>554</v>
      </c>
      <c r="P609" s="8">
        <v>6257.66</v>
      </c>
      <c r="Q609" s="8">
        <f t="shared" ref="Q609:Q616" si="13">ROUND(Q608+P609,5)</f>
        <v>6257.66</v>
      </c>
    </row>
    <row r="610" spans="1:17" x14ac:dyDescent="0.25">
      <c r="A610" s="5"/>
      <c r="B610" s="5"/>
      <c r="C610" s="5"/>
      <c r="D610" s="5"/>
      <c r="E610" s="5"/>
      <c r="F610" s="5"/>
      <c r="G610" s="5"/>
      <c r="H610" s="5" t="s">
        <v>28</v>
      </c>
      <c r="I610" s="6">
        <v>44732</v>
      </c>
      <c r="J610" s="5"/>
      <c r="K610" s="5" t="s">
        <v>718</v>
      </c>
      <c r="L610" s="5"/>
      <c r="M610" s="5"/>
      <c r="N610" s="7"/>
      <c r="O610" s="5" t="s">
        <v>554</v>
      </c>
      <c r="P610" s="8">
        <v>3487.68</v>
      </c>
      <c r="Q610" s="8">
        <f t="shared" si="13"/>
        <v>9745.34</v>
      </c>
    </row>
    <row r="611" spans="1:17" x14ac:dyDescent="0.25">
      <c r="A611" s="5"/>
      <c r="B611" s="5"/>
      <c r="C611" s="5"/>
      <c r="D611" s="5"/>
      <c r="E611" s="5"/>
      <c r="F611" s="5"/>
      <c r="G611" s="5"/>
      <c r="H611" s="5" t="s">
        <v>27</v>
      </c>
      <c r="I611" s="6">
        <v>44762</v>
      </c>
      <c r="J611" s="5"/>
      <c r="K611" s="5" t="s">
        <v>718</v>
      </c>
      <c r="L611" s="5"/>
      <c r="M611" s="5"/>
      <c r="N611" s="7"/>
      <c r="O611" s="5" t="s">
        <v>556</v>
      </c>
      <c r="P611" s="8">
        <v>3940.95</v>
      </c>
      <c r="Q611" s="8">
        <f t="shared" si="13"/>
        <v>13686.29</v>
      </c>
    </row>
    <row r="612" spans="1:17" x14ac:dyDescent="0.25">
      <c r="A612" s="5"/>
      <c r="B612" s="5"/>
      <c r="C612" s="5"/>
      <c r="D612" s="5"/>
      <c r="E612" s="5"/>
      <c r="F612" s="5"/>
      <c r="G612" s="5"/>
      <c r="H612" s="5" t="s">
        <v>27</v>
      </c>
      <c r="I612" s="6">
        <v>44795</v>
      </c>
      <c r="J612" s="5"/>
      <c r="K612" s="5" t="s">
        <v>718</v>
      </c>
      <c r="L612" s="5"/>
      <c r="M612" s="5"/>
      <c r="N612" s="7"/>
      <c r="O612" s="5" t="s">
        <v>556</v>
      </c>
      <c r="P612" s="8">
        <v>3487.57</v>
      </c>
      <c r="Q612" s="8">
        <f t="shared" si="13"/>
        <v>17173.86</v>
      </c>
    </row>
    <row r="613" spans="1:17" x14ac:dyDescent="0.25">
      <c r="A613" s="5"/>
      <c r="B613" s="5"/>
      <c r="C613" s="5"/>
      <c r="D613" s="5"/>
      <c r="E613" s="5"/>
      <c r="F613" s="5"/>
      <c r="G613" s="5"/>
      <c r="H613" s="5" t="s">
        <v>28</v>
      </c>
      <c r="I613" s="6">
        <v>44824</v>
      </c>
      <c r="J613" s="5"/>
      <c r="K613" s="5" t="s">
        <v>718</v>
      </c>
      <c r="L613" s="5"/>
      <c r="M613" s="5"/>
      <c r="N613" s="7"/>
      <c r="O613" s="5" t="s">
        <v>554</v>
      </c>
      <c r="P613" s="8">
        <v>4212.46</v>
      </c>
      <c r="Q613" s="8">
        <f t="shared" si="13"/>
        <v>21386.32</v>
      </c>
    </row>
    <row r="614" spans="1:17" x14ac:dyDescent="0.25">
      <c r="A614" s="5"/>
      <c r="B614" s="5"/>
      <c r="C614" s="5"/>
      <c r="D614" s="5"/>
      <c r="E614" s="5"/>
      <c r="F614" s="5"/>
      <c r="G614" s="5"/>
      <c r="H614" s="5" t="s">
        <v>28</v>
      </c>
      <c r="I614" s="6">
        <v>44854</v>
      </c>
      <c r="J614" s="5" t="s">
        <v>619</v>
      </c>
      <c r="K614" s="5" t="s">
        <v>718</v>
      </c>
      <c r="L614" s="5"/>
      <c r="M614" s="5"/>
      <c r="N614" s="7"/>
      <c r="O614" s="5" t="s">
        <v>554</v>
      </c>
      <c r="P614" s="8">
        <v>3478.29</v>
      </c>
      <c r="Q614" s="8">
        <f t="shared" si="13"/>
        <v>24864.61</v>
      </c>
    </row>
    <row r="615" spans="1:17" x14ac:dyDescent="0.25">
      <c r="A615" s="5"/>
      <c r="B615" s="5"/>
      <c r="C615" s="5"/>
      <c r="D615" s="5"/>
      <c r="E615" s="5"/>
      <c r="F615" s="5"/>
      <c r="G615" s="5"/>
      <c r="H615" s="5" t="s">
        <v>27</v>
      </c>
      <c r="I615" s="6">
        <v>44886</v>
      </c>
      <c r="J615" s="5"/>
      <c r="K615" s="5" t="s">
        <v>718</v>
      </c>
      <c r="L615" s="5"/>
      <c r="M615" s="5"/>
      <c r="N615" s="7"/>
      <c r="O615" s="5" t="s">
        <v>556</v>
      </c>
      <c r="P615" s="8">
        <v>3732.9</v>
      </c>
      <c r="Q615" s="8">
        <f t="shared" si="13"/>
        <v>28597.51</v>
      </c>
    </row>
    <row r="616" spans="1:17" ht="15.75" thickBot="1" x14ac:dyDescent="0.3">
      <c r="A616" s="5"/>
      <c r="B616" s="5"/>
      <c r="C616" s="5"/>
      <c r="D616" s="5"/>
      <c r="E616" s="5"/>
      <c r="F616" s="5"/>
      <c r="G616" s="5"/>
      <c r="H616" s="5" t="s">
        <v>27</v>
      </c>
      <c r="I616" s="6">
        <v>44915</v>
      </c>
      <c r="J616" s="5"/>
      <c r="K616" s="5" t="s">
        <v>718</v>
      </c>
      <c r="L616" s="5"/>
      <c r="M616" s="5"/>
      <c r="N616" s="7"/>
      <c r="O616" s="5" t="s">
        <v>556</v>
      </c>
      <c r="P616" s="9">
        <v>3732.89</v>
      </c>
      <c r="Q616" s="9">
        <f t="shared" si="13"/>
        <v>32330.400000000001</v>
      </c>
    </row>
    <row r="617" spans="1:17" x14ac:dyDescent="0.25">
      <c r="A617" s="5"/>
      <c r="B617" s="5"/>
      <c r="C617" s="5"/>
      <c r="D617" s="5"/>
      <c r="E617" s="5" t="s">
        <v>581</v>
      </c>
      <c r="F617" s="5"/>
      <c r="G617" s="5"/>
      <c r="H617" s="5"/>
      <c r="I617" s="6"/>
      <c r="J617" s="5"/>
      <c r="K617" s="5"/>
      <c r="L617" s="5"/>
      <c r="M617" s="5"/>
      <c r="N617" s="5"/>
      <c r="O617" s="5"/>
      <c r="P617" s="8">
        <f>ROUND(SUM(P608:P616),5)</f>
        <v>32330.400000000001</v>
      </c>
      <c r="Q617" s="8">
        <f>Q616</f>
        <v>32330.400000000001</v>
      </c>
    </row>
    <row r="618" spans="1:17" x14ac:dyDescent="0.25">
      <c r="A618" s="2"/>
      <c r="B618" s="2"/>
      <c r="C618" s="2"/>
      <c r="D618" s="2"/>
      <c r="E618" s="2" t="s">
        <v>582</v>
      </c>
      <c r="F618" s="2"/>
      <c r="G618" s="2"/>
      <c r="H618" s="2"/>
      <c r="I618" s="3"/>
      <c r="J618" s="2"/>
      <c r="K618" s="2"/>
      <c r="L618" s="2"/>
      <c r="M618" s="2"/>
      <c r="N618" s="2"/>
      <c r="O618" s="2"/>
      <c r="P618" s="4"/>
      <c r="Q618" s="4"/>
    </row>
    <row r="619" spans="1:17" x14ac:dyDescent="0.25">
      <c r="A619" s="5"/>
      <c r="B619" s="5"/>
      <c r="C619" s="5"/>
      <c r="D619" s="5"/>
      <c r="E619" s="5"/>
      <c r="F619" s="5"/>
      <c r="G619" s="5"/>
      <c r="H619" s="5" t="s">
        <v>27</v>
      </c>
      <c r="I619" s="6">
        <v>44681</v>
      </c>
      <c r="J619" s="5"/>
      <c r="K619" s="5" t="s">
        <v>719</v>
      </c>
      <c r="L619" s="5"/>
      <c r="M619" s="5"/>
      <c r="N619" s="7"/>
      <c r="O619" s="5" t="s">
        <v>556</v>
      </c>
      <c r="P619" s="8">
        <v>198.43</v>
      </c>
      <c r="Q619" s="8">
        <f t="shared" ref="Q619:Q625" si="14">ROUND(Q618+P619,5)</f>
        <v>198.43</v>
      </c>
    </row>
    <row r="620" spans="1:17" x14ac:dyDescent="0.25">
      <c r="A620" s="5"/>
      <c r="B620" s="5"/>
      <c r="C620" s="5"/>
      <c r="D620" s="5"/>
      <c r="E620" s="5"/>
      <c r="F620" s="5"/>
      <c r="G620" s="5"/>
      <c r="H620" s="5" t="s">
        <v>27</v>
      </c>
      <c r="I620" s="6">
        <v>44722</v>
      </c>
      <c r="J620" s="5"/>
      <c r="K620" s="5" t="s">
        <v>719</v>
      </c>
      <c r="L620" s="5"/>
      <c r="M620" s="5"/>
      <c r="N620" s="7"/>
      <c r="O620" s="5" t="s">
        <v>556</v>
      </c>
      <c r="P620" s="8">
        <v>206.23</v>
      </c>
      <c r="Q620" s="8">
        <f t="shared" si="14"/>
        <v>404.66</v>
      </c>
    </row>
    <row r="621" spans="1:17" x14ac:dyDescent="0.25">
      <c r="A621" s="5"/>
      <c r="B621" s="5"/>
      <c r="C621" s="5"/>
      <c r="D621" s="5"/>
      <c r="E621" s="5"/>
      <c r="F621" s="5"/>
      <c r="G621" s="5"/>
      <c r="H621" s="5" t="s">
        <v>28</v>
      </c>
      <c r="I621" s="6">
        <v>44771</v>
      </c>
      <c r="J621" s="5"/>
      <c r="K621" s="5" t="s">
        <v>719</v>
      </c>
      <c r="L621" s="5"/>
      <c r="M621" s="5"/>
      <c r="N621" s="7"/>
      <c r="O621" s="5" t="s">
        <v>554</v>
      </c>
      <c r="P621" s="8">
        <v>414.9</v>
      </c>
      <c r="Q621" s="8">
        <f t="shared" si="14"/>
        <v>819.56</v>
      </c>
    </row>
    <row r="622" spans="1:17" x14ac:dyDescent="0.25">
      <c r="A622" s="5"/>
      <c r="B622" s="5"/>
      <c r="C622" s="5"/>
      <c r="D622" s="5"/>
      <c r="E622" s="5"/>
      <c r="F622" s="5"/>
      <c r="G622" s="5"/>
      <c r="H622" s="5" t="s">
        <v>27</v>
      </c>
      <c r="I622" s="6">
        <v>44834</v>
      </c>
      <c r="J622" s="5"/>
      <c r="K622" s="5" t="s">
        <v>719</v>
      </c>
      <c r="L622" s="5"/>
      <c r="M622" s="5"/>
      <c r="N622" s="7"/>
      <c r="O622" s="5" t="s">
        <v>556</v>
      </c>
      <c r="P622" s="8">
        <v>223.42</v>
      </c>
      <c r="Q622" s="8">
        <f t="shared" si="14"/>
        <v>1042.98</v>
      </c>
    </row>
    <row r="623" spans="1:17" x14ac:dyDescent="0.25">
      <c r="A623" s="5"/>
      <c r="B623" s="5"/>
      <c r="C623" s="5"/>
      <c r="D623" s="5"/>
      <c r="E623" s="5"/>
      <c r="F623" s="5"/>
      <c r="G623" s="5"/>
      <c r="H623" s="5" t="s">
        <v>27</v>
      </c>
      <c r="I623" s="6">
        <v>44865</v>
      </c>
      <c r="J623" s="5"/>
      <c r="K623" s="5" t="s">
        <v>719</v>
      </c>
      <c r="L623" s="5"/>
      <c r="M623" s="5"/>
      <c r="N623" s="7"/>
      <c r="O623" s="5" t="s">
        <v>556</v>
      </c>
      <c r="P623" s="8">
        <v>235.11</v>
      </c>
      <c r="Q623" s="8">
        <f t="shared" si="14"/>
        <v>1278.0899999999999</v>
      </c>
    </row>
    <row r="624" spans="1:17" x14ac:dyDescent="0.25">
      <c r="A624" s="5"/>
      <c r="B624" s="5"/>
      <c r="C624" s="5"/>
      <c r="D624" s="5"/>
      <c r="E624" s="5"/>
      <c r="F624" s="5"/>
      <c r="G624" s="5"/>
      <c r="H624" s="5" t="s">
        <v>27</v>
      </c>
      <c r="I624" s="6">
        <v>44895</v>
      </c>
      <c r="J624" s="5"/>
      <c r="K624" s="5" t="s">
        <v>719</v>
      </c>
      <c r="L624" s="5"/>
      <c r="M624" s="5"/>
      <c r="N624" s="7"/>
      <c r="O624" s="5" t="s">
        <v>556</v>
      </c>
      <c r="P624" s="8">
        <v>277.18</v>
      </c>
      <c r="Q624" s="8">
        <f t="shared" si="14"/>
        <v>1555.27</v>
      </c>
    </row>
    <row r="625" spans="1:17" ht="15.75" thickBot="1" x14ac:dyDescent="0.3">
      <c r="A625" s="5"/>
      <c r="B625" s="5"/>
      <c r="C625" s="5"/>
      <c r="D625" s="5"/>
      <c r="E625" s="5"/>
      <c r="F625" s="5"/>
      <c r="G625" s="5"/>
      <c r="H625" s="5" t="s">
        <v>27</v>
      </c>
      <c r="I625" s="6">
        <v>44926</v>
      </c>
      <c r="J625" s="5"/>
      <c r="K625" s="5" t="s">
        <v>719</v>
      </c>
      <c r="L625" s="5"/>
      <c r="M625" s="5"/>
      <c r="N625" s="7"/>
      <c r="O625" s="5" t="s">
        <v>556</v>
      </c>
      <c r="P625" s="9">
        <v>225.9</v>
      </c>
      <c r="Q625" s="9">
        <f t="shared" si="14"/>
        <v>1781.17</v>
      </c>
    </row>
    <row r="626" spans="1:17" x14ac:dyDescent="0.25">
      <c r="A626" s="5"/>
      <c r="B626" s="5"/>
      <c r="C626" s="5"/>
      <c r="D626" s="5"/>
      <c r="E626" s="5" t="s">
        <v>583</v>
      </c>
      <c r="F626" s="5"/>
      <c r="G626" s="5"/>
      <c r="H626" s="5"/>
      <c r="I626" s="6"/>
      <c r="J626" s="5"/>
      <c r="K626" s="5"/>
      <c r="L626" s="5"/>
      <c r="M626" s="5"/>
      <c r="N626" s="5"/>
      <c r="O626" s="5"/>
      <c r="P626" s="8">
        <f>ROUND(SUM(P618:P625),5)</f>
        <v>1781.17</v>
      </c>
      <c r="Q626" s="8">
        <f>Q625</f>
        <v>1781.17</v>
      </c>
    </row>
    <row r="627" spans="1:17" x14ac:dyDescent="0.25">
      <c r="A627" s="2"/>
      <c r="B627" s="2"/>
      <c r="C627" s="2"/>
      <c r="D627" s="2"/>
      <c r="E627" s="2" t="s">
        <v>584</v>
      </c>
      <c r="F627" s="2"/>
      <c r="G627" s="2"/>
      <c r="H627" s="2"/>
      <c r="I627" s="3"/>
      <c r="J627" s="2"/>
      <c r="K627" s="2"/>
      <c r="L627" s="2"/>
      <c r="M627" s="2"/>
      <c r="N627" s="2"/>
      <c r="O627" s="2"/>
      <c r="P627" s="4"/>
      <c r="Q627" s="4"/>
    </row>
    <row r="628" spans="1:17" x14ac:dyDescent="0.25">
      <c r="A628" s="5"/>
      <c r="B628" s="5"/>
      <c r="C628" s="5"/>
      <c r="D628" s="5"/>
      <c r="E628" s="5"/>
      <c r="F628" s="5"/>
      <c r="G628" s="5"/>
      <c r="H628" s="5" t="s">
        <v>28</v>
      </c>
      <c r="I628" s="6">
        <v>44690</v>
      </c>
      <c r="J628" s="5"/>
      <c r="K628" s="5" t="s">
        <v>720</v>
      </c>
      <c r="L628" s="5"/>
      <c r="M628" s="5"/>
      <c r="N628" s="7"/>
      <c r="O628" s="5" t="s">
        <v>554</v>
      </c>
      <c r="P628" s="8">
        <v>377.68</v>
      </c>
      <c r="Q628" s="8">
        <f t="shared" ref="Q628:Q637" si="15">ROUND(Q627+P628,5)</f>
        <v>377.68</v>
      </c>
    </row>
    <row r="629" spans="1:17" x14ac:dyDescent="0.25">
      <c r="A629" s="5"/>
      <c r="B629" s="5"/>
      <c r="C629" s="5"/>
      <c r="D629" s="5"/>
      <c r="E629" s="5"/>
      <c r="F629" s="5"/>
      <c r="G629" s="5"/>
      <c r="H629" s="5" t="s">
        <v>28</v>
      </c>
      <c r="I629" s="6">
        <v>44713</v>
      </c>
      <c r="J629" s="5"/>
      <c r="K629" s="5"/>
      <c r="L629" s="5"/>
      <c r="M629" s="5"/>
      <c r="N629" s="7"/>
      <c r="O629" s="5" t="s">
        <v>554</v>
      </c>
      <c r="P629" s="8">
        <v>88</v>
      </c>
      <c r="Q629" s="8">
        <f t="shared" si="15"/>
        <v>465.68</v>
      </c>
    </row>
    <row r="630" spans="1:17" x14ac:dyDescent="0.25">
      <c r="A630" s="5"/>
      <c r="B630" s="5"/>
      <c r="C630" s="5"/>
      <c r="D630" s="5"/>
      <c r="E630" s="5"/>
      <c r="F630" s="5"/>
      <c r="G630" s="5"/>
      <c r="H630" s="5" t="s">
        <v>27</v>
      </c>
      <c r="I630" s="6">
        <v>44746</v>
      </c>
      <c r="J630" s="5"/>
      <c r="K630" s="5" t="s">
        <v>721</v>
      </c>
      <c r="L630" s="5"/>
      <c r="M630" s="5"/>
      <c r="N630" s="7"/>
      <c r="O630" s="5" t="s">
        <v>556</v>
      </c>
      <c r="P630" s="8">
        <v>88</v>
      </c>
      <c r="Q630" s="8">
        <f t="shared" si="15"/>
        <v>553.67999999999995</v>
      </c>
    </row>
    <row r="631" spans="1:17" x14ac:dyDescent="0.25">
      <c r="A631" s="5"/>
      <c r="B631" s="5"/>
      <c r="C631" s="5"/>
      <c r="D631" s="5"/>
      <c r="E631" s="5"/>
      <c r="F631" s="5"/>
      <c r="G631" s="5"/>
      <c r="H631" s="5" t="s">
        <v>27</v>
      </c>
      <c r="I631" s="6">
        <v>44746</v>
      </c>
      <c r="J631" s="5"/>
      <c r="K631" s="5" t="s">
        <v>721</v>
      </c>
      <c r="L631" s="5"/>
      <c r="M631" s="5"/>
      <c r="N631" s="7"/>
      <c r="O631" s="5" t="s">
        <v>556</v>
      </c>
      <c r="P631" s="8">
        <v>88</v>
      </c>
      <c r="Q631" s="8">
        <f t="shared" si="15"/>
        <v>641.67999999999995</v>
      </c>
    </row>
    <row r="632" spans="1:17" x14ac:dyDescent="0.25">
      <c r="A632" s="5"/>
      <c r="B632" s="5"/>
      <c r="C632" s="5"/>
      <c r="D632" s="5"/>
      <c r="E632" s="5"/>
      <c r="F632" s="5"/>
      <c r="G632" s="5"/>
      <c r="H632" s="5" t="s">
        <v>25</v>
      </c>
      <c r="I632" s="6">
        <v>44747</v>
      </c>
      <c r="J632" s="5" t="s">
        <v>620</v>
      </c>
      <c r="K632" s="5"/>
      <c r="L632" s="5"/>
      <c r="M632" s="5"/>
      <c r="N632" s="7"/>
      <c r="O632" s="5" t="s">
        <v>554</v>
      </c>
      <c r="P632" s="8">
        <v>-99.44</v>
      </c>
      <c r="Q632" s="8">
        <f t="shared" si="15"/>
        <v>542.24</v>
      </c>
    </row>
    <row r="633" spans="1:17" x14ac:dyDescent="0.25">
      <c r="A633" s="5"/>
      <c r="B633" s="5"/>
      <c r="C633" s="5"/>
      <c r="D633" s="5"/>
      <c r="E633" s="5"/>
      <c r="F633" s="5"/>
      <c r="G633" s="5"/>
      <c r="H633" s="5" t="s">
        <v>27</v>
      </c>
      <c r="I633" s="6">
        <v>44775</v>
      </c>
      <c r="J633" s="5"/>
      <c r="K633" s="5" t="s">
        <v>721</v>
      </c>
      <c r="L633" s="5"/>
      <c r="M633" s="5"/>
      <c r="N633" s="7"/>
      <c r="O633" s="5" t="s">
        <v>556</v>
      </c>
      <c r="P633" s="8">
        <v>88</v>
      </c>
      <c r="Q633" s="8">
        <f t="shared" si="15"/>
        <v>630.24</v>
      </c>
    </row>
    <row r="634" spans="1:17" x14ac:dyDescent="0.25">
      <c r="A634" s="5"/>
      <c r="B634" s="5"/>
      <c r="C634" s="5"/>
      <c r="D634" s="5"/>
      <c r="E634" s="5"/>
      <c r="F634" s="5"/>
      <c r="G634" s="5"/>
      <c r="H634" s="5" t="s">
        <v>28</v>
      </c>
      <c r="I634" s="6">
        <v>44805</v>
      </c>
      <c r="J634" s="5"/>
      <c r="K634" s="5" t="s">
        <v>720</v>
      </c>
      <c r="L634" s="5"/>
      <c r="M634" s="5"/>
      <c r="N634" s="7"/>
      <c r="O634" s="5" t="s">
        <v>554</v>
      </c>
      <c r="P634" s="8">
        <v>88</v>
      </c>
      <c r="Q634" s="8">
        <f t="shared" si="15"/>
        <v>718.24</v>
      </c>
    </row>
    <row r="635" spans="1:17" x14ac:dyDescent="0.25">
      <c r="A635" s="5"/>
      <c r="B635" s="5"/>
      <c r="C635" s="5"/>
      <c r="D635" s="5"/>
      <c r="E635" s="5"/>
      <c r="F635" s="5"/>
      <c r="G635" s="5"/>
      <c r="H635" s="5" t="s">
        <v>27</v>
      </c>
      <c r="I635" s="6">
        <v>44837</v>
      </c>
      <c r="J635" s="5"/>
      <c r="K635" s="5" t="s">
        <v>721</v>
      </c>
      <c r="L635" s="5"/>
      <c r="M635" s="5"/>
      <c r="N635" s="7"/>
      <c r="O635" s="5" t="s">
        <v>556</v>
      </c>
      <c r="P635" s="8">
        <v>88</v>
      </c>
      <c r="Q635" s="8">
        <f t="shared" si="15"/>
        <v>806.24</v>
      </c>
    </row>
    <row r="636" spans="1:17" x14ac:dyDescent="0.25">
      <c r="A636" s="5"/>
      <c r="B636" s="5"/>
      <c r="C636" s="5"/>
      <c r="D636" s="5"/>
      <c r="E636" s="5"/>
      <c r="F636" s="5"/>
      <c r="G636" s="5"/>
      <c r="H636" s="5" t="s">
        <v>27</v>
      </c>
      <c r="I636" s="6">
        <v>44867</v>
      </c>
      <c r="J636" s="5"/>
      <c r="K636" s="5" t="s">
        <v>720</v>
      </c>
      <c r="L636" s="5"/>
      <c r="M636" s="5"/>
      <c r="N636" s="7"/>
      <c r="O636" s="5" t="s">
        <v>556</v>
      </c>
      <c r="P636" s="8">
        <v>88</v>
      </c>
      <c r="Q636" s="8">
        <f t="shared" si="15"/>
        <v>894.24</v>
      </c>
    </row>
    <row r="637" spans="1:17" ht="15.75" thickBot="1" x14ac:dyDescent="0.3">
      <c r="A637" s="5"/>
      <c r="B637" s="5"/>
      <c r="C637" s="5"/>
      <c r="D637" s="5"/>
      <c r="E637" s="5"/>
      <c r="F637" s="5"/>
      <c r="G637" s="5"/>
      <c r="H637" s="5" t="s">
        <v>27</v>
      </c>
      <c r="I637" s="6">
        <v>44896</v>
      </c>
      <c r="J637" s="5"/>
      <c r="K637" s="5" t="s">
        <v>721</v>
      </c>
      <c r="L637" s="5"/>
      <c r="M637" s="5"/>
      <c r="N637" s="7"/>
      <c r="O637" s="5" t="s">
        <v>556</v>
      </c>
      <c r="P637" s="9">
        <v>88</v>
      </c>
      <c r="Q637" s="9">
        <f t="shared" si="15"/>
        <v>982.24</v>
      </c>
    </row>
    <row r="638" spans="1:17" x14ac:dyDescent="0.25">
      <c r="A638" s="5"/>
      <c r="B638" s="5"/>
      <c r="C638" s="5"/>
      <c r="D638" s="5"/>
      <c r="E638" s="5" t="s">
        <v>585</v>
      </c>
      <c r="F638" s="5"/>
      <c r="G638" s="5"/>
      <c r="H638" s="5"/>
      <c r="I638" s="6"/>
      <c r="J638" s="5"/>
      <c r="K638" s="5"/>
      <c r="L638" s="5"/>
      <c r="M638" s="5"/>
      <c r="N638" s="5"/>
      <c r="O638" s="5"/>
      <c r="P638" s="8">
        <f>ROUND(SUM(P627:P637),5)</f>
        <v>982.24</v>
      </c>
      <c r="Q638" s="8">
        <f>Q637</f>
        <v>982.24</v>
      </c>
    </row>
    <row r="639" spans="1:17" x14ac:dyDescent="0.25">
      <c r="A639" s="2"/>
      <c r="B639" s="2"/>
      <c r="C639" s="2"/>
      <c r="D639" s="2"/>
      <c r="E639" s="2" t="s">
        <v>586</v>
      </c>
      <c r="F639" s="2"/>
      <c r="G639" s="2"/>
      <c r="H639" s="2"/>
      <c r="I639" s="3"/>
      <c r="J639" s="2"/>
      <c r="K639" s="2"/>
      <c r="L639" s="2"/>
      <c r="M639" s="2"/>
      <c r="N639" s="2"/>
      <c r="O639" s="2"/>
      <c r="P639" s="4"/>
      <c r="Q639" s="4"/>
    </row>
    <row r="640" spans="1:17" ht="15.75" thickBot="1" x14ac:dyDescent="0.3">
      <c r="A640" s="1"/>
      <c r="B640" s="1"/>
      <c r="C640" s="1"/>
      <c r="D640" s="1"/>
      <c r="E640" s="1"/>
      <c r="F640" s="5"/>
      <c r="G640" s="5"/>
      <c r="H640" s="5" t="s">
        <v>27</v>
      </c>
      <c r="I640" s="6">
        <v>44833</v>
      </c>
      <c r="J640" s="5"/>
      <c r="K640" s="5" t="s">
        <v>447</v>
      </c>
      <c r="L640" s="5"/>
      <c r="M640" s="5"/>
      <c r="N640" s="7"/>
      <c r="O640" s="5" t="s">
        <v>556</v>
      </c>
      <c r="P640" s="9">
        <v>1145.07</v>
      </c>
      <c r="Q640" s="9">
        <f>ROUND(Q639+P640,5)</f>
        <v>1145.07</v>
      </c>
    </row>
    <row r="641" spans="1:17" x14ac:dyDescent="0.25">
      <c r="A641" s="5"/>
      <c r="B641" s="5"/>
      <c r="C641" s="5"/>
      <c r="D641" s="5"/>
      <c r="E641" s="5" t="s">
        <v>587</v>
      </c>
      <c r="F641" s="5"/>
      <c r="G641" s="5"/>
      <c r="H641" s="5"/>
      <c r="I641" s="6"/>
      <c r="J641" s="5"/>
      <c r="K641" s="5"/>
      <c r="L641" s="5"/>
      <c r="M641" s="5"/>
      <c r="N641" s="5"/>
      <c r="O641" s="5"/>
      <c r="P641" s="8">
        <f>ROUND(SUM(P639:P640),5)</f>
        <v>1145.07</v>
      </c>
      <c r="Q641" s="8">
        <f>Q640</f>
        <v>1145.07</v>
      </c>
    </row>
    <row r="642" spans="1:17" x14ac:dyDescent="0.25">
      <c r="A642" s="2"/>
      <c r="B642" s="2"/>
      <c r="C642" s="2"/>
      <c r="D642" s="2"/>
      <c r="E642" s="2" t="s">
        <v>588</v>
      </c>
      <c r="F642" s="2"/>
      <c r="G642" s="2"/>
      <c r="H642" s="2"/>
      <c r="I642" s="3"/>
      <c r="J642" s="2"/>
      <c r="K642" s="2"/>
      <c r="L642" s="2"/>
      <c r="M642" s="2"/>
      <c r="N642" s="2"/>
      <c r="O642" s="2"/>
      <c r="P642" s="4"/>
      <c r="Q642" s="4"/>
    </row>
    <row r="643" spans="1:17" x14ac:dyDescent="0.25">
      <c r="A643" s="5"/>
      <c r="B643" s="5"/>
      <c r="C643" s="5"/>
      <c r="D643" s="5"/>
      <c r="E643" s="5"/>
      <c r="F643" s="5"/>
      <c r="G643" s="5"/>
      <c r="H643" s="5" t="s">
        <v>28</v>
      </c>
      <c r="I643" s="6">
        <v>44672</v>
      </c>
      <c r="J643" s="5"/>
      <c r="K643" s="5" t="s">
        <v>722</v>
      </c>
      <c r="L643" s="5"/>
      <c r="M643" s="5"/>
      <c r="N643" s="7"/>
      <c r="O643" s="5" t="s">
        <v>554</v>
      </c>
      <c r="P643" s="8">
        <v>40</v>
      </c>
      <c r="Q643" s="8">
        <f t="shared" ref="Q643:Q651" si="16">ROUND(Q642+P643,5)</f>
        <v>40</v>
      </c>
    </row>
    <row r="644" spans="1:17" x14ac:dyDescent="0.25">
      <c r="A644" s="5"/>
      <c r="B644" s="5"/>
      <c r="C644" s="5"/>
      <c r="D644" s="5"/>
      <c r="E644" s="5"/>
      <c r="F644" s="5"/>
      <c r="G644" s="5"/>
      <c r="H644" s="5" t="s">
        <v>28</v>
      </c>
      <c r="I644" s="6">
        <v>44683</v>
      </c>
      <c r="J644" s="5"/>
      <c r="K644" s="5" t="s">
        <v>722</v>
      </c>
      <c r="L644" s="5"/>
      <c r="M644" s="5"/>
      <c r="N644" s="7"/>
      <c r="O644" s="5" t="s">
        <v>554</v>
      </c>
      <c r="P644" s="8">
        <v>40</v>
      </c>
      <c r="Q644" s="8">
        <f t="shared" si="16"/>
        <v>80</v>
      </c>
    </row>
    <row r="645" spans="1:17" x14ac:dyDescent="0.25">
      <c r="A645" s="5"/>
      <c r="B645" s="5"/>
      <c r="C645" s="5"/>
      <c r="D645" s="5"/>
      <c r="E645" s="5"/>
      <c r="F645" s="5"/>
      <c r="G645" s="5"/>
      <c r="H645" s="5" t="s">
        <v>28</v>
      </c>
      <c r="I645" s="6">
        <v>44714</v>
      </c>
      <c r="J645" s="5"/>
      <c r="K645" s="5" t="s">
        <v>722</v>
      </c>
      <c r="L645" s="5"/>
      <c r="M645" s="5"/>
      <c r="N645" s="7"/>
      <c r="O645" s="5" t="s">
        <v>554</v>
      </c>
      <c r="P645" s="8">
        <v>40</v>
      </c>
      <c r="Q645" s="8">
        <f t="shared" si="16"/>
        <v>120</v>
      </c>
    </row>
    <row r="646" spans="1:17" x14ac:dyDescent="0.25">
      <c r="A646" s="5"/>
      <c r="B646" s="5"/>
      <c r="C646" s="5"/>
      <c r="D646" s="5"/>
      <c r="E646" s="5"/>
      <c r="F646" s="5"/>
      <c r="G646" s="5"/>
      <c r="H646" s="5" t="s">
        <v>27</v>
      </c>
      <c r="I646" s="6">
        <v>44746</v>
      </c>
      <c r="J646" s="5"/>
      <c r="K646" s="5" t="s">
        <v>722</v>
      </c>
      <c r="L646" s="5"/>
      <c r="M646" s="5"/>
      <c r="N646" s="7"/>
      <c r="O646" s="5" t="s">
        <v>556</v>
      </c>
      <c r="P646" s="8">
        <v>40</v>
      </c>
      <c r="Q646" s="8">
        <f t="shared" si="16"/>
        <v>160</v>
      </c>
    </row>
    <row r="647" spans="1:17" x14ac:dyDescent="0.25">
      <c r="A647" s="5"/>
      <c r="B647" s="5"/>
      <c r="C647" s="5"/>
      <c r="D647" s="5"/>
      <c r="E647" s="5"/>
      <c r="F647" s="5"/>
      <c r="G647" s="5"/>
      <c r="H647" s="5" t="s">
        <v>27</v>
      </c>
      <c r="I647" s="6">
        <v>44776</v>
      </c>
      <c r="J647" s="5"/>
      <c r="K647" s="5" t="s">
        <v>722</v>
      </c>
      <c r="L647" s="5"/>
      <c r="M647" s="5"/>
      <c r="N647" s="7"/>
      <c r="O647" s="5" t="s">
        <v>556</v>
      </c>
      <c r="P647" s="8">
        <v>40</v>
      </c>
      <c r="Q647" s="8">
        <f t="shared" si="16"/>
        <v>200</v>
      </c>
    </row>
    <row r="648" spans="1:17" x14ac:dyDescent="0.25">
      <c r="A648" s="5"/>
      <c r="B648" s="5"/>
      <c r="C648" s="5"/>
      <c r="D648" s="5"/>
      <c r="E648" s="5"/>
      <c r="F648" s="5"/>
      <c r="G648" s="5"/>
      <c r="H648" s="5" t="s">
        <v>28</v>
      </c>
      <c r="I648" s="6">
        <v>44806</v>
      </c>
      <c r="J648" s="5"/>
      <c r="K648" s="5" t="s">
        <v>722</v>
      </c>
      <c r="L648" s="5"/>
      <c r="M648" s="5"/>
      <c r="N648" s="7"/>
      <c r="O648" s="5" t="s">
        <v>554</v>
      </c>
      <c r="P648" s="8">
        <v>40</v>
      </c>
      <c r="Q648" s="8">
        <f t="shared" si="16"/>
        <v>240</v>
      </c>
    </row>
    <row r="649" spans="1:17" x14ac:dyDescent="0.25">
      <c r="A649" s="5"/>
      <c r="B649" s="5"/>
      <c r="C649" s="5"/>
      <c r="D649" s="5"/>
      <c r="E649" s="5"/>
      <c r="F649" s="5"/>
      <c r="G649" s="5"/>
      <c r="H649" s="5" t="s">
        <v>27</v>
      </c>
      <c r="I649" s="6">
        <v>44837</v>
      </c>
      <c r="J649" s="5"/>
      <c r="K649" s="5" t="s">
        <v>722</v>
      </c>
      <c r="L649" s="5"/>
      <c r="M649" s="5"/>
      <c r="N649" s="7"/>
      <c r="O649" s="5" t="s">
        <v>556</v>
      </c>
      <c r="P649" s="8">
        <v>40</v>
      </c>
      <c r="Q649" s="8">
        <f t="shared" si="16"/>
        <v>280</v>
      </c>
    </row>
    <row r="650" spans="1:17" x14ac:dyDescent="0.25">
      <c r="A650" s="5"/>
      <c r="B650" s="5"/>
      <c r="C650" s="5"/>
      <c r="D650" s="5"/>
      <c r="E650" s="5"/>
      <c r="F650" s="5"/>
      <c r="G650" s="5"/>
      <c r="H650" s="5" t="s">
        <v>27</v>
      </c>
      <c r="I650" s="6">
        <v>44867</v>
      </c>
      <c r="J650" s="5"/>
      <c r="K650" s="5" t="s">
        <v>722</v>
      </c>
      <c r="L650" s="5"/>
      <c r="M650" s="5"/>
      <c r="N650" s="7"/>
      <c r="O650" s="5" t="s">
        <v>556</v>
      </c>
      <c r="P650" s="8">
        <v>40</v>
      </c>
      <c r="Q650" s="8">
        <f t="shared" si="16"/>
        <v>320</v>
      </c>
    </row>
    <row r="651" spans="1:17" ht="15.75" thickBot="1" x14ac:dyDescent="0.3">
      <c r="A651" s="5"/>
      <c r="B651" s="5"/>
      <c r="C651" s="5"/>
      <c r="D651" s="5"/>
      <c r="E651" s="5"/>
      <c r="F651" s="5"/>
      <c r="G651" s="5"/>
      <c r="H651" s="5" t="s">
        <v>27</v>
      </c>
      <c r="I651" s="6">
        <v>44897</v>
      </c>
      <c r="J651" s="5"/>
      <c r="K651" s="5" t="s">
        <v>722</v>
      </c>
      <c r="L651" s="5"/>
      <c r="M651" s="5"/>
      <c r="N651" s="7"/>
      <c r="O651" s="5" t="s">
        <v>556</v>
      </c>
      <c r="P651" s="9">
        <v>40</v>
      </c>
      <c r="Q651" s="9">
        <f t="shared" si="16"/>
        <v>360</v>
      </c>
    </row>
    <row r="652" spans="1:17" x14ac:dyDescent="0.25">
      <c r="A652" s="5"/>
      <c r="B652" s="5"/>
      <c r="C652" s="5"/>
      <c r="D652" s="5"/>
      <c r="E652" s="5" t="s">
        <v>589</v>
      </c>
      <c r="F652" s="5"/>
      <c r="G652" s="5"/>
      <c r="H652" s="5"/>
      <c r="I652" s="6"/>
      <c r="J652" s="5"/>
      <c r="K652" s="5"/>
      <c r="L652" s="5"/>
      <c r="M652" s="5"/>
      <c r="N652" s="5"/>
      <c r="O652" s="5"/>
      <c r="P652" s="8">
        <f>ROUND(SUM(P642:P651),5)</f>
        <v>360</v>
      </c>
      <c r="Q652" s="8">
        <f>Q651</f>
        <v>360</v>
      </c>
    </row>
    <row r="653" spans="1:17" x14ac:dyDescent="0.25">
      <c r="A653" s="2"/>
      <c r="B653" s="2"/>
      <c r="C653" s="2"/>
      <c r="D653" s="2"/>
      <c r="E653" s="2" t="s">
        <v>590</v>
      </c>
      <c r="F653" s="2"/>
      <c r="G653" s="2"/>
      <c r="H653" s="2"/>
      <c r="I653" s="3"/>
      <c r="J653" s="2"/>
      <c r="K653" s="2"/>
      <c r="L653" s="2"/>
      <c r="M653" s="2"/>
      <c r="N653" s="2"/>
      <c r="O653" s="2"/>
      <c r="P653" s="4"/>
      <c r="Q653" s="4"/>
    </row>
    <row r="654" spans="1:17" x14ac:dyDescent="0.25">
      <c r="A654" s="5"/>
      <c r="B654" s="5"/>
      <c r="C654" s="5"/>
      <c r="D654" s="5"/>
      <c r="E654" s="5"/>
      <c r="F654" s="5"/>
      <c r="G654" s="5"/>
      <c r="H654" s="5" t="s">
        <v>27</v>
      </c>
      <c r="I654" s="6">
        <v>44671</v>
      </c>
      <c r="J654" s="5" t="s">
        <v>621</v>
      </c>
      <c r="K654" s="5" t="s">
        <v>723</v>
      </c>
      <c r="L654" s="5"/>
      <c r="M654" s="5"/>
      <c r="N654" s="7"/>
      <c r="O654" s="5" t="s">
        <v>556</v>
      </c>
      <c r="P654" s="8">
        <v>210</v>
      </c>
      <c r="Q654" s="8">
        <f t="shared" ref="Q654:Q665" si="17">ROUND(Q653+P654,5)</f>
        <v>210</v>
      </c>
    </row>
    <row r="655" spans="1:17" x14ac:dyDescent="0.25">
      <c r="A655" s="5"/>
      <c r="B655" s="5"/>
      <c r="C655" s="5"/>
      <c r="D655" s="5"/>
      <c r="E655" s="5"/>
      <c r="F655" s="5"/>
      <c r="G655" s="5"/>
      <c r="H655" s="5" t="s">
        <v>27</v>
      </c>
      <c r="I655" s="6">
        <v>44690</v>
      </c>
      <c r="J655" s="5"/>
      <c r="K655" s="5" t="s">
        <v>723</v>
      </c>
      <c r="L655" s="5"/>
      <c r="M655" s="5"/>
      <c r="N655" s="7"/>
      <c r="O655" s="5" t="s">
        <v>556</v>
      </c>
      <c r="P655" s="8">
        <v>210</v>
      </c>
      <c r="Q655" s="8">
        <f t="shared" si="17"/>
        <v>420</v>
      </c>
    </row>
    <row r="656" spans="1:17" x14ac:dyDescent="0.25">
      <c r="A656" s="5"/>
      <c r="B656" s="5"/>
      <c r="C656" s="5"/>
      <c r="D656" s="5"/>
      <c r="E656" s="5"/>
      <c r="F656" s="5"/>
      <c r="G656" s="5"/>
      <c r="H656" s="5" t="s">
        <v>27</v>
      </c>
      <c r="I656" s="6">
        <v>44698</v>
      </c>
      <c r="J656" s="5"/>
      <c r="K656" s="5" t="s">
        <v>723</v>
      </c>
      <c r="L656" s="5"/>
      <c r="M656" s="5"/>
      <c r="N656" s="7"/>
      <c r="O656" s="5" t="s">
        <v>556</v>
      </c>
      <c r="P656" s="8">
        <v>210</v>
      </c>
      <c r="Q656" s="8">
        <f t="shared" si="17"/>
        <v>630</v>
      </c>
    </row>
    <row r="657" spans="1:17" x14ac:dyDescent="0.25">
      <c r="A657" s="5"/>
      <c r="B657" s="5"/>
      <c r="C657" s="5"/>
      <c r="D657" s="5"/>
      <c r="E657" s="5"/>
      <c r="F657" s="5"/>
      <c r="G657" s="5"/>
      <c r="H657" s="5" t="s">
        <v>28</v>
      </c>
      <c r="I657" s="6">
        <v>44732</v>
      </c>
      <c r="J657" s="5"/>
      <c r="K657" s="5" t="s">
        <v>723</v>
      </c>
      <c r="L657" s="5"/>
      <c r="M657" s="5"/>
      <c r="N657" s="7"/>
      <c r="O657" s="5" t="s">
        <v>554</v>
      </c>
      <c r="P657" s="8">
        <v>420</v>
      </c>
      <c r="Q657" s="8">
        <f t="shared" si="17"/>
        <v>1050</v>
      </c>
    </row>
    <row r="658" spans="1:17" x14ac:dyDescent="0.25">
      <c r="A658" s="5"/>
      <c r="B658" s="5"/>
      <c r="C658" s="5"/>
      <c r="D658" s="5"/>
      <c r="E658" s="5"/>
      <c r="F658" s="5"/>
      <c r="G658" s="5"/>
      <c r="H658" s="5" t="s">
        <v>27</v>
      </c>
      <c r="I658" s="6">
        <v>44748</v>
      </c>
      <c r="J658" s="5"/>
      <c r="K658" s="5" t="s">
        <v>723</v>
      </c>
      <c r="L658" s="5"/>
      <c r="M658" s="5"/>
      <c r="N658" s="7"/>
      <c r="O658" s="5" t="s">
        <v>556</v>
      </c>
      <c r="P658" s="8">
        <v>105</v>
      </c>
      <c r="Q658" s="8">
        <f t="shared" si="17"/>
        <v>1155</v>
      </c>
    </row>
    <row r="659" spans="1:17" x14ac:dyDescent="0.25">
      <c r="A659" s="5"/>
      <c r="B659" s="5"/>
      <c r="C659" s="5"/>
      <c r="D659" s="5"/>
      <c r="E659" s="5"/>
      <c r="F659" s="5"/>
      <c r="G659" s="5"/>
      <c r="H659" s="5" t="s">
        <v>27</v>
      </c>
      <c r="I659" s="6">
        <v>44753</v>
      </c>
      <c r="J659" s="5"/>
      <c r="K659" s="5" t="s">
        <v>723</v>
      </c>
      <c r="L659" s="5"/>
      <c r="M659" s="5"/>
      <c r="N659" s="7"/>
      <c r="O659" s="5" t="s">
        <v>556</v>
      </c>
      <c r="P659" s="8">
        <v>105</v>
      </c>
      <c r="Q659" s="8">
        <f t="shared" si="17"/>
        <v>1260</v>
      </c>
    </row>
    <row r="660" spans="1:17" x14ac:dyDescent="0.25">
      <c r="A660" s="5"/>
      <c r="B660" s="5"/>
      <c r="C660" s="5"/>
      <c r="D660" s="5"/>
      <c r="E660" s="5"/>
      <c r="F660" s="5"/>
      <c r="G660" s="5"/>
      <c r="H660" s="5" t="s">
        <v>27</v>
      </c>
      <c r="I660" s="6">
        <v>44781</v>
      </c>
      <c r="J660" s="5"/>
      <c r="K660" s="5" t="s">
        <v>723</v>
      </c>
      <c r="L660" s="5"/>
      <c r="M660" s="5"/>
      <c r="N660" s="7"/>
      <c r="O660" s="5" t="s">
        <v>556</v>
      </c>
      <c r="P660" s="8">
        <v>420</v>
      </c>
      <c r="Q660" s="8">
        <f t="shared" si="17"/>
        <v>1680</v>
      </c>
    </row>
    <row r="661" spans="1:17" x14ac:dyDescent="0.25">
      <c r="A661" s="5"/>
      <c r="B661" s="5"/>
      <c r="C661" s="5"/>
      <c r="D661" s="5"/>
      <c r="E661" s="5"/>
      <c r="F661" s="5"/>
      <c r="G661" s="5"/>
      <c r="H661" s="5" t="s">
        <v>27</v>
      </c>
      <c r="I661" s="6">
        <v>44782</v>
      </c>
      <c r="J661" s="5"/>
      <c r="K661" s="5" t="s">
        <v>723</v>
      </c>
      <c r="L661" s="5"/>
      <c r="M661" s="5"/>
      <c r="N661" s="7"/>
      <c r="O661" s="5" t="s">
        <v>556</v>
      </c>
      <c r="P661" s="8">
        <v>420</v>
      </c>
      <c r="Q661" s="8">
        <f t="shared" si="17"/>
        <v>2100</v>
      </c>
    </row>
    <row r="662" spans="1:17" x14ac:dyDescent="0.25">
      <c r="A662" s="5"/>
      <c r="B662" s="5"/>
      <c r="C662" s="5"/>
      <c r="D662" s="5"/>
      <c r="E662" s="5"/>
      <c r="F662" s="5"/>
      <c r="G662" s="5"/>
      <c r="H662" s="5" t="s">
        <v>27</v>
      </c>
      <c r="I662" s="6">
        <v>44792</v>
      </c>
      <c r="J662" s="5"/>
      <c r="K662" s="5" t="s">
        <v>723</v>
      </c>
      <c r="L662" s="5"/>
      <c r="M662" s="5"/>
      <c r="N662" s="7"/>
      <c r="O662" s="5" t="s">
        <v>556</v>
      </c>
      <c r="P662" s="8">
        <v>210</v>
      </c>
      <c r="Q662" s="8">
        <f t="shared" si="17"/>
        <v>2310</v>
      </c>
    </row>
    <row r="663" spans="1:17" x14ac:dyDescent="0.25">
      <c r="A663" s="5"/>
      <c r="B663" s="5"/>
      <c r="C663" s="5"/>
      <c r="D663" s="5"/>
      <c r="E663" s="5"/>
      <c r="F663" s="5"/>
      <c r="G663" s="5"/>
      <c r="H663" s="5" t="s">
        <v>25</v>
      </c>
      <c r="I663" s="6">
        <v>44811</v>
      </c>
      <c r="J663" s="5" t="s">
        <v>622</v>
      </c>
      <c r="K663" s="5"/>
      <c r="L663" s="5"/>
      <c r="M663" s="5"/>
      <c r="N663" s="7"/>
      <c r="O663" s="5" t="s">
        <v>554</v>
      </c>
      <c r="P663" s="8">
        <v>-474.6</v>
      </c>
      <c r="Q663" s="8">
        <f t="shared" si="17"/>
        <v>1835.4</v>
      </c>
    </row>
    <row r="664" spans="1:17" x14ac:dyDescent="0.25">
      <c r="A664" s="5"/>
      <c r="B664" s="5"/>
      <c r="C664" s="5"/>
      <c r="D664" s="5"/>
      <c r="E664" s="5"/>
      <c r="F664" s="5"/>
      <c r="G664" s="5"/>
      <c r="H664" s="5" t="s">
        <v>28</v>
      </c>
      <c r="I664" s="6">
        <v>44818</v>
      </c>
      <c r="J664" s="5"/>
      <c r="K664" s="5" t="s">
        <v>723</v>
      </c>
      <c r="L664" s="5"/>
      <c r="M664" s="5"/>
      <c r="N664" s="7"/>
      <c r="O664" s="5" t="s">
        <v>554</v>
      </c>
      <c r="P664" s="8">
        <v>355.95</v>
      </c>
      <c r="Q664" s="8">
        <f t="shared" si="17"/>
        <v>2191.35</v>
      </c>
    </row>
    <row r="665" spans="1:17" ht="15.75" thickBot="1" x14ac:dyDescent="0.3">
      <c r="A665" s="5"/>
      <c r="B665" s="5"/>
      <c r="C665" s="5"/>
      <c r="D665" s="5"/>
      <c r="E665" s="5"/>
      <c r="F665" s="5"/>
      <c r="G665" s="5"/>
      <c r="H665" s="5" t="s">
        <v>27</v>
      </c>
      <c r="I665" s="6">
        <v>44859</v>
      </c>
      <c r="J665" s="5"/>
      <c r="K665" s="5" t="s">
        <v>723</v>
      </c>
      <c r="L665" s="5"/>
      <c r="M665" s="5"/>
      <c r="N665" s="7"/>
      <c r="O665" s="5" t="s">
        <v>556</v>
      </c>
      <c r="P665" s="9">
        <v>630</v>
      </c>
      <c r="Q665" s="9">
        <f t="shared" si="17"/>
        <v>2821.35</v>
      </c>
    </row>
    <row r="666" spans="1:17" x14ac:dyDescent="0.25">
      <c r="A666" s="5"/>
      <c r="B666" s="5"/>
      <c r="C666" s="5"/>
      <c r="D666" s="5"/>
      <c r="E666" s="5" t="s">
        <v>591</v>
      </c>
      <c r="F666" s="5"/>
      <c r="G666" s="5"/>
      <c r="H666" s="5"/>
      <c r="I666" s="6"/>
      <c r="J666" s="5"/>
      <c r="K666" s="5"/>
      <c r="L666" s="5"/>
      <c r="M666" s="5"/>
      <c r="N666" s="5"/>
      <c r="O666" s="5"/>
      <c r="P666" s="8">
        <f>ROUND(SUM(P653:P665),5)</f>
        <v>2821.35</v>
      </c>
      <c r="Q666" s="8">
        <f>Q665</f>
        <v>2821.35</v>
      </c>
    </row>
    <row r="667" spans="1:17" x14ac:dyDescent="0.25">
      <c r="A667" s="2"/>
      <c r="B667" s="2"/>
      <c r="C667" s="2"/>
      <c r="D667" s="2"/>
      <c r="E667" s="2" t="s">
        <v>592</v>
      </c>
      <c r="F667" s="2"/>
      <c r="G667" s="2"/>
      <c r="H667" s="2"/>
      <c r="I667" s="3"/>
      <c r="J667" s="2"/>
      <c r="K667" s="2"/>
      <c r="L667" s="2"/>
      <c r="M667" s="2"/>
      <c r="N667" s="2"/>
      <c r="O667" s="2"/>
      <c r="P667" s="4"/>
      <c r="Q667" s="4"/>
    </row>
    <row r="668" spans="1:17" x14ac:dyDescent="0.25">
      <c r="A668" s="5"/>
      <c r="B668" s="5"/>
      <c r="C668" s="5"/>
      <c r="D668" s="5"/>
      <c r="E668" s="5"/>
      <c r="F668" s="5"/>
      <c r="G668" s="5"/>
      <c r="H668" s="5" t="s">
        <v>28</v>
      </c>
      <c r="I668" s="6">
        <v>44670</v>
      </c>
      <c r="J668" s="5" t="s">
        <v>623</v>
      </c>
      <c r="K668" s="5" t="s">
        <v>724</v>
      </c>
      <c r="L668" s="5" t="s">
        <v>755</v>
      </c>
      <c r="M668" s="5"/>
      <c r="N668" s="7"/>
      <c r="O668" s="5" t="s">
        <v>554</v>
      </c>
      <c r="P668" s="8">
        <v>815.07</v>
      </c>
      <c r="Q668" s="8">
        <f t="shared" ref="Q668:Q694" si="18">ROUND(Q667+P668,5)</f>
        <v>815.07</v>
      </c>
    </row>
    <row r="669" spans="1:17" x14ac:dyDescent="0.25">
      <c r="A669" s="5"/>
      <c r="B669" s="5"/>
      <c r="C669" s="5"/>
      <c r="D669" s="5"/>
      <c r="E669" s="5"/>
      <c r="F669" s="5"/>
      <c r="G669" s="5"/>
      <c r="H669" s="5" t="s">
        <v>28</v>
      </c>
      <c r="I669" s="6">
        <v>44684</v>
      </c>
      <c r="J669" s="5"/>
      <c r="K669" s="5" t="s">
        <v>724</v>
      </c>
      <c r="L669" s="5" t="s">
        <v>756</v>
      </c>
      <c r="M669" s="5"/>
      <c r="N669" s="7"/>
      <c r="O669" s="5" t="s">
        <v>554</v>
      </c>
      <c r="P669" s="8">
        <v>114.53</v>
      </c>
      <c r="Q669" s="8">
        <f t="shared" si="18"/>
        <v>929.6</v>
      </c>
    </row>
    <row r="670" spans="1:17" x14ac:dyDescent="0.25">
      <c r="A670" s="5"/>
      <c r="B670" s="5"/>
      <c r="C670" s="5"/>
      <c r="D670" s="5"/>
      <c r="E670" s="5"/>
      <c r="F670" s="5"/>
      <c r="G670" s="5"/>
      <c r="H670" s="5" t="s">
        <v>27</v>
      </c>
      <c r="I670" s="6">
        <v>44686</v>
      </c>
      <c r="J670" s="5"/>
      <c r="K670" s="5" t="s">
        <v>725</v>
      </c>
      <c r="L670" s="5"/>
      <c r="M670" s="5"/>
      <c r="N670" s="7"/>
      <c r="O670" s="5" t="s">
        <v>556</v>
      </c>
      <c r="P670" s="8">
        <v>500</v>
      </c>
      <c r="Q670" s="8">
        <f t="shared" si="18"/>
        <v>1429.6</v>
      </c>
    </row>
    <row r="671" spans="1:17" x14ac:dyDescent="0.25">
      <c r="A671" s="5"/>
      <c r="B671" s="5"/>
      <c r="C671" s="5"/>
      <c r="D671" s="5"/>
      <c r="E671" s="5"/>
      <c r="F671" s="5"/>
      <c r="G671" s="5"/>
      <c r="H671" s="5" t="s">
        <v>26</v>
      </c>
      <c r="I671" s="6">
        <v>44698</v>
      </c>
      <c r="J671" s="5"/>
      <c r="K671" s="5" t="s">
        <v>726</v>
      </c>
      <c r="L671" s="5"/>
      <c r="M671" s="5"/>
      <c r="N671" s="7"/>
      <c r="O671" s="5" t="s">
        <v>555</v>
      </c>
      <c r="P671" s="8">
        <v>634.24</v>
      </c>
      <c r="Q671" s="8">
        <f t="shared" si="18"/>
        <v>2063.84</v>
      </c>
    </row>
    <row r="672" spans="1:17" x14ac:dyDescent="0.25">
      <c r="A672" s="5"/>
      <c r="B672" s="5"/>
      <c r="C672" s="5"/>
      <c r="D672" s="5"/>
      <c r="E672" s="5"/>
      <c r="F672" s="5"/>
      <c r="G672" s="5"/>
      <c r="H672" s="5" t="s">
        <v>27</v>
      </c>
      <c r="I672" s="6">
        <v>44699</v>
      </c>
      <c r="J672" s="5"/>
      <c r="K672" s="5" t="s">
        <v>725</v>
      </c>
      <c r="L672" s="5"/>
      <c r="M672" s="5"/>
      <c r="N672" s="7"/>
      <c r="O672" s="5" t="s">
        <v>556</v>
      </c>
      <c r="P672" s="8">
        <v>2990.82</v>
      </c>
      <c r="Q672" s="8">
        <f t="shared" si="18"/>
        <v>5054.66</v>
      </c>
    </row>
    <row r="673" spans="1:17" x14ac:dyDescent="0.25">
      <c r="A673" s="5"/>
      <c r="B673" s="5"/>
      <c r="C673" s="5"/>
      <c r="D673" s="5"/>
      <c r="E673" s="5"/>
      <c r="F673" s="5"/>
      <c r="G673" s="5"/>
      <c r="H673" s="5" t="s">
        <v>26</v>
      </c>
      <c r="I673" s="6">
        <v>44699</v>
      </c>
      <c r="J673" s="5"/>
      <c r="K673" s="5" t="s">
        <v>727</v>
      </c>
      <c r="L673" s="5"/>
      <c r="M673" s="5"/>
      <c r="N673" s="7"/>
      <c r="O673" s="5" t="s">
        <v>555</v>
      </c>
      <c r="P673" s="8">
        <v>41.18</v>
      </c>
      <c r="Q673" s="8">
        <f t="shared" si="18"/>
        <v>5095.84</v>
      </c>
    </row>
    <row r="674" spans="1:17" x14ac:dyDescent="0.25">
      <c r="A674" s="5"/>
      <c r="B674" s="5"/>
      <c r="C674" s="5"/>
      <c r="D674" s="5"/>
      <c r="E674" s="5"/>
      <c r="F674" s="5"/>
      <c r="G674" s="5"/>
      <c r="H674" s="5" t="s">
        <v>28</v>
      </c>
      <c r="I674" s="6">
        <v>44701</v>
      </c>
      <c r="J674" s="5" t="s">
        <v>624</v>
      </c>
      <c r="K674" s="5" t="s">
        <v>728</v>
      </c>
      <c r="L674" s="5"/>
      <c r="M674" s="5"/>
      <c r="N674" s="7"/>
      <c r="O674" s="5" t="s">
        <v>554</v>
      </c>
      <c r="P674" s="8">
        <v>3805.31</v>
      </c>
      <c r="Q674" s="8">
        <f t="shared" si="18"/>
        <v>8901.15</v>
      </c>
    </row>
    <row r="675" spans="1:17" x14ac:dyDescent="0.25">
      <c r="A675" s="5"/>
      <c r="B675" s="5"/>
      <c r="C675" s="5"/>
      <c r="D675" s="5"/>
      <c r="E675" s="5"/>
      <c r="F675" s="5"/>
      <c r="G675" s="5"/>
      <c r="H675" s="5" t="s">
        <v>595</v>
      </c>
      <c r="I675" s="6">
        <v>44705</v>
      </c>
      <c r="J675" s="5"/>
      <c r="K675" s="5" t="s">
        <v>726</v>
      </c>
      <c r="L675" s="5"/>
      <c r="M675" s="5"/>
      <c r="N675" s="7"/>
      <c r="O675" s="5" t="s">
        <v>555</v>
      </c>
      <c r="P675" s="8">
        <v>-299.99</v>
      </c>
      <c r="Q675" s="8">
        <f t="shared" si="18"/>
        <v>8601.16</v>
      </c>
    </row>
    <row r="676" spans="1:17" x14ac:dyDescent="0.25">
      <c r="A676" s="5"/>
      <c r="B676" s="5"/>
      <c r="C676" s="5"/>
      <c r="D676" s="5"/>
      <c r="E676" s="5"/>
      <c r="F676" s="5"/>
      <c r="G676" s="5"/>
      <c r="H676" s="5" t="s">
        <v>28</v>
      </c>
      <c r="I676" s="6">
        <v>44725</v>
      </c>
      <c r="J676" s="5" t="s">
        <v>625</v>
      </c>
      <c r="K676" s="5" t="s">
        <v>729</v>
      </c>
      <c r="L676" s="5" t="s">
        <v>757</v>
      </c>
      <c r="M676" s="5"/>
      <c r="N676" s="7"/>
      <c r="O676" s="5" t="s">
        <v>554</v>
      </c>
      <c r="P676" s="8">
        <v>3258.34</v>
      </c>
      <c r="Q676" s="8">
        <f t="shared" si="18"/>
        <v>11859.5</v>
      </c>
    </row>
    <row r="677" spans="1:17" x14ac:dyDescent="0.25">
      <c r="A677" s="5"/>
      <c r="B677" s="5"/>
      <c r="C677" s="5"/>
      <c r="D677" s="5"/>
      <c r="E677" s="5"/>
      <c r="F677" s="5"/>
      <c r="G677" s="5"/>
      <c r="H677" s="5" t="s">
        <v>28</v>
      </c>
      <c r="I677" s="6">
        <v>44725</v>
      </c>
      <c r="J677" s="5" t="s">
        <v>626</v>
      </c>
      <c r="K677" s="5" t="s">
        <v>441</v>
      </c>
      <c r="L677" s="5"/>
      <c r="M677" s="5"/>
      <c r="N677" s="7"/>
      <c r="O677" s="5" t="s">
        <v>554</v>
      </c>
      <c r="P677" s="8">
        <v>573.21</v>
      </c>
      <c r="Q677" s="8">
        <f t="shared" si="18"/>
        <v>12432.71</v>
      </c>
    </row>
    <row r="678" spans="1:17" x14ac:dyDescent="0.25">
      <c r="A678" s="5"/>
      <c r="B678" s="5"/>
      <c r="C678" s="5"/>
      <c r="D678" s="5"/>
      <c r="E678" s="5"/>
      <c r="F678" s="5"/>
      <c r="G678" s="5"/>
      <c r="H678" s="5" t="s">
        <v>28</v>
      </c>
      <c r="I678" s="6">
        <v>44725</v>
      </c>
      <c r="J678" s="5" t="s">
        <v>627</v>
      </c>
      <c r="K678" s="5" t="s">
        <v>729</v>
      </c>
      <c r="L678" s="5" t="s">
        <v>758</v>
      </c>
      <c r="M678" s="5"/>
      <c r="N678" s="7"/>
      <c r="O678" s="5" t="s">
        <v>554</v>
      </c>
      <c r="P678" s="8">
        <v>4096.82</v>
      </c>
      <c r="Q678" s="8">
        <f t="shared" si="18"/>
        <v>16529.53</v>
      </c>
    </row>
    <row r="679" spans="1:17" x14ac:dyDescent="0.25">
      <c r="A679" s="5"/>
      <c r="B679" s="5"/>
      <c r="C679" s="5"/>
      <c r="D679" s="5"/>
      <c r="E679" s="5"/>
      <c r="F679" s="5"/>
      <c r="G679" s="5"/>
      <c r="H679" s="5" t="s">
        <v>28</v>
      </c>
      <c r="I679" s="6">
        <v>44725</v>
      </c>
      <c r="J679" s="5" t="s">
        <v>628</v>
      </c>
      <c r="K679" s="5" t="s">
        <v>724</v>
      </c>
      <c r="L679" s="5" t="s">
        <v>759</v>
      </c>
      <c r="M679" s="5"/>
      <c r="N679" s="7"/>
      <c r="O679" s="5" t="s">
        <v>554</v>
      </c>
      <c r="P679" s="8">
        <v>549.46</v>
      </c>
      <c r="Q679" s="8">
        <f t="shared" si="18"/>
        <v>17078.990000000002</v>
      </c>
    </row>
    <row r="680" spans="1:17" x14ac:dyDescent="0.25">
      <c r="A680" s="5"/>
      <c r="B680" s="5"/>
      <c r="C680" s="5"/>
      <c r="D680" s="5"/>
      <c r="E680" s="5"/>
      <c r="F680" s="5"/>
      <c r="G680" s="5"/>
      <c r="H680" s="5" t="s">
        <v>25</v>
      </c>
      <c r="I680" s="6">
        <v>44733</v>
      </c>
      <c r="J680" s="5" t="s">
        <v>606</v>
      </c>
      <c r="K680" s="5" t="s">
        <v>711</v>
      </c>
      <c r="L680" s="5"/>
      <c r="M680" s="5"/>
      <c r="N680" s="7"/>
      <c r="O680" s="5" t="s">
        <v>556</v>
      </c>
      <c r="P680" s="8">
        <v>1816.51</v>
      </c>
      <c r="Q680" s="8">
        <f t="shared" si="18"/>
        <v>18895.5</v>
      </c>
    </row>
    <row r="681" spans="1:17" x14ac:dyDescent="0.25">
      <c r="A681" s="5"/>
      <c r="B681" s="5"/>
      <c r="C681" s="5"/>
      <c r="D681" s="5"/>
      <c r="E681" s="5"/>
      <c r="F681" s="5"/>
      <c r="G681" s="5"/>
      <c r="H681" s="5" t="s">
        <v>27</v>
      </c>
      <c r="I681" s="6">
        <v>44734</v>
      </c>
      <c r="J681" s="5" t="s">
        <v>629</v>
      </c>
      <c r="K681" s="5" t="s">
        <v>725</v>
      </c>
      <c r="L681" s="5"/>
      <c r="M681" s="5"/>
      <c r="N681" s="7"/>
      <c r="O681" s="5" t="s">
        <v>556</v>
      </c>
      <c r="P681" s="8">
        <v>2400</v>
      </c>
      <c r="Q681" s="8">
        <f t="shared" si="18"/>
        <v>21295.5</v>
      </c>
    </row>
    <row r="682" spans="1:17" x14ac:dyDescent="0.25">
      <c r="A682" s="5"/>
      <c r="B682" s="5"/>
      <c r="C682" s="5"/>
      <c r="D682" s="5"/>
      <c r="E682" s="5"/>
      <c r="F682" s="5"/>
      <c r="G682" s="5"/>
      <c r="H682" s="5" t="s">
        <v>28</v>
      </c>
      <c r="I682" s="6">
        <v>44739</v>
      </c>
      <c r="J682" s="5"/>
      <c r="K682" s="5" t="s">
        <v>724</v>
      </c>
      <c r="L682" s="5"/>
      <c r="M682" s="5"/>
      <c r="N682" s="7"/>
      <c r="O682" s="5" t="s">
        <v>554</v>
      </c>
      <c r="P682" s="8">
        <v>943.48</v>
      </c>
      <c r="Q682" s="8">
        <f t="shared" si="18"/>
        <v>22238.98</v>
      </c>
    </row>
    <row r="683" spans="1:17" x14ac:dyDescent="0.25">
      <c r="A683" s="5"/>
      <c r="B683" s="5"/>
      <c r="C683" s="5"/>
      <c r="D683" s="5"/>
      <c r="E683" s="5"/>
      <c r="F683" s="5"/>
      <c r="G683" s="5"/>
      <c r="H683" s="5" t="s">
        <v>27</v>
      </c>
      <c r="I683" s="6">
        <v>44748</v>
      </c>
      <c r="J683" s="5"/>
      <c r="K683" s="5" t="s">
        <v>719</v>
      </c>
      <c r="L683" s="5"/>
      <c r="M683" s="5"/>
      <c r="N683" s="7"/>
      <c r="O683" s="5" t="s">
        <v>556</v>
      </c>
      <c r="P683" s="8">
        <v>206.23</v>
      </c>
      <c r="Q683" s="8">
        <f t="shared" si="18"/>
        <v>22445.21</v>
      </c>
    </row>
    <row r="684" spans="1:17" x14ac:dyDescent="0.25">
      <c r="A684" s="5"/>
      <c r="B684" s="5"/>
      <c r="C684" s="5"/>
      <c r="D684" s="5"/>
      <c r="E684" s="5"/>
      <c r="F684" s="5"/>
      <c r="G684" s="5"/>
      <c r="H684" s="5" t="s">
        <v>28</v>
      </c>
      <c r="I684" s="6">
        <v>44756</v>
      </c>
      <c r="J684" s="5"/>
      <c r="K684" s="5" t="s">
        <v>441</v>
      </c>
      <c r="L684" s="5"/>
      <c r="M684" s="5"/>
      <c r="N684" s="7"/>
      <c r="O684" s="5" t="s">
        <v>554</v>
      </c>
      <c r="P684" s="8">
        <v>379.32</v>
      </c>
      <c r="Q684" s="8">
        <f t="shared" si="18"/>
        <v>22824.53</v>
      </c>
    </row>
    <row r="685" spans="1:17" x14ac:dyDescent="0.25">
      <c r="A685" s="5"/>
      <c r="B685" s="5"/>
      <c r="C685" s="5"/>
      <c r="D685" s="5"/>
      <c r="E685" s="5"/>
      <c r="F685" s="5"/>
      <c r="G685" s="5"/>
      <c r="H685" s="5" t="s">
        <v>27</v>
      </c>
      <c r="I685" s="6">
        <v>44773</v>
      </c>
      <c r="J685" s="5"/>
      <c r="K685" s="5" t="s">
        <v>719</v>
      </c>
      <c r="L685" s="5"/>
      <c r="M685" s="5"/>
      <c r="N685" s="7"/>
      <c r="O685" s="5" t="s">
        <v>556</v>
      </c>
      <c r="P685" s="8">
        <v>230.25</v>
      </c>
      <c r="Q685" s="8">
        <f t="shared" si="18"/>
        <v>23054.78</v>
      </c>
    </row>
    <row r="686" spans="1:17" x14ac:dyDescent="0.25">
      <c r="A686" s="5"/>
      <c r="B686" s="5"/>
      <c r="C686" s="5"/>
      <c r="D686" s="5"/>
      <c r="E686" s="5"/>
      <c r="F686" s="5"/>
      <c r="G686" s="5"/>
      <c r="H686" s="5" t="s">
        <v>27</v>
      </c>
      <c r="I686" s="6">
        <v>44784</v>
      </c>
      <c r="J686" s="5"/>
      <c r="K686" s="5" t="s">
        <v>730</v>
      </c>
      <c r="L686" s="5"/>
      <c r="M686" s="5"/>
      <c r="N686" s="7"/>
      <c r="O686" s="5" t="s">
        <v>556</v>
      </c>
      <c r="P686" s="8">
        <v>535</v>
      </c>
      <c r="Q686" s="8">
        <f t="shared" si="18"/>
        <v>23589.78</v>
      </c>
    </row>
    <row r="687" spans="1:17" x14ac:dyDescent="0.25">
      <c r="A687" s="5"/>
      <c r="B687" s="5"/>
      <c r="C687" s="5"/>
      <c r="D687" s="5"/>
      <c r="E687" s="5"/>
      <c r="F687" s="5"/>
      <c r="G687" s="5"/>
      <c r="H687" s="5" t="s">
        <v>28</v>
      </c>
      <c r="I687" s="6">
        <v>44799</v>
      </c>
      <c r="J687" s="5"/>
      <c r="K687" s="5" t="s">
        <v>719</v>
      </c>
      <c r="L687" s="5"/>
      <c r="M687" s="5"/>
      <c r="N687" s="7"/>
      <c r="O687" s="5" t="s">
        <v>554</v>
      </c>
      <c r="P687" s="8">
        <v>438.92</v>
      </c>
      <c r="Q687" s="8">
        <f t="shared" si="18"/>
        <v>24028.7</v>
      </c>
    </row>
    <row r="688" spans="1:17" x14ac:dyDescent="0.25">
      <c r="A688" s="5"/>
      <c r="B688" s="5"/>
      <c r="C688" s="5"/>
      <c r="D688" s="5"/>
      <c r="E688" s="5"/>
      <c r="F688" s="5"/>
      <c r="G688" s="5"/>
      <c r="H688" s="5" t="s">
        <v>25</v>
      </c>
      <c r="I688" s="6">
        <v>44799</v>
      </c>
      <c r="J688" s="5" t="s">
        <v>630</v>
      </c>
      <c r="K688" s="5"/>
      <c r="L688" s="5" t="s">
        <v>760</v>
      </c>
      <c r="M688" s="5"/>
      <c r="N688" s="7"/>
      <c r="O688" s="5" t="s">
        <v>554</v>
      </c>
      <c r="P688" s="8">
        <v>20</v>
      </c>
      <c r="Q688" s="8">
        <f t="shared" si="18"/>
        <v>24048.7</v>
      </c>
    </row>
    <row r="689" spans="1:17" x14ac:dyDescent="0.25">
      <c r="A689" s="5"/>
      <c r="B689" s="5"/>
      <c r="C689" s="5"/>
      <c r="D689" s="5"/>
      <c r="E689" s="5"/>
      <c r="F689" s="5"/>
      <c r="G689" s="5"/>
      <c r="H689" s="5" t="s">
        <v>27</v>
      </c>
      <c r="I689" s="6">
        <v>44813</v>
      </c>
      <c r="J689" s="5"/>
      <c r="K689" s="5" t="s">
        <v>731</v>
      </c>
      <c r="L689" s="5" t="s">
        <v>761</v>
      </c>
      <c r="M689" s="5"/>
      <c r="N689" s="7"/>
      <c r="O689" s="5" t="s">
        <v>556</v>
      </c>
      <c r="P689" s="8">
        <v>452.59</v>
      </c>
      <c r="Q689" s="8">
        <f t="shared" si="18"/>
        <v>24501.29</v>
      </c>
    </row>
    <row r="690" spans="1:17" x14ac:dyDescent="0.25">
      <c r="A690" s="5"/>
      <c r="B690" s="5"/>
      <c r="C690" s="5"/>
      <c r="D690" s="5"/>
      <c r="E690" s="5"/>
      <c r="F690" s="5"/>
      <c r="G690" s="5"/>
      <c r="H690" s="5" t="s">
        <v>27</v>
      </c>
      <c r="I690" s="6">
        <v>44833</v>
      </c>
      <c r="J690" s="5"/>
      <c r="K690" s="5" t="s">
        <v>447</v>
      </c>
      <c r="L690" s="5"/>
      <c r="M690" s="5"/>
      <c r="N690" s="7"/>
      <c r="O690" s="5" t="s">
        <v>556</v>
      </c>
      <c r="P690" s="8">
        <v>481.75</v>
      </c>
      <c r="Q690" s="8">
        <f t="shared" si="18"/>
        <v>24983.040000000001</v>
      </c>
    </row>
    <row r="691" spans="1:17" x14ac:dyDescent="0.25">
      <c r="A691" s="5"/>
      <c r="B691" s="5"/>
      <c r="C691" s="5"/>
      <c r="D691" s="5"/>
      <c r="E691" s="5"/>
      <c r="F691" s="5"/>
      <c r="G691" s="5"/>
      <c r="H691" s="5" t="s">
        <v>27</v>
      </c>
      <c r="I691" s="6">
        <v>44847</v>
      </c>
      <c r="J691" s="5"/>
      <c r="K691" s="5" t="s">
        <v>731</v>
      </c>
      <c r="L691" s="5"/>
      <c r="M691" s="5"/>
      <c r="N691" s="7"/>
      <c r="O691" s="5" t="s">
        <v>556</v>
      </c>
      <c r="P691" s="8">
        <v>1197.72</v>
      </c>
      <c r="Q691" s="8">
        <f t="shared" si="18"/>
        <v>26180.76</v>
      </c>
    </row>
    <row r="692" spans="1:17" x14ac:dyDescent="0.25">
      <c r="A692" s="5"/>
      <c r="B692" s="5"/>
      <c r="C692" s="5"/>
      <c r="D692" s="5"/>
      <c r="E692" s="5"/>
      <c r="F692" s="5"/>
      <c r="G692" s="5"/>
      <c r="H692" s="5" t="s">
        <v>27</v>
      </c>
      <c r="I692" s="6">
        <v>44855</v>
      </c>
      <c r="J692" s="5"/>
      <c r="K692" s="5" t="s">
        <v>731</v>
      </c>
      <c r="L692" s="5"/>
      <c r="M692" s="5"/>
      <c r="N692" s="7"/>
      <c r="O692" s="5" t="s">
        <v>556</v>
      </c>
      <c r="P692" s="8">
        <v>2162.25</v>
      </c>
      <c r="Q692" s="8">
        <f t="shared" si="18"/>
        <v>28343.01</v>
      </c>
    </row>
    <row r="693" spans="1:17" x14ac:dyDescent="0.25">
      <c r="A693" s="5"/>
      <c r="B693" s="5"/>
      <c r="C693" s="5"/>
      <c r="D693" s="5"/>
      <c r="E693" s="5"/>
      <c r="F693" s="5"/>
      <c r="G693" s="5"/>
      <c r="H693" s="5" t="s">
        <v>27</v>
      </c>
      <c r="I693" s="6">
        <v>44858</v>
      </c>
      <c r="J693" s="5"/>
      <c r="K693" s="5" t="s">
        <v>732</v>
      </c>
      <c r="L693" s="5"/>
      <c r="M693" s="5"/>
      <c r="N693" s="7"/>
      <c r="O693" s="5" t="s">
        <v>556</v>
      </c>
      <c r="P693" s="8">
        <v>341.81</v>
      </c>
      <c r="Q693" s="8">
        <f t="shared" si="18"/>
        <v>28684.82</v>
      </c>
    </row>
    <row r="694" spans="1:17" ht="15.75" thickBot="1" x14ac:dyDescent="0.3">
      <c r="A694" s="5"/>
      <c r="B694" s="5"/>
      <c r="C694" s="5"/>
      <c r="D694" s="5"/>
      <c r="E694" s="5"/>
      <c r="F694" s="5"/>
      <c r="G694" s="5"/>
      <c r="H694" s="5" t="s">
        <v>28</v>
      </c>
      <c r="I694" s="6">
        <v>44886</v>
      </c>
      <c r="J694" s="5" t="s">
        <v>631</v>
      </c>
      <c r="K694" s="5" t="s">
        <v>441</v>
      </c>
      <c r="L694" s="5" t="s">
        <v>762</v>
      </c>
      <c r="M694" s="5"/>
      <c r="N694" s="7"/>
      <c r="O694" s="5" t="s">
        <v>554</v>
      </c>
      <c r="P694" s="9">
        <v>7782.3</v>
      </c>
      <c r="Q694" s="9">
        <f t="shared" si="18"/>
        <v>36467.120000000003</v>
      </c>
    </row>
    <row r="695" spans="1:17" x14ac:dyDescent="0.25">
      <c r="A695" s="5"/>
      <c r="B695" s="5"/>
      <c r="C695" s="5"/>
      <c r="D695" s="5"/>
      <c r="E695" s="5" t="s">
        <v>593</v>
      </c>
      <c r="F695" s="5"/>
      <c r="G695" s="5"/>
      <c r="H695" s="5"/>
      <c r="I695" s="6"/>
      <c r="J695" s="5"/>
      <c r="K695" s="5"/>
      <c r="L695" s="5"/>
      <c r="M695" s="5"/>
      <c r="N695" s="5"/>
      <c r="O695" s="5"/>
      <c r="P695" s="8">
        <f>ROUND(SUM(P667:P694),5)</f>
        <v>36467.120000000003</v>
      </c>
      <c r="Q695" s="8">
        <f>Q694</f>
        <v>36467.120000000003</v>
      </c>
    </row>
    <row r="696" spans="1:17" x14ac:dyDescent="0.25">
      <c r="A696" s="2"/>
      <c r="B696" s="2"/>
      <c r="C696" s="2"/>
      <c r="D696" s="2"/>
      <c r="E696" s="2" t="s">
        <v>594</v>
      </c>
      <c r="F696" s="2"/>
      <c r="G696" s="2"/>
      <c r="H696" s="2"/>
      <c r="I696" s="3"/>
      <c r="J696" s="2"/>
      <c r="K696" s="2"/>
      <c r="L696" s="2"/>
      <c r="M696" s="2"/>
      <c r="N696" s="2"/>
      <c r="O696" s="2"/>
      <c r="P696" s="4"/>
      <c r="Q696" s="4"/>
    </row>
    <row r="697" spans="1:17" x14ac:dyDescent="0.25">
      <c r="A697" s="5"/>
      <c r="B697" s="5"/>
      <c r="C697" s="5"/>
      <c r="D697" s="5"/>
      <c r="E697" s="5"/>
      <c r="F697" s="5"/>
      <c r="G697" s="5"/>
      <c r="H697" s="5" t="s">
        <v>596</v>
      </c>
      <c r="I697" s="6">
        <v>44664</v>
      </c>
      <c r="J697" s="5" t="s">
        <v>632</v>
      </c>
      <c r="K697" s="5" t="s">
        <v>441</v>
      </c>
      <c r="L697" s="5"/>
      <c r="M697" s="5"/>
      <c r="N697" s="7"/>
      <c r="O697" s="5" t="s">
        <v>554</v>
      </c>
      <c r="P697" s="8">
        <v>1920</v>
      </c>
      <c r="Q697" s="8">
        <f t="shared" ref="Q697:Q760" si="19">ROUND(Q696+P697,5)</f>
        <v>1920</v>
      </c>
    </row>
    <row r="698" spans="1:17" x14ac:dyDescent="0.25">
      <c r="A698" s="5"/>
      <c r="B698" s="5"/>
      <c r="C698" s="5"/>
      <c r="D698" s="5"/>
      <c r="E698" s="5"/>
      <c r="F698" s="5"/>
      <c r="G698" s="5"/>
      <c r="H698" s="5" t="s">
        <v>596</v>
      </c>
      <c r="I698" s="6">
        <v>44664</v>
      </c>
      <c r="J698" s="5" t="s">
        <v>632</v>
      </c>
      <c r="K698" s="5" t="s">
        <v>441</v>
      </c>
      <c r="L698" s="5"/>
      <c r="M698" s="5"/>
      <c r="N698" s="7"/>
      <c r="O698" s="5" t="s">
        <v>554</v>
      </c>
      <c r="P698" s="8">
        <v>101.77</v>
      </c>
      <c r="Q698" s="8">
        <f t="shared" si="19"/>
        <v>2021.77</v>
      </c>
    </row>
    <row r="699" spans="1:17" x14ac:dyDescent="0.25">
      <c r="A699" s="5"/>
      <c r="B699" s="5"/>
      <c r="C699" s="5"/>
      <c r="D699" s="5"/>
      <c r="E699" s="5"/>
      <c r="F699" s="5"/>
      <c r="G699" s="5"/>
      <c r="H699" s="5" t="s">
        <v>596</v>
      </c>
      <c r="I699" s="6">
        <v>44664</v>
      </c>
      <c r="J699" s="5" t="s">
        <v>632</v>
      </c>
      <c r="K699" s="5" t="s">
        <v>441</v>
      </c>
      <c r="L699" s="5"/>
      <c r="M699" s="5"/>
      <c r="N699" s="7"/>
      <c r="O699" s="5" t="s">
        <v>554</v>
      </c>
      <c r="P699" s="8">
        <v>42.48</v>
      </c>
      <c r="Q699" s="8">
        <f t="shared" si="19"/>
        <v>2064.25</v>
      </c>
    </row>
    <row r="700" spans="1:17" x14ac:dyDescent="0.25">
      <c r="A700" s="5"/>
      <c r="B700" s="5"/>
      <c r="C700" s="5"/>
      <c r="D700" s="5"/>
      <c r="E700" s="5"/>
      <c r="F700" s="5"/>
      <c r="G700" s="5"/>
      <c r="H700" s="5" t="s">
        <v>596</v>
      </c>
      <c r="I700" s="6">
        <v>44664</v>
      </c>
      <c r="J700" s="5" t="s">
        <v>632</v>
      </c>
      <c r="K700" s="5" t="s">
        <v>441</v>
      </c>
      <c r="L700" s="5"/>
      <c r="M700" s="5"/>
      <c r="N700" s="7"/>
      <c r="O700" s="5" t="s">
        <v>554</v>
      </c>
      <c r="P700" s="8">
        <v>76.8</v>
      </c>
      <c r="Q700" s="8">
        <f t="shared" si="19"/>
        <v>2141.0500000000002</v>
      </c>
    </row>
    <row r="701" spans="1:17" x14ac:dyDescent="0.25">
      <c r="A701" s="5"/>
      <c r="B701" s="5"/>
      <c r="C701" s="5"/>
      <c r="D701" s="5"/>
      <c r="E701" s="5"/>
      <c r="F701" s="5"/>
      <c r="G701" s="5"/>
      <c r="H701" s="5" t="s">
        <v>596</v>
      </c>
      <c r="I701" s="6">
        <v>44664</v>
      </c>
      <c r="J701" s="5" t="s">
        <v>633</v>
      </c>
      <c r="K701" s="5" t="s">
        <v>724</v>
      </c>
      <c r="L701" s="5"/>
      <c r="M701" s="5"/>
      <c r="N701" s="7"/>
      <c r="O701" s="5" t="s">
        <v>554</v>
      </c>
      <c r="P701" s="8">
        <v>2400</v>
      </c>
      <c r="Q701" s="8">
        <f t="shared" si="19"/>
        <v>4541.05</v>
      </c>
    </row>
    <row r="702" spans="1:17" x14ac:dyDescent="0.25">
      <c r="A702" s="5"/>
      <c r="B702" s="5"/>
      <c r="C702" s="5"/>
      <c r="D702" s="5"/>
      <c r="E702" s="5"/>
      <c r="F702" s="5"/>
      <c r="G702" s="5"/>
      <c r="H702" s="5" t="s">
        <v>596</v>
      </c>
      <c r="I702" s="6">
        <v>44664</v>
      </c>
      <c r="J702" s="5" t="s">
        <v>633</v>
      </c>
      <c r="K702" s="5" t="s">
        <v>724</v>
      </c>
      <c r="L702" s="5"/>
      <c r="M702" s="5"/>
      <c r="N702" s="7"/>
      <c r="O702" s="5" t="s">
        <v>554</v>
      </c>
      <c r="P702" s="8">
        <v>129.13</v>
      </c>
      <c r="Q702" s="8">
        <f t="shared" si="19"/>
        <v>4670.18</v>
      </c>
    </row>
    <row r="703" spans="1:17" x14ac:dyDescent="0.25">
      <c r="A703" s="5"/>
      <c r="B703" s="5"/>
      <c r="C703" s="5"/>
      <c r="D703" s="5"/>
      <c r="E703" s="5"/>
      <c r="F703" s="5"/>
      <c r="G703" s="5"/>
      <c r="H703" s="5" t="s">
        <v>596</v>
      </c>
      <c r="I703" s="6">
        <v>44664</v>
      </c>
      <c r="J703" s="5" t="s">
        <v>633</v>
      </c>
      <c r="K703" s="5" t="s">
        <v>724</v>
      </c>
      <c r="L703" s="5"/>
      <c r="M703" s="5"/>
      <c r="N703" s="7"/>
      <c r="O703" s="5" t="s">
        <v>554</v>
      </c>
      <c r="P703" s="8">
        <v>53.09</v>
      </c>
      <c r="Q703" s="8">
        <f t="shared" si="19"/>
        <v>4723.2700000000004</v>
      </c>
    </row>
    <row r="704" spans="1:17" x14ac:dyDescent="0.25">
      <c r="A704" s="5"/>
      <c r="B704" s="5"/>
      <c r="C704" s="5"/>
      <c r="D704" s="5"/>
      <c r="E704" s="5"/>
      <c r="F704" s="5"/>
      <c r="G704" s="5"/>
      <c r="H704" s="5" t="s">
        <v>596</v>
      </c>
      <c r="I704" s="6">
        <v>44664</v>
      </c>
      <c r="J704" s="5" t="s">
        <v>633</v>
      </c>
      <c r="K704" s="5" t="s">
        <v>724</v>
      </c>
      <c r="L704" s="5"/>
      <c r="M704" s="5"/>
      <c r="N704" s="7"/>
      <c r="O704" s="5" t="s">
        <v>554</v>
      </c>
      <c r="P704" s="8">
        <v>96</v>
      </c>
      <c r="Q704" s="8">
        <f t="shared" si="19"/>
        <v>4819.2700000000004</v>
      </c>
    </row>
    <row r="705" spans="1:17" x14ac:dyDescent="0.25">
      <c r="A705" s="5"/>
      <c r="B705" s="5"/>
      <c r="C705" s="5"/>
      <c r="D705" s="5"/>
      <c r="E705" s="5"/>
      <c r="F705" s="5"/>
      <c r="G705" s="5"/>
      <c r="H705" s="5" t="s">
        <v>596</v>
      </c>
      <c r="I705" s="6">
        <v>44664</v>
      </c>
      <c r="J705" s="5" t="s">
        <v>634</v>
      </c>
      <c r="K705" s="5" t="s">
        <v>733</v>
      </c>
      <c r="L705" s="5"/>
      <c r="M705" s="5"/>
      <c r="N705" s="7"/>
      <c r="O705" s="5" t="s">
        <v>554</v>
      </c>
      <c r="P705" s="8">
        <v>567</v>
      </c>
      <c r="Q705" s="8">
        <f t="shared" si="19"/>
        <v>5386.27</v>
      </c>
    </row>
    <row r="706" spans="1:17" x14ac:dyDescent="0.25">
      <c r="A706" s="5"/>
      <c r="B706" s="5"/>
      <c r="C706" s="5"/>
      <c r="D706" s="5"/>
      <c r="E706" s="5"/>
      <c r="F706" s="5"/>
      <c r="G706" s="5"/>
      <c r="H706" s="5" t="s">
        <v>596</v>
      </c>
      <c r="I706" s="6">
        <v>44664</v>
      </c>
      <c r="J706" s="5" t="s">
        <v>634</v>
      </c>
      <c r="K706" s="5" t="s">
        <v>733</v>
      </c>
      <c r="L706" s="5"/>
      <c r="M706" s="5"/>
      <c r="N706" s="7"/>
      <c r="O706" s="5" t="s">
        <v>554</v>
      </c>
      <c r="P706" s="8">
        <v>24.65</v>
      </c>
      <c r="Q706" s="8">
        <f t="shared" si="19"/>
        <v>5410.92</v>
      </c>
    </row>
    <row r="707" spans="1:17" x14ac:dyDescent="0.25">
      <c r="A707" s="5"/>
      <c r="B707" s="5"/>
      <c r="C707" s="5"/>
      <c r="D707" s="5"/>
      <c r="E707" s="5"/>
      <c r="F707" s="5"/>
      <c r="G707" s="5"/>
      <c r="H707" s="5" t="s">
        <v>596</v>
      </c>
      <c r="I707" s="6">
        <v>44664</v>
      </c>
      <c r="J707" s="5" t="s">
        <v>634</v>
      </c>
      <c r="K707" s="5" t="s">
        <v>733</v>
      </c>
      <c r="L707" s="5"/>
      <c r="M707" s="5"/>
      <c r="N707" s="7"/>
      <c r="O707" s="5" t="s">
        <v>554</v>
      </c>
      <c r="P707" s="8">
        <v>12.54</v>
      </c>
      <c r="Q707" s="8">
        <f t="shared" si="19"/>
        <v>5423.46</v>
      </c>
    </row>
    <row r="708" spans="1:17" x14ac:dyDescent="0.25">
      <c r="A708" s="5"/>
      <c r="B708" s="5"/>
      <c r="C708" s="5"/>
      <c r="D708" s="5"/>
      <c r="E708" s="5"/>
      <c r="F708" s="5"/>
      <c r="G708" s="5"/>
      <c r="H708" s="5" t="s">
        <v>596</v>
      </c>
      <c r="I708" s="6">
        <v>44664</v>
      </c>
      <c r="J708" s="5" t="s">
        <v>634</v>
      </c>
      <c r="K708" s="5" t="s">
        <v>733</v>
      </c>
      <c r="L708" s="5"/>
      <c r="M708" s="5"/>
      <c r="N708" s="7"/>
      <c r="O708" s="5" t="s">
        <v>554</v>
      </c>
      <c r="P708" s="8">
        <v>22.68</v>
      </c>
      <c r="Q708" s="8">
        <f t="shared" si="19"/>
        <v>5446.14</v>
      </c>
    </row>
    <row r="709" spans="1:17" x14ac:dyDescent="0.25">
      <c r="A709" s="5"/>
      <c r="B709" s="5"/>
      <c r="C709" s="5"/>
      <c r="D709" s="5"/>
      <c r="E709" s="5"/>
      <c r="F709" s="5"/>
      <c r="G709" s="5"/>
      <c r="H709" s="5" t="s">
        <v>596</v>
      </c>
      <c r="I709" s="6">
        <v>44679</v>
      </c>
      <c r="J709" s="5" t="s">
        <v>635</v>
      </c>
      <c r="K709" s="5" t="s">
        <v>441</v>
      </c>
      <c r="L709" s="5"/>
      <c r="M709" s="5"/>
      <c r="N709" s="7"/>
      <c r="O709" s="5" t="s">
        <v>554</v>
      </c>
      <c r="P709" s="8">
        <v>1600</v>
      </c>
      <c r="Q709" s="8">
        <f t="shared" si="19"/>
        <v>7046.14</v>
      </c>
    </row>
    <row r="710" spans="1:17" x14ac:dyDescent="0.25">
      <c r="A710" s="5"/>
      <c r="B710" s="5"/>
      <c r="C710" s="5"/>
      <c r="D710" s="5"/>
      <c r="E710" s="5"/>
      <c r="F710" s="5"/>
      <c r="G710" s="5"/>
      <c r="H710" s="5" t="s">
        <v>596</v>
      </c>
      <c r="I710" s="6">
        <v>44679</v>
      </c>
      <c r="J710" s="5" t="s">
        <v>635</v>
      </c>
      <c r="K710" s="5" t="s">
        <v>441</v>
      </c>
      <c r="L710" s="5"/>
      <c r="M710" s="5"/>
      <c r="N710" s="7"/>
      <c r="O710" s="5" t="s">
        <v>554</v>
      </c>
      <c r="P710" s="8">
        <v>83.53</v>
      </c>
      <c r="Q710" s="8">
        <f t="shared" si="19"/>
        <v>7129.67</v>
      </c>
    </row>
    <row r="711" spans="1:17" x14ac:dyDescent="0.25">
      <c r="A711" s="5"/>
      <c r="B711" s="5"/>
      <c r="C711" s="5"/>
      <c r="D711" s="5"/>
      <c r="E711" s="5"/>
      <c r="F711" s="5"/>
      <c r="G711" s="5"/>
      <c r="H711" s="5" t="s">
        <v>596</v>
      </c>
      <c r="I711" s="6">
        <v>44679</v>
      </c>
      <c r="J711" s="5" t="s">
        <v>635</v>
      </c>
      <c r="K711" s="5" t="s">
        <v>441</v>
      </c>
      <c r="L711" s="5"/>
      <c r="M711" s="5"/>
      <c r="N711" s="7"/>
      <c r="O711" s="5" t="s">
        <v>554</v>
      </c>
      <c r="P711" s="8">
        <v>35.39</v>
      </c>
      <c r="Q711" s="8">
        <f t="shared" si="19"/>
        <v>7165.06</v>
      </c>
    </row>
    <row r="712" spans="1:17" x14ac:dyDescent="0.25">
      <c r="A712" s="5"/>
      <c r="B712" s="5"/>
      <c r="C712" s="5"/>
      <c r="D712" s="5"/>
      <c r="E712" s="5"/>
      <c r="F712" s="5"/>
      <c r="G712" s="5"/>
      <c r="H712" s="5" t="s">
        <v>596</v>
      </c>
      <c r="I712" s="6">
        <v>44679</v>
      </c>
      <c r="J712" s="5" t="s">
        <v>635</v>
      </c>
      <c r="K712" s="5" t="s">
        <v>441</v>
      </c>
      <c r="L712" s="5"/>
      <c r="M712" s="5"/>
      <c r="N712" s="7"/>
      <c r="O712" s="5" t="s">
        <v>554</v>
      </c>
      <c r="P712" s="8">
        <v>64</v>
      </c>
      <c r="Q712" s="8">
        <f t="shared" si="19"/>
        <v>7229.06</v>
      </c>
    </row>
    <row r="713" spans="1:17" x14ac:dyDescent="0.25">
      <c r="A713" s="5"/>
      <c r="B713" s="5"/>
      <c r="C713" s="5"/>
      <c r="D713" s="5"/>
      <c r="E713" s="5"/>
      <c r="F713" s="5"/>
      <c r="G713" s="5"/>
      <c r="H713" s="5" t="s">
        <v>596</v>
      </c>
      <c r="I713" s="6">
        <v>44679</v>
      </c>
      <c r="J713" s="5" t="s">
        <v>636</v>
      </c>
      <c r="K713" s="5" t="s">
        <v>724</v>
      </c>
      <c r="L713" s="5"/>
      <c r="M713" s="5"/>
      <c r="N713" s="7"/>
      <c r="O713" s="5" t="s">
        <v>554</v>
      </c>
      <c r="P713" s="8">
        <v>2000</v>
      </c>
      <c r="Q713" s="8">
        <f t="shared" si="19"/>
        <v>9229.06</v>
      </c>
    </row>
    <row r="714" spans="1:17" x14ac:dyDescent="0.25">
      <c r="A714" s="5"/>
      <c r="B714" s="5"/>
      <c r="C714" s="5"/>
      <c r="D714" s="5"/>
      <c r="E714" s="5"/>
      <c r="F714" s="5"/>
      <c r="G714" s="5"/>
      <c r="H714" s="5" t="s">
        <v>596</v>
      </c>
      <c r="I714" s="6">
        <v>44679</v>
      </c>
      <c r="J714" s="5" t="s">
        <v>636</v>
      </c>
      <c r="K714" s="5" t="s">
        <v>724</v>
      </c>
      <c r="L714" s="5"/>
      <c r="M714" s="5"/>
      <c r="N714" s="7"/>
      <c r="O714" s="5" t="s">
        <v>554</v>
      </c>
      <c r="P714" s="8">
        <v>106.33</v>
      </c>
      <c r="Q714" s="8">
        <f t="shared" si="19"/>
        <v>9335.39</v>
      </c>
    </row>
    <row r="715" spans="1:17" x14ac:dyDescent="0.25">
      <c r="A715" s="5"/>
      <c r="B715" s="5"/>
      <c r="C715" s="5"/>
      <c r="D715" s="5"/>
      <c r="E715" s="5"/>
      <c r="F715" s="5"/>
      <c r="G715" s="5"/>
      <c r="H715" s="5" t="s">
        <v>596</v>
      </c>
      <c r="I715" s="6">
        <v>44679</v>
      </c>
      <c r="J715" s="5" t="s">
        <v>636</v>
      </c>
      <c r="K715" s="5" t="s">
        <v>724</v>
      </c>
      <c r="L715" s="5"/>
      <c r="M715" s="5"/>
      <c r="N715" s="7"/>
      <c r="O715" s="5" t="s">
        <v>554</v>
      </c>
      <c r="P715" s="8">
        <v>44.24</v>
      </c>
      <c r="Q715" s="8">
        <f t="shared" si="19"/>
        <v>9379.6299999999992</v>
      </c>
    </row>
    <row r="716" spans="1:17" x14ac:dyDescent="0.25">
      <c r="A716" s="5"/>
      <c r="B716" s="5"/>
      <c r="C716" s="5"/>
      <c r="D716" s="5"/>
      <c r="E716" s="5"/>
      <c r="F716" s="5"/>
      <c r="G716" s="5"/>
      <c r="H716" s="5" t="s">
        <v>596</v>
      </c>
      <c r="I716" s="6">
        <v>44679</v>
      </c>
      <c r="J716" s="5" t="s">
        <v>636</v>
      </c>
      <c r="K716" s="5" t="s">
        <v>724</v>
      </c>
      <c r="L716" s="5"/>
      <c r="M716" s="5"/>
      <c r="N716" s="7"/>
      <c r="O716" s="5" t="s">
        <v>554</v>
      </c>
      <c r="P716" s="8">
        <v>80</v>
      </c>
      <c r="Q716" s="8">
        <f t="shared" si="19"/>
        <v>9459.6299999999992</v>
      </c>
    </row>
    <row r="717" spans="1:17" x14ac:dyDescent="0.25">
      <c r="A717" s="5"/>
      <c r="B717" s="5"/>
      <c r="C717" s="5"/>
      <c r="D717" s="5"/>
      <c r="E717" s="5"/>
      <c r="F717" s="5"/>
      <c r="G717" s="5"/>
      <c r="H717" s="5" t="s">
        <v>596</v>
      </c>
      <c r="I717" s="6">
        <v>44693</v>
      </c>
      <c r="J717" s="5" t="s">
        <v>637</v>
      </c>
      <c r="K717" s="5" t="s">
        <v>441</v>
      </c>
      <c r="L717" s="5"/>
      <c r="M717" s="5"/>
      <c r="N717" s="7"/>
      <c r="O717" s="5" t="s">
        <v>554</v>
      </c>
      <c r="P717" s="8">
        <v>1600</v>
      </c>
      <c r="Q717" s="8">
        <f t="shared" si="19"/>
        <v>11059.63</v>
      </c>
    </row>
    <row r="718" spans="1:17" x14ac:dyDescent="0.25">
      <c r="A718" s="5"/>
      <c r="B718" s="5"/>
      <c r="C718" s="5"/>
      <c r="D718" s="5"/>
      <c r="E718" s="5"/>
      <c r="F718" s="5"/>
      <c r="G718" s="5"/>
      <c r="H718" s="5" t="s">
        <v>596</v>
      </c>
      <c r="I718" s="6">
        <v>44693</v>
      </c>
      <c r="J718" s="5" t="s">
        <v>637</v>
      </c>
      <c r="K718" s="5" t="s">
        <v>441</v>
      </c>
      <c r="L718" s="5"/>
      <c r="M718" s="5"/>
      <c r="N718" s="7"/>
      <c r="O718" s="5" t="s">
        <v>554</v>
      </c>
      <c r="P718" s="8">
        <v>83.53</v>
      </c>
      <c r="Q718" s="8">
        <f t="shared" si="19"/>
        <v>11143.16</v>
      </c>
    </row>
    <row r="719" spans="1:17" x14ac:dyDescent="0.25">
      <c r="A719" s="5"/>
      <c r="B719" s="5"/>
      <c r="C719" s="5"/>
      <c r="D719" s="5"/>
      <c r="E719" s="5"/>
      <c r="F719" s="5"/>
      <c r="G719" s="5"/>
      <c r="H719" s="5" t="s">
        <v>596</v>
      </c>
      <c r="I719" s="6">
        <v>44693</v>
      </c>
      <c r="J719" s="5" t="s">
        <v>637</v>
      </c>
      <c r="K719" s="5" t="s">
        <v>441</v>
      </c>
      <c r="L719" s="5"/>
      <c r="M719" s="5"/>
      <c r="N719" s="7"/>
      <c r="O719" s="5" t="s">
        <v>554</v>
      </c>
      <c r="P719" s="8">
        <v>35.39</v>
      </c>
      <c r="Q719" s="8">
        <f t="shared" si="19"/>
        <v>11178.55</v>
      </c>
    </row>
    <row r="720" spans="1:17" x14ac:dyDescent="0.25">
      <c r="A720" s="5"/>
      <c r="B720" s="5"/>
      <c r="C720" s="5"/>
      <c r="D720" s="5"/>
      <c r="E720" s="5"/>
      <c r="F720" s="5"/>
      <c r="G720" s="5"/>
      <c r="H720" s="5" t="s">
        <v>596</v>
      </c>
      <c r="I720" s="6">
        <v>44693</v>
      </c>
      <c r="J720" s="5" t="s">
        <v>637</v>
      </c>
      <c r="K720" s="5" t="s">
        <v>441</v>
      </c>
      <c r="L720" s="5"/>
      <c r="M720" s="5"/>
      <c r="N720" s="7"/>
      <c r="O720" s="5" t="s">
        <v>554</v>
      </c>
      <c r="P720" s="8">
        <v>64</v>
      </c>
      <c r="Q720" s="8">
        <f t="shared" si="19"/>
        <v>11242.55</v>
      </c>
    </row>
    <row r="721" spans="1:17" x14ac:dyDescent="0.25">
      <c r="A721" s="5"/>
      <c r="B721" s="5"/>
      <c r="C721" s="5"/>
      <c r="D721" s="5"/>
      <c r="E721" s="5"/>
      <c r="F721" s="5"/>
      <c r="G721" s="5"/>
      <c r="H721" s="5" t="s">
        <v>596</v>
      </c>
      <c r="I721" s="6">
        <v>44693</v>
      </c>
      <c r="J721" s="5" t="s">
        <v>638</v>
      </c>
      <c r="K721" s="5" t="s">
        <v>724</v>
      </c>
      <c r="L721" s="5"/>
      <c r="M721" s="5"/>
      <c r="N721" s="7"/>
      <c r="O721" s="5" t="s">
        <v>554</v>
      </c>
      <c r="P721" s="8">
        <v>2000</v>
      </c>
      <c r="Q721" s="8">
        <f t="shared" si="19"/>
        <v>13242.55</v>
      </c>
    </row>
    <row r="722" spans="1:17" x14ac:dyDescent="0.25">
      <c r="A722" s="5"/>
      <c r="B722" s="5"/>
      <c r="C722" s="5"/>
      <c r="D722" s="5"/>
      <c r="E722" s="5"/>
      <c r="F722" s="5"/>
      <c r="G722" s="5"/>
      <c r="H722" s="5" t="s">
        <v>596</v>
      </c>
      <c r="I722" s="6">
        <v>44693</v>
      </c>
      <c r="J722" s="5" t="s">
        <v>638</v>
      </c>
      <c r="K722" s="5" t="s">
        <v>724</v>
      </c>
      <c r="L722" s="5"/>
      <c r="M722" s="5"/>
      <c r="N722" s="7"/>
      <c r="O722" s="5" t="s">
        <v>554</v>
      </c>
      <c r="P722" s="8">
        <v>106.33</v>
      </c>
      <c r="Q722" s="8">
        <f t="shared" si="19"/>
        <v>13348.88</v>
      </c>
    </row>
    <row r="723" spans="1:17" x14ac:dyDescent="0.25">
      <c r="A723" s="5"/>
      <c r="B723" s="5"/>
      <c r="C723" s="5"/>
      <c r="D723" s="5"/>
      <c r="E723" s="5"/>
      <c r="F723" s="5"/>
      <c r="G723" s="5"/>
      <c r="H723" s="5" t="s">
        <v>596</v>
      </c>
      <c r="I723" s="6">
        <v>44693</v>
      </c>
      <c r="J723" s="5" t="s">
        <v>638</v>
      </c>
      <c r="K723" s="5" t="s">
        <v>724</v>
      </c>
      <c r="L723" s="5"/>
      <c r="M723" s="5"/>
      <c r="N723" s="7"/>
      <c r="O723" s="5" t="s">
        <v>554</v>
      </c>
      <c r="P723" s="8">
        <v>44.24</v>
      </c>
      <c r="Q723" s="8">
        <f t="shared" si="19"/>
        <v>13393.12</v>
      </c>
    </row>
    <row r="724" spans="1:17" x14ac:dyDescent="0.25">
      <c r="A724" s="5"/>
      <c r="B724" s="5"/>
      <c r="C724" s="5"/>
      <c r="D724" s="5"/>
      <c r="E724" s="5"/>
      <c r="F724" s="5"/>
      <c r="G724" s="5"/>
      <c r="H724" s="5" t="s">
        <v>596</v>
      </c>
      <c r="I724" s="6">
        <v>44693</v>
      </c>
      <c r="J724" s="5" t="s">
        <v>638</v>
      </c>
      <c r="K724" s="5" t="s">
        <v>724</v>
      </c>
      <c r="L724" s="5"/>
      <c r="M724" s="5"/>
      <c r="N724" s="7"/>
      <c r="O724" s="5" t="s">
        <v>554</v>
      </c>
      <c r="P724" s="8">
        <v>80</v>
      </c>
      <c r="Q724" s="8">
        <f t="shared" si="19"/>
        <v>13473.12</v>
      </c>
    </row>
    <row r="725" spans="1:17" x14ac:dyDescent="0.25">
      <c r="A725" s="5"/>
      <c r="B725" s="5"/>
      <c r="C725" s="5"/>
      <c r="D725" s="5"/>
      <c r="E725" s="5"/>
      <c r="F725" s="5"/>
      <c r="G725" s="5"/>
      <c r="H725" s="5" t="s">
        <v>596</v>
      </c>
      <c r="I725" s="6">
        <v>44693</v>
      </c>
      <c r="J725" s="5" t="s">
        <v>639</v>
      </c>
      <c r="K725" s="5" t="s">
        <v>734</v>
      </c>
      <c r="L725" s="5"/>
      <c r="M725" s="5"/>
      <c r="N725" s="7"/>
      <c r="O725" s="5" t="s">
        <v>554</v>
      </c>
      <c r="P725" s="8">
        <v>686.25</v>
      </c>
      <c r="Q725" s="8">
        <f t="shared" si="19"/>
        <v>14159.37</v>
      </c>
    </row>
    <row r="726" spans="1:17" x14ac:dyDescent="0.25">
      <c r="A726" s="5"/>
      <c r="B726" s="5"/>
      <c r="C726" s="5"/>
      <c r="D726" s="5"/>
      <c r="E726" s="5"/>
      <c r="F726" s="5"/>
      <c r="G726" s="5"/>
      <c r="H726" s="5" t="s">
        <v>596</v>
      </c>
      <c r="I726" s="6">
        <v>44693</v>
      </c>
      <c r="J726" s="5" t="s">
        <v>639</v>
      </c>
      <c r="K726" s="5" t="s">
        <v>734</v>
      </c>
      <c r="L726" s="5"/>
      <c r="M726" s="5"/>
      <c r="N726" s="7"/>
      <c r="O726" s="5" t="s">
        <v>554</v>
      </c>
      <c r="P726" s="8">
        <v>31.44</v>
      </c>
      <c r="Q726" s="8">
        <f t="shared" si="19"/>
        <v>14190.81</v>
      </c>
    </row>
    <row r="727" spans="1:17" x14ac:dyDescent="0.25">
      <c r="A727" s="5"/>
      <c r="B727" s="5"/>
      <c r="C727" s="5"/>
      <c r="D727" s="5"/>
      <c r="E727" s="5"/>
      <c r="F727" s="5"/>
      <c r="G727" s="5"/>
      <c r="H727" s="5" t="s">
        <v>596</v>
      </c>
      <c r="I727" s="6">
        <v>44693</v>
      </c>
      <c r="J727" s="5" t="s">
        <v>639</v>
      </c>
      <c r="K727" s="5" t="s">
        <v>734</v>
      </c>
      <c r="L727" s="5"/>
      <c r="M727" s="5"/>
      <c r="N727" s="7"/>
      <c r="O727" s="5" t="s">
        <v>554</v>
      </c>
      <c r="P727" s="8">
        <v>15.18</v>
      </c>
      <c r="Q727" s="8">
        <f t="shared" si="19"/>
        <v>14205.99</v>
      </c>
    </row>
    <row r="728" spans="1:17" x14ac:dyDescent="0.25">
      <c r="A728" s="5"/>
      <c r="B728" s="5"/>
      <c r="C728" s="5"/>
      <c r="D728" s="5"/>
      <c r="E728" s="5"/>
      <c r="F728" s="5"/>
      <c r="G728" s="5"/>
      <c r="H728" s="5" t="s">
        <v>596</v>
      </c>
      <c r="I728" s="6">
        <v>44693</v>
      </c>
      <c r="J728" s="5" t="s">
        <v>639</v>
      </c>
      <c r="K728" s="5" t="s">
        <v>734</v>
      </c>
      <c r="L728" s="5"/>
      <c r="M728" s="5"/>
      <c r="N728" s="7"/>
      <c r="O728" s="5" t="s">
        <v>554</v>
      </c>
      <c r="P728" s="8">
        <v>27.45</v>
      </c>
      <c r="Q728" s="8">
        <f t="shared" si="19"/>
        <v>14233.44</v>
      </c>
    </row>
    <row r="729" spans="1:17" x14ac:dyDescent="0.25">
      <c r="A729" s="5"/>
      <c r="B729" s="5"/>
      <c r="C729" s="5"/>
      <c r="D729" s="5"/>
      <c r="E729" s="5"/>
      <c r="F729" s="5"/>
      <c r="G729" s="5"/>
      <c r="H729" s="5" t="s">
        <v>596</v>
      </c>
      <c r="I729" s="6">
        <v>44707</v>
      </c>
      <c r="J729" s="5" t="s">
        <v>640</v>
      </c>
      <c r="K729" s="5" t="s">
        <v>441</v>
      </c>
      <c r="L729" s="5"/>
      <c r="M729" s="5"/>
      <c r="N729" s="7"/>
      <c r="O729" s="5" t="s">
        <v>554</v>
      </c>
      <c r="P729" s="8">
        <v>1600</v>
      </c>
      <c r="Q729" s="8">
        <f t="shared" si="19"/>
        <v>15833.44</v>
      </c>
    </row>
    <row r="730" spans="1:17" x14ac:dyDescent="0.25">
      <c r="A730" s="5"/>
      <c r="B730" s="5"/>
      <c r="C730" s="5"/>
      <c r="D730" s="5"/>
      <c r="E730" s="5"/>
      <c r="F730" s="5"/>
      <c r="G730" s="5"/>
      <c r="H730" s="5" t="s">
        <v>596</v>
      </c>
      <c r="I730" s="6">
        <v>44707</v>
      </c>
      <c r="J730" s="5" t="s">
        <v>640</v>
      </c>
      <c r="K730" s="5" t="s">
        <v>441</v>
      </c>
      <c r="L730" s="5"/>
      <c r="M730" s="5"/>
      <c r="N730" s="7"/>
      <c r="O730" s="5" t="s">
        <v>554</v>
      </c>
      <c r="P730" s="8">
        <v>83.53</v>
      </c>
      <c r="Q730" s="8">
        <f t="shared" si="19"/>
        <v>15916.97</v>
      </c>
    </row>
    <row r="731" spans="1:17" x14ac:dyDescent="0.25">
      <c r="A731" s="5"/>
      <c r="B731" s="5"/>
      <c r="C731" s="5"/>
      <c r="D731" s="5"/>
      <c r="E731" s="5"/>
      <c r="F731" s="5"/>
      <c r="G731" s="5"/>
      <c r="H731" s="5" t="s">
        <v>596</v>
      </c>
      <c r="I731" s="6">
        <v>44707</v>
      </c>
      <c r="J731" s="5" t="s">
        <v>640</v>
      </c>
      <c r="K731" s="5" t="s">
        <v>441</v>
      </c>
      <c r="L731" s="5"/>
      <c r="M731" s="5"/>
      <c r="N731" s="7"/>
      <c r="O731" s="5" t="s">
        <v>554</v>
      </c>
      <c r="P731" s="8">
        <v>35.39</v>
      </c>
      <c r="Q731" s="8">
        <f t="shared" si="19"/>
        <v>15952.36</v>
      </c>
    </row>
    <row r="732" spans="1:17" x14ac:dyDescent="0.25">
      <c r="A732" s="5"/>
      <c r="B732" s="5"/>
      <c r="C732" s="5"/>
      <c r="D732" s="5"/>
      <c r="E732" s="5"/>
      <c r="F732" s="5"/>
      <c r="G732" s="5"/>
      <c r="H732" s="5" t="s">
        <v>596</v>
      </c>
      <c r="I732" s="6">
        <v>44707</v>
      </c>
      <c r="J732" s="5" t="s">
        <v>640</v>
      </c>
      <c r="K732" s="5" t="s">
        <v>441</v>
      </c>
      <c r="L732" s="5"/>
      <c r="M732" s="5"/>
      <c r="N732" s="7"/>
      <c r="O732" s="5" t="s">
        <v>554</v>
      </c>
      <c r="P732" s="8">
        <v>64</v>
      </c>
      <c r="Q732" s="8">
        <f t="shared" si="19"/>
        <v>16016.36</v>
      </c>
    </row>
    <row r="733" spans="1:17" x14ac:dyDescent="0.25">
      <c r="A733" s="5"/>
      <c r="B733" s="5"/>
      <c r="C733" s="5"/>
      <c r="D733" s="5"/>
      <c r="E733" s="5"/>
      <c r="F733" s="5"/>
      <c r="G733" s="5"/>
      <c r="H733" s="5" t="s">
        <v>596</v>
      </c>
      <c r="I733" s="6">
        <v>44707</v>
      </c>
      <c r="J733" s="5" t="s">
        <v>641</v>
      </c>
      <c r="K733" s="5" t="s">
        <v>724</v>
      </c>
      <c r="L733" s="5"/>
      <c r="M733" s="5"/>
      <c r="N733" s="7"/>
      <c r="O733" s="5" t="s">
        <v>554</v>
      </c>
      <c r="P733" s="8">
        <v>2000</v>
      </c>
      <c r="Q733" s="8">
        <f t="shared" si="19"/>
        <v>18016.36</v>
      </c>
    </row>
    <row r="734" spans="1:17" x14ac:dyDescent="0.25">
      <c r="A734" s="5"/>
      <c r="B734" s="5"/>
      <c r="C734" s="5"/>
      <c r="D734" s="5"/>
      <c r="E734" s="5"/>
      <c r="F734" s="5"/>
      <c r="G734" s="5"/>
      <c r="H734" s="5" t="s">
        <v>596</v>
      </c>
      <c r="I734" s="6">
        <v>44707</v>
      </c>
      <c r="J734" s="5" t="s">
        <v>641</v>
      </c>
      <c r="K734" s="5" t="s">
        <v>724</v>
      </c>
      <c r="L734" s="5"/>
      <c r="M734" s="5"/>
      <c r="N734" s="7"/>
      <c r="O734" s="5" t="s">
        <v>554</v>
      </c>
      <c r="P734" s="8">
        <v>106.33</v>
      </c>
      <c r="Q734" s="8">
        <f t="shared" si="19"/>
        <v>18122.689999999999</v>
      </c>
    </row>
    <row r="735" spans="1:17" x14ac:dyDescent="0.25">
      <c r="A735" s="5"/>
      <c r="B735" s="5"/>
      <c r="C735" s="5"/>
      <c r="D735" s="5"/>
      <c r="E735" s="5"/>
      <c r="F735" s="5"/>
      <c r="G735" s="5"/>
      <c r="H735" s="5" t="s">
        <v>596</v>
      </c>
      <c r="I735" s="6">
        <v>44707</v>
      </c>
      <c r="J735" s="5" t="s">
        <v>641</v>
      </c>
      <c r="K735" s="5" t="s">
        <v>724</v>
      </c>
      <c r="L735" s="5"/>
      <c r="M735" s="5"/>
      <c r="N735" s="7"/>
      <c r="O735" s="5" t="s">
        <v>554</v>
      </c>
      <c r="P735" s="8">
        <v>44.24</v>
      </c>
      <c r="Q735" s="8">
        <f t="shared" si="19"/>
        <v>18166.93</v>
      </c>
    </row>
    <row r="736" spans="1:17" x14ac:dyDescent="0.25">
      <c r="A736" s="5"/>
      <c r="B736" s="5"/>
      <c r="C736" s="5"/>
      <c r="D736" s="5"/>
      <c r="E736" s="5"/>
      <c r="F736" s="5"/>
      <c r="G736" s="5"/>
      <c r="H736" s="5" t="s">
        <v>596</v>
      </c>
      <c r="I736" s="6">
        <v>44707</v>
      </c>
      <c r="J736" s="5" t="s">
        <v>641</v>
      </c>
      <c r="K736" s="5" t="s">
        <v>724</v>
      </c>
      <c r="L736" s="5"/>
      <c r="M736" s="5"/>
      <c r="N736" s="7"/>
      <c r="O736" s="5" t="s">
        <v>554</v>
      </c>
      <c r="P736" s="8">
        <v>80</v>
      </c>
      <c r="Q736" s="8">
        <f t="shared" si="19"/>
        <v>18246.93</v>
      </c>
    </row>
    <row r="737" spans="1:17" x14ac:dyDescent="0.25">
      <c r="A737" s="5"/>
      <c r="B737" s="5"/>
      <c r="C737" s="5"/>
      <c r="D737" s="5"/>
      <c r="E737" s="5"/>
      <c r="F737" s="5"/>
      <c r="G737" s="5"/>
      <c r="H737" s="5" t="s">
        <v>596</v>
      </c>
      <c r="I737" s="6">
        <v>44707</v>
      </c>
      <c r="J737" s="5" t="s">
        <v>642</v>
      </c>
      <c r="K737" s="5" t="s">
        <v>734</v>
      </c>
      <c r="L737" s="5"/>
      <c r="M737" s="5"/>
      <c r="N737" s="7"/>
      <c r="O737" s="5" t="s">
        <v>554</v>
      </c>
      <c r="P737" s="8">
        <v>396.5</v>
      </c>
      <c r="Q737" s="8">
        <f t="shared" si="19"/>
        <v>18643.43</v>
      </c>
    </row>
    <row r="738" spans="1:17" x14ac:dyDescent="0.25">
      <c r="A738" s="5"/>
      <c r="B738" s="5"/>
      <c r="C738" s="5"/>
      <c r="D738" s="5"/>
      <c r="E738" s="5"/>
      <c r="F738" s="5"/>
      <c r="G738" s="5"/>
      <c r="H738" s="5" t="s">
        <v>596</v>
      </c>
      <c r="I738" s="6">
        <v>44707</v>
      </c>
      <c r="J738" s="5" t="s">
        <v>642</v>
      </c>
      <c r="K738" s="5" t="s">
        <v>734</v>
      </c>
      <c r="L738" s="5"/>
      <c r="M738" s="5"/>
      <c r="N738" s="7"/>
      <c r="O738" s="5" t="s">
        <v>554</v>
      </c>
      <c r="P738" s="8">
        <v>14.93</v>
      </c>
      <c r="Q738" s="8">
        <f t="shared" si="19"/>
        <v>18658.36</v>
      </c>
    </row>
    <row r="739" spans="1:17" x14ac:dyDescent="0.25">
      <c r="A739" s="5"/>
      <c r="B739" s="5"/>
      <c r="C739" s="5"/>
      <c r="D739" s="5"/>
      <c r="E739" s="5"/>
      <c r="F739" s="5"/>
      <c r="G739" s="5"/>
      <c r="H739" s="5" t="s">
        <v>596</v>
      </c>
      <c r="I739" s="6">
        <v>44707</v>
      </c>
      <c r="J739" s="5" t="s">
        <v>642</v>
      </c>
      <c r="K739" s="5" t="s">
        <v>734</v>
      </c>
      <c r="L739" s="5"/>
      <c r="M739" s="5"/>
      <c r="N739" s="7"/>
      <c r="O739" s="5" t="s">
        <v>554</v>
      </c>
      <c r="P739" s="8">
        <v>8.76</v>
      </c>
      <c r="Q739" s="8">
        <f t="shared" si="19"/>
        <v>18667.12</v>
      </c>
    </row>
    <row r="740" spans="1:17" x14ac:dyDescent="0.25">
      <c r="A740" s="5"/>
      <c r="B740" s="5"/>
      <c r="C740" s="5"/>
      <c r="D740" s="5"/>
      <c r="E740" s="5"/>
      <c r="F740" s="5"/>
      <c r="G740" s="5"/>
      <c r="H740" s="5" t="s">
        <v>596</v>
      </c>
      <c r="I740" s="6">
        <v>44707</v>
      </c>
      <c r="J740" s="5" t="s">
        <v>642</v>
      </c>
      <c r="K740" s="5" t="s">
        <v>734</v>
      </c>
      <c r="L740" s="5"/>
      <c r="M740" s="5"/>
      <c r="N740" s="7"/>
      <c r="O740" s="5" t="s">
        <v>554</v>
      </c>
      <c r="P740" s="8">
        <v>15.86</v>
      </c>
      <c r="Q740" s="8">
        <f t="shared" si="19"/>
        <v>18682.98</v>
      </c>
    </row>
    <row r="741" spans="1:17" x14ac:dyDescent="0.25">
      <c r="A741" s="5"/>
      <c r="B741" s="5"/>
      <c r="C741" s="5"/>
      <c r="D741" s="5"/>
      <c r="E741" s="5"/>
      <c r="F741" s="5"/>
      <c r="G741" s="5"/>
      <c r="H741" s="5" t="s">
        <v>596</v>
      </c>
      <c r="I741" s="6">
        <v>44721</v>
      </c>
      <c r="J741" s="5" t="s">
        <v>643</v>
      </c>
      <c r="K741" s="5" t="s">
        <v>441</v>
      </c>
      <c r="L741" s="5"/>
      <c r="M741" s="5"/>
      <c r="N741" s="7"/>
      <c r="O741" s="5" t="s">
        <v>554</v>
      </c>
      <c r="P741" s="8">
        <v>1600</v>
      </c>
      <c r="Q741" s="8">
        <f t="shared" si="19"/>
        <v>20282.98</v>
      </c>
    </row>
    <row r="742" spans="1:17" x14ac:dyDescent="0.25">
      <c r="A742" s="5"/>
      <c r="B742" s="5"/>
      <c r="C742" s="5"/>
      <c r="D742" s="5"/>
      <c r="E742" s="5"/>
      <c r="F742" s="5"/>
      <c r="G742" s="5"/>
      <c r="H742" s="5" t="s">
        <v>596</v>
      </c>
      <c r="I742" s="6">
        <v>44721</v>
      </c>
      <c r="J742" s="5" t="s">
        <v>643</v>
      </c>
      <c r="K742" s="5" t="s">
        <v>441</v>
      </c>
      <c r="L742" s="5"/>
      <c r="M742" s="5"/>
      <c r="N742" s="7"/>
      <c r="O742" s="5" t="s">
        <v>554</v>
      </c>
      <c r="P742" s="8">
        <v>83.53</v>
      </c>
      <c r="Q742" s="8">
        <f t="shared" si="19"/>
        <v>20366.509999999998</v>
      </c>
    </row>
    <row r="743" spans="1:17" x14ac:dyDescent="0.25">
      <c r="A743" s="5"/>
      <c r="B743" s="5"/>
      <c r="C743" s="5"/>
      <c r="D743" s="5"/>
      <c r="E743" s="5"/>
      <c r="F743" s="5"/>
      <c r="G743" s="5"/>
      <c r="H743" s="5" t="s">
        <v>596</v>
      </c>
      <c r="I743" s="6">
        <v>44721</v>
      </c>
      <c r="J743" s="5" t="s">
        <v>643</v>
      </c>
      <c r="K743" s="5" t="s">
        <v>441</v>
      </c>
      <c r="L743" s="5"/>
      <c r="M743" s="5"/>
      <c r="N743" s="7"/>
      <c r="O743" s="5" t="s">
        <v>554</v>
      </c>
      <c r="P743" s="8">
        <v>35.39</v>
      </c>
      <c r="Q743" s="8">
        <f t="shared" si="19"/>
        <v>20401.900000000001</v>
      </c>
    </row>
    <row r="744" spans="1:17" x14ac:dyDescent="0.25">
      <c r="A744" s="5"/>
      <c r="B744" s="5"/>
      <c r="C744" s="5"/>
      <c r="D744" s="5"/>
      <c r="E744" s="5"/>
      <c r="F744" s="5"/>
      <c r="G744" s="5"/>
      <c r="H744" s="5" t="s">
        <v>596</v>
      </c>
      <c r="I744" s="6">
        <v>44721</v>
      </c>
      <c r="J744" s="5" t="s">
        <v>643</v>
      </c>
      <c r="K744" s="5" t="s">
        <v>441</v>
      </c>
      <c r="L744" s="5"/>
      <c r="M744" s="5"/>
      <c r="N744" s="7"/>
      <c r="O744" s="5" t="s">
        <v>554</v>
      </c>
      <c r="P744" s="8">
        <v>64</v>
      </c>
      <c r="Q744" s="8">
        <f t="shared" si="19"/>
        <v>20465.900000000001</v>
      </c>
    </row>
    <row r="745" spans="1:17" x14ac:dyDescent="0.25">
      <c r="A745" s="5"/>
      <c r="B745" s="5"/>
      <c r="C745" s="5"/>
      <c r="D745" s="5"/>
      <c r="E745" s="5"/>
      <c r="F745" s="5"/>
      <c r="G745" s="5"/>
      <c r="H745" s="5" t="s">
        <v>596</v>
      </c>
      <c r="I745" s="6">
        <v>44721</v>
      </c>
      <c r="J745" s="5" t="s">
        <v>644</v>
      </c>
      <c r="K745" s="5" t="s">
        <v>724</v>
      </c>
      <c r="L745" s="5"/>
      <c r="M745" s="5"/>
      <c r="N745" s="7"/>
      <c r="O745" s="5" t="s">
        <v>554</v>
      </c>
      <c r="P745" s="8">
        <v>2000</v>
      </c>
      <c r="Q745" s="8">
        <f t="shared" si="19"/>
        <v>22465.9</v>
      </c>
    </row>
    <row r="746" spans="1:17" x14ac:dyDescent="0.25">
      <c r="A746" s="5"/>
      <c r="B746" s="5"/>
      <c r="C746" s="5"/>
      <c r="D746" s="5"/>
      <c r="E746" s="5"/>
      <c r="F746" s="5"/>
      <c r="G746" s="5"/>
      <c r="H746" s="5" t="s">
        <v>596</v>
      </c>
      <c r="I746" s="6">
        <v>44721</v>
      </c>
      <c r="J746" s="5" t="s">
        <v>644</v>
      </c>
      <c r="K746" s="5" t="s">
        <v>724</v>
      </c>
      <c r="L746" s="5"/>
      <c r="M746" s="5"/>
      <c r="N746" s="7"/>
      <c r="O746" s="5" t="s">
        <v>554</v>
      </c>
      <c r="P746" s="8">
        <v>106.33</v>
      </c>
      <c r="Q746" s="8">
        <f t="shared" si="19"/>
        <v>22572.23</v>
      </c>
    </row>
    <row r="747" spans="1:17" x14ac:dyDescent="0.25">
      <c r="A747" s="5"/>
      <c r="B747" s="5"/>
      <c r="C747" s="5"/>
      <c r="D747" s="5"/>
      <c r="E747" s="5"/>
      <c r="F747" s="5"/>
      <c r="G747" s="5"/>
      <c r="H747" s="5" t="s">
        <v>596</v>
      </c>
      <c r="I747" s="6">
        <v>44721</v>
      </c>
      <c r="J747" s="5" t="s">
        <v>644</v>
      </c>
      <c r="K747" s="5" t="s">
        <v>724</v>
      </c>
      <c r="L747" s="5"/>
      <c r="M747" s="5"/>
      <c r="N747" s="7"/>
      <c r="O747" s="5" t="s">
        <v>554</v>
      </c>
      <c r="P747" s="8">
        <v>44.24</v>
      </c>
      <c r="Q747" s="8">
        <f t="shared" si="19"/>
        <v>22616.47</v>
      </c>
    </row>
    <row r="748" spans="1:17" x14ac:dyDescent="0.25">
      <c r="A748" s="5"/>
      <c r="B748" s="5"/>
      <c r="C748" s="5"/>
      <c r="D748" s="5"/>
      <c r="E748" s="5"/>
      <c r="F748" s="5"/>
      <c r="G748" s="5"/>
      <c r="H748" s="5" t="s">
        <v>596</v>
      </c>
      <c r="I748" s="6">
        <v>44721</v>
      </c>
      <c r="J748" s="5" t="s">
        <v>644</v>
      </c>
      <c r="K748" s="5" t="s">
        <v>724</v>
      </c>
      <c r="L748" s="5"/>
      <c r="M748" s="5"/>
      <c r="N748" s="7"/>
      <c r="O748" s="5" t="s">
        <v>554</v>
      </c>
      <c r="P748" s="8">
        <v>80</v>
      </c>
      <c r="Q748" s="8">
        <f t="shared" si="19"/>
        <v>22696.47</v>
      </c>
    </row>
    <row r="749" spans="1:17" x14ac:dyDescent="0.25">
      <c r="A749" s="5"/>
      <c r="B749" s="5"/>
      <c r="C749" s="5"/>
      <c r="D749" s="5"/>
      <c r="E749" s="5"/>
      <c r="F749" s="5"/>
      <c r="G749" s="5"/>
      <c r="H749" s="5" t="s">
        <v>596</v>
      </c>
      <c r="I749" s="6">
        <v>44721</v>
      </c>
      <c r="J749" s="5" t="s">
        <v>645</v>
      </c>
      <c r="K749" s="5" t="s">
        <v>734</v>
      </c>
      <c r="L749" s="5"/>
      <c r="M749" s="5"/>
      <c r="N749" s="7"/>
      <c r="O749" s="5" t="s">
        <v>554</v>
      </c>
      <c r="P749" s="8">
        <v>411.75</v>
      </c>
      <c r="Q749" s="8">
        <f t="shared" si="19"/>
        <v>23108.22</v>
      </c>
    </row>
    <row r="750" spans="1:17" x14ac:dyDescent="0.25">
      <c r="A750" s="5"/>
      <c r="B750" s="5"/>
      <c r="C750" s="5"/>
      <c r="D750" s="5"/>
      <c r="E750" s="5"/>
      <c r="F750" s="5"/>
      <c r="G750" s="5"/>
      <c r="H750" s="5" t="s">
        <v>596</v>
      </c>
      <c r="I750" s="6">
        <v>44721</v>
      </c>
      <c r="J750" s="5" t="s">
        <v>645</v>
      </c>
      <c r="K750" s="5" t="s">
        <v>734</v>
      </c>
      <c r="L750" s="5"/>
      <c r="M750" s="5"/>
      <c r="N750" s="7"/>
      <c r="O750" s="5" t="s">
        <v>554</v>
      </c>
      <c r="P750" s="8">
        <v>15.8</v>
      </c>
      <c r="Q750" s="8">
        <f t="shared" si="19"/>
        <v>23124.02</v>
      </c>
    </row>
    <row r="751" spans="1:17" x14ac:dyDescent="0.25">
      <c r="A751" s="5"/>
      <c r="B751" s="5"/>
      <c r="C751" s="5"/>
      <c r="D751" s="5"/>
      <c r="E751" s="5"/>
      <c r="F751" s="5"/>
      <c r="G751" s="5"/>
      <c r="H751" s="5" t="s">
        <v>596</v>
      </c>
      <c r="I751" s="6">
        <v>44721</v>
      </c>
      <c r="J751" s="5" t="s">
        <v>645</v>
      </c>
      <c r="K751" s="5" t="s">
        <v>734</v>
      </c>
      <c r="L751" s="5"/>
      <c r="M751" s="5"/>
      <c r="N751" s="7"/>
      <c r="O751" s="5" t="s">
        <v>554</v>
      </c>
      <c r="P751" s="8">
        <v>9.11</v>
      </c>
      <c r="Q751" s="8">
        <f t="shared" si="19"/>
        <v>23133.13</v>
      </c>
    </row>
    <row r="752" spans="1:17" x14ac:dyDescent="0.25">
      <c r="A752" s="5"/>
      <c r="B752" s="5"/>
      <c r="C752" s="5"/>
      <c r="D752" s="5"/>
      <c r="E752" s="5"/>
      <c r="F752" s="5"/>
      <c r="G752" s="5"/>
      <c r="H752" s="5" t="s">
        <v>596</v>
      </c>
      <c r="I752" s="6">
        <v>44721</v>
      </c>
      <c r="J752" s="5" t="s">
        <v>645</v>
      </c>
      <c r="K752" s="5" t="s">
        <v>734</v>
      </c>
      <c r="L752" s="5"/>
      <c r="M752" s="5"/>
      <c r="N752" s="7"/>
      <c r="O752" s="5" t="s">
        <v>554</v>
      </c>
      <c r="P752" s="8">
        <v>16.47</v>
      </c>
      <c r="Q752" s="8">
        <f t="shared" si="19"/>
        <v>23149.599999999999</v>
      </c>
    </row>
    <row r="753" spans="1:17" x14ac:dyDescent="0.25">
      <c r="A753" s="5"/>
      <c r="B753" s="5"/>
      <c r="C753" s="5"/>
      <c r="D753" s="5"/>
      <c r="E753" s="5"/>
      <c r="F753" s="5"/>
      <c r="G753" s="5"/>
      <c r="H753" s="5" t="s">
        <v>596</v>
      </c>
      <c r="I753" s="6">
        <v>44721</v>
      </c>
      <c r="J753" s="5" t="s">
        <v>646</v>
      </c>
      <c r="K753" s="5" t="s">
        <v>735</v>
      </c>
      <c r="L753" s="5"/>
      <c r="M753" s="5"/>
      <c r="N753" s="7"/>
      <c r="O753" s="5" t="s">
        <v>554</v>
      </c>
      <c r="P753" s="8">
        <v>660</v>
      </c>
      <c r="Q753" s="8">
        <f t="shared" si="19"/>
        <v>23809.599999999999</v>
      </c>
    </row>
    <row r="754" spans="1:17" x14ac:dyDescent="0.25">
      <c r="A754" s="5"/>
      <c r="B754" s="5"/>
      <c r="C754" s="5"/>
      <c r="D754" s="5"/>
      <c r="E754" s="5"/>
      <c r="F754" s="5"/>
      <c r="G754" s="5"/>
      <c r="H754" s="5" t="s">
        <v>596</v>
      </c>
      <c r="I754" s="6">
        <v>44721</v>
      </c>
      <c r="J754" s="5" t="s">
        <v>646</v>
      </c>
      <c r="K754" s="5" t="s">
        <v>735</v>
      </c>
      <c r="L754" s="5"/>
      <c r="M754" s="5"/>
      <c r="N754" s="7"/>
      <c r="O754" s="5" t="s">
        <v>554</v>
      </c>
      <c r="P754" s="8">
        <v>29.95</v>
      </c>
      <c r="Q754" s="8">
        <f t="shared" si="19"/>
        <v>23839.55</v>
      </c>
    </row>
    <row r="755" spans="1:17" x14ac:dyDescent="0.25">
      <c r="A755" s="5"/>
      <c r="B755" s="5"/>
      <c r="C755" s="5"/>
      <c r="D755" s="5"/>
      <c r="E755" s="5"/>
      <c r="F755" s="5"/>
      <c r="G755" s="5"/>
      <c r="H755" s="5" t="s">
        <v>596</v>
      </c>
      <c r="I755" s="6">
        <v>44721</v>
      </c>
      <c r="J755" s="5" t="s">
        <v>646</v>
      </c>
      <c r="K755" s="5" t="s">
        <v>735</v>
      </c>
      <c r="L755" s="5"/>
      <c r="M755" s="5"/>
      <c r="N755" s="7"/>
      <c r="O755" s="5" t="s">
        <v>554</v>
      </c>
      <c r="P755" s="8">
        <v>14.6</v>
      </c>
      <c r="Q755" s="8">
        <f t="shared" si="19"/>
        <v>23854.15</v>
      </c>
    </row>
    <row r="756" spans="1:17" x14ac:dyDescent="0.25">
      <c r="A756" s="5"/>
      <c r="B756" s="5"/>
      <c r="C756" s="5"/>
      <c r="D756" s="5"/>
      <c r="E756" s="5"/>
      <c r="F756" s="5"/>
      <c r="G756" s="5"/>
      <c r="H756" s="5" t="s">
        <v>596</v>
      </c>
      <c r="I756" s="6">
        <v>44721</v>
      </c>
      <c r="J756" s="5" t="s">
        <v>646</v>
      </c>
      <c r="K756" s="5" t="s">
        <v>735</v>
      </c>
      <c r="L756" s="5"/>
      <c r="M756" s="5"/>
      <c r="N756" s="7"/>
      <c r="O756" s="5" t="s">
        <v>554</v>
      </c>
      <c r="P756" s="8">
        <v>26.4</v>
      </c>
      <c r="Q756" s="8">
        <f t="shared" si="19"/>
        <v>23880.55</v>
      </c>
    </row>
    <row r="757" spans="1:17" x14ac:dyDescent="0.25">
      <c r="A757" s="5"/>
      <c r="B757" s="5"/>
      <c r="C757" s="5"/>
      <c r="D757" s="5"/>
      <c r="E757" s="5"/>
      <c r="F757" s="5"/>
      <c r="G757" s="5"/>
      <c r="H757" s="5" t="s">
        <v>596</v>
      </c>
      <c r="I757" s="6">
        <v>44735</v>
      </c>
      <c r="J757" s="5" t="s">
        <v>647</v>
      </c>
      <c r="K757" s="5" t="s">
        <v>441</v>
      </c>
      <c r="L757" s="5"/>
      <c r="M757" s="5"/>
      <c r="N757" s="7"/>
      <c r="O757" s="5" t="s">
        <v>554</v>
      </c>
      <c r="P757" s="8">
        <v>1600</v>
      </c>
      <c r="Q757" s="8">
        <f t="shared" si="19"/>
        <v>25480.55</v>
      </c>
    </row>
    <row r="758" spans="1:17" x14ac:dyDescent="0.25">
      <c r="A758" s="5"/>
      <c r="B758" s="5"/>
      <c r="C758" s="5"/>
      <c r="D758" s="5"/>
      <c r="E758" s="5"/>
      <c r="F758" s="5"/>
      <c r="G758" s="5"/>
      <c r="H758" s="5" t="s">
        <v>596</v>
      </c>
      <c r="I758" s="6">
        <v>44735</v>
      </c>
      <c r="J758" s="5" t="s">
        <v>647</v>
      </c>
      <c r="K758" s="5" t="s">
        <v>441</v>
      </c>
      <c r="L758" s="5"/>
      <c r="M758" s="5"/>
      <c r="N758" s="7"/>
      <c r="O758" s="5" t="s">
        <v>554</v>
      </c>
      <c r="P758" s="8">
        <v>83.53</v>
      </c>
      <c r="Q758" s="8">
        <f t="shared" si="19"/>
        <v>25564.080000000002</v>
      </c>
    </row>
    <row r="759" spans="1:17" x14ac:dyDescent="0.25">
      <c r="A759" s="5"/>
      <c r="B759" s="5"/>
      <c r="C759" s="5"/>
      <c r="D759" s="5"/>
      <c r="E759" s="5"/>
      <c r="F759" s="5"/>
      <c r="G759" s="5"/>
      <c r="H759" s="5" t="s">
        <v>596</v>
      </c>
      <c r="I759" s="6">
        <v>44735</v>
      </c>
      <c r="J759" s="5" t="s">
        <v>647</v>
      </c>
      <c r="K759" s="5" t="s">
        <v>441</v>
      </c>
      <c r="L759" s="5"/>
      <c r="M759" s="5"/>
      <c r="N759" s="7"/>
      <c r="O759" s="5" t="s">
        <v>554</v>
      </c>
      <c r="P759" s="8">
        <v>35.39</v>
      </c>
      <c r="Q759" s="8">
        <f t="shared" si="19"/>
        <v>25599.47</v>
      </c>
    </row>
    <row r="760" spans="1:17" x14ac:dyDescent="0.25">
      <c r="A760" s="5"/>
      <c r="B760" s="5"/>
      <c r="C760" s="5"/>
      <c r="D760" s="5"/>
      <c r="E760" s="5"/>
      <c r="F760" s="5"/>
      <c r="G760" s="5"/>
      <c r="H760" s="5" t="s">
        <v>596</v>
      </c>
      <c r="I760" s="6">
        <v>44735</v>
      </c>
      <c r="J760" s="5" t="s">
        <v>647</v>
      </c>
      <c r="K760" s="5" t="s">
        <v>441</v>
      </c>
      <c r="L760" s="5"/>
      <c r="M760" s="5"/>
      <c r="N760" s="7"/>
      <c r="O760" s="5" t="s">
        <v>554</v>
      </c>
      <c r="P760" s="8">
        <v>64</v>
      </c>
      <c r="Q760" s="8">
        <f t="shared" si="19"/>
        <v>25663.47</v>
      </c>
    </row>
    <row r="761" spans="1:17" x14ac:dyDescent="0.25">
      <c r="A761" s="5"/>
      <c r="B761" s="5"/>
      <c r="C761" s="5"/>
      <c r="D761" s="5"/>
      <c r="E761" s="5"/>
      <c r="F761" s="5"/>
      <c r="G761" s="5"/>
      <c r="H761" s="5" t="s">
        <v>596</v>
      </c>
      <c r="I761" s="6">
        <v>44735</v>
      </c>
      <c r="J761" s="5" t="s">
        <v>648</v>
      </c>
      <c r="K761" s="5" t="s">
        <v>724</v>
      </c>
      <c r="L761" s="5"/>
      <c r="M761" s="5"/>
      <c r="N761" s="7"/>
      <c r="O761" s="5" t="s">
        <v>554</v>
      </c>
      <c r="P761" s="8">
        <v>2000</v>
      </c>
      <c r="Q761" s="8">
        <f t="shared" ref="Q761:Q824" si="20">ROUND(Q760+P761,5)</f>
        <v>27663.47</v>
      </c>
    </row>
    <row r="762" spans="1:17" x14ac:dyDescent="0.25">
      <c r="A762" s="5"/>
      <c r="B762" s="5"/>
      <c r="C762" s="5"/>
      <c r="D762" s="5"/>
      <c r="E762" s="5"/>
      <c r="F762" s="5"/>
      <c r="G762" s="5"/>
      <c r="H762" s="5" t="s">
        <v>596</v>
      </c>
      <c r="I762" s="6">
        <v>44735</v>
      </c>
      <c r="J762" s="5" t="s">
        <v>648</v>
      </c>
      <c r="K762" s="5" t="s">
        <v>724</v>
      </c>
      <c r="L762" s="5"/>
      <c r="M762" s="5"/>
      <c r="N762" s="7"/>
      <c r="O762" s="5" t="s">
        <v>554</v>
      </c>
      <c r="P762" s="8">
        <v>106.33</v>
      </c>
      <c r="Q762" s="8">
        <f t="shared" si="20"/>
        <v>27769.8</v>
      </c>
    </row>
    <row r="763" spans="1:17" x14ac:dyDescent="0.25">
      <c r="A763" s="5"/>
      <c r="B763" s="5"/>
      <c r="C763" s="5"/>
      <c r="D763" s="5"/>
      <c r="E763" s="5"/>
      <c r="F763" s="5"/>
      <c r="G763" s="5"/>
      <c r="H763" s="5" t="s">
        <v>596</v>
      </c>
      <c r="I763" s="6">
        <v>44735</v>
      </c>
      <c r="J763" s="5" t="s">
        <v>648</v>
      </c>
      <c r="K763" s="5" t="s">
        <v>724</v>
      </c>
      <c r="L763" s="5"/>
      <c r="M763" s="5"/>
      <c r="N763" s="7"/>
      <c r="O763" s="5" t="s">
        <v>554</v>
      </c>
      <c r="P763" s="8">
        <v>44.24</v>
      </c>
      <c r="Q763" s="8">
        <f t="shared" si="20"/>
        <v>27814.04</v>
      </c>
    </row>
    <row r="764" spans="1:17" x14ac:dyDescent="0.25">
      <c r="A764" s="5"/>
      <c r="B764" s="5"/>
      <c r="C764" s="5"/>
      <c r="D764" s="5"/>
      <c r="E764" s="5"/>
      <c r="F764" s="5"/>
      <c r="G764" s="5"/>
      <c r="H764" s="5" t="s">
        <v>596</v>
      </c>
      <c r="I764" s="6">
        <v>44735</v>
      </c>
      <c r="J764" s="5" t="s">
        <v>648</v>
      </c>
      <c r="K764" s="5" t="s">
        <v>724</v>
      </c>
      <c r="L764" s="5"/>
      <c r="M764" s="5"/>
      <c r="N764" s="7"/>
      <c r="O764" s="5" t="s">
        <v>554</v>
      </c>
      <c r="P764" s="8">
        <v>80</v>
      </c>
      <c r="Q764" s="8">
        <f t="shared" si="20"/>
        <v>27894.04</v>
      </c>
    </row>
    <row r="765" spans="1:17" x14ac:dyDescent="0.25">
      <c r="A765" s="5"/>
      <c r="B765" s="5"/>
      <c r="C765" s="5"/>
      <c r="D765" s="5"/>
      <c r="E765" s="5"/>
      <c r="F765" s="5"/>
      <c r="G765" s="5"/>
      <c r="H765" s="5" t="s">
        <v>596</v>
      </c>
      <c r="I765" s="6">
        <v>44735</v>
      </c>
      <c r="J765" s="5" t="s">
        <v>649</v>
      </c>
      <c r="K765" s="5" t="s">
        <v>733</v>
      </c>
      <c r="L765" s="5"/>
      <c r="M765" s="5"/>
      <c r="N765" s="7"/>
      <c r="O765" s="5" t="s">
        <v>554</v>
      </c>
      <c r="P765" s="8">
        <v>846</v>
      </c>
      <c r="Q765" s="8">
        <f t="shared" si="20"/>
        <v>28740.04</v>
      </c>
    </row>
    <row r="766" spans="1:17" x14ac:dyDescent="0.25">
      <c r="A766" s="5"/>
      <c r="B766" s="5"/>
      <c r="C766" s="5"/>
      <c r="D766" s="5"/>
      <c r="E766" s="5"/>
      <c r="F766" s="5"/>
      <c r="G766" s="5"/>
      <c r="H766" s="5" t="s">
        <v>596</v>
      </c>
      <c r="I766" s="6">
        <v>44735</v>
      </c>
      <c r="J766" s="5" t="s">
        <v>649</v>
      </c>
      <c r="K766" s="5" t="s">
        <v>733</v>
      </c>
      <c r="L766" s="5"/>
      <c r="M766" s="5"/>
      <c r="N766" s="7"/>
      <c r="O766" s="5" t="s">
        <v>554</v>
      </c>
      <c r="P766" s="8">
        <v>40.549999999999997</v>
      </c>
      <c r="Q766" s="8">
        <f t="shared" si="20"/>
        <v>28780.59</v>
      </c>
    </row>
    <row r="767" spans="1:17" x14ac:dyDescent="0.25">
      <c r="A767" s="5"/>
      <c r="B767" s="5"/>
      <c r="C767" s="5"/>
      <c r="D767" s="5"/>
      <c r="E767" s="5"/>
      <c r="F767" s="5"/>
      <c r="G767" s="5"/>
      <c r="H767" s="5" t="s">
        <v>596</v>
      </c>
      <c r="I767" s="6">
        <v>44735</v>
      </c>
      <c r="J767" s="5" t="s">
        <v>649</v>
      </c>
      <c r="K767" s="5" t="s">
        <v>733</v>
      </c>
      <c r="L767" s="5"/>
      <c r="M767" s="5"/>
      <c r="N767" s="7"/>
      <c r="O767" s="5" t="s">
        <v>554</v>
      </c>
      <c r="P767" s="8">
        <v>18.72</v>
      </c>
      <c r="Q767" s="8">
        <f t="shared" si="20"/>
        <v>28799.31</v>
      </c>
    </row>
    <row r="768" spans="1:17" x14ac:dyDescent="0.25">
      <c r="A768" s="5"/>
      <c r="B768" s="5"/>
      <c r="C768" s="5"/>
      <c r="D768" s="5"/>
      <c r="E768" s="5"/>
      <c r="F768" s="5"/>
      <c r="G768" s="5"/>
      <c r="H768" s="5" t="s">
        <v>596</v>
      </c>
      <c r="I768" s="6">
        <v>44735</v>
      </c>
      <c r="J768" s="5" t="s">
        <v>649</v>
      </c>
      <c r="K768" s="5" t="s">
        <v>733</v>
      </c>
      <c r="L768" s="5"/>
      <c r="M768" s="5"/>
      <c r="N768" s="7"/>
      <c r="O768" s="5" t="s">
        <v>554</v>
      </c>
      <c r="P768" s="8">
        <v>33.840000000000003</v>
      </c>
      <c r="Q768" s="8">
        <f t="shared" si="20"/>
        <v>28833.15</v>
      </c>
    </row>
    <row r="769" spans="1:17" x14ac:dyDescent="0.25">
      <c r="A769" s="5"/>
      <c r="B769" s="5"/>
      <c r="C769" s="5"/>
      <c r="D769" s="5"/>
      <c r="E769" s="5"/>
      <c r="F769" s="5"/>
      <c r="G769" s="5"/>
      <c r="H769" s="5" t="s">
        <v>596</v>
      </c>
      <c r="I769" s="6">
        <v>44735</v>
      </c>
      <c r="J769" s="5" t="s">
        <v>650</v>
      </c>
      <c r="K769" s="5" t="s">
        <v>734</v>
      </c>
      <c r="L769" s="5"/>
      <c r="M769" s="5"/>
      <c r="N769" s="7"/>
      <c r="O769" s="5" t="s">
        <v>554</v>
      </c>
      <c r="P769" s="8">
        <v>274.5</v>
      </c>
      <c r="Q769" s="8">
        <f t="shared" si="20"/>
        <v>29107.65</v>
      </c>
    </row>
    <row r="770" spans="1:17" x14ac:dyDescent="0.25">
      <c r="A770" s="5"/>
      <c r="B770" s="5"/>
      <c r="C770" s="5"/>
      <c r="D770" s="5"/>
      <c r="E770" s="5"/>
      <c r="F770" s="5"/>
      <c r="G770" s="5"/>
      <c r="H770" s="5" t="s">
        <v>596</v>
      </c>
      <c r="I770" s="6">
        <v>44735</v>
      </c>
      <c r="J770" s="5" t="s">
        <v>650</v>
      </c>
      <c r="K770" s="5" t="s">
        <v>734</v>
      </c>
      <c r="L770" s="5"/>
      <c r="M770" s="5"/>
      <c r="N770" s="7"/>
      <c r="O770" s="5" t="s">
        <v>554</v>
      </c>
      <c r="P770" s="8">
        <v>7.97</v>
      </c>
      <c r="Q770" s="8">
        <f t="shared" si="20"/>
        <v>29115.62</v>
      </c>
    </row>
    <row r="771" spans="1:17" x14ac:dyDescent="0.25">
      <c r="A771" s="5"/>
      <c r="B771" s="5"/>
      <c r="C771" s="5"/>
      <c r="D771" s="5"/>
      <c r="E771" s="5"/>
      <c r="F771" s="5"/>
      <c r="G771" s="5"/>
      <c r="H771" s="5" t="s">
        <v>596</v>
      </c>
      <c r="I771" s="6">
        <v>44735</v>
      </c>
      <c r="J771" s="5" t="s">
        <v>650</v>
      </c>
      <c r="K771" s="5" t="s">
        <v>734</v>
      </c>
      <c r="L771" s="5"/>
      <c r="M771" s="5"/>
      <c r="N771" s="7"/>
      <c r="O771" s="5" t="s">
        <v>554</v>
      </c>
      <c r="P771" s="8">
        <v>6.08</v>
      </c>
      <c r="Q771" s="8">
        <f t="shared" si="20"/>
        <v>29121.7</v>
      </c>
    </row>
    <row r="772" spans="1:17" x14ac:dyDescent="0.25">
      <c r="A772" s="5"/>
      <c r="B772" s="5"/>
      <c r="C772" s="5"/>
      <c r="D772" s="5"/>
      <c r="E772" s="5"/>
      <c r="F772" s="5"/>
      <c r="G772" s="5"/>
      <c r="H772" s="5" t="s">
        <v>596</v>
      </c>
      <c r="I772" s="6">
        <v>44735</v>
      </c>
      <c r="J772" s="5" t="s">
        <v>650</v>
      </c>
      <c r="K772" s="5" t="s">
        <v>734</v>
      </c>
      <c r="L772" s="5"/>
      <c r="M772" s="5"/>
      <c r="N772" s="7"/>
      <c r="O772" s="5" t="s">
        <v>554</v>
      </c>
      <c r="P772" s="8">
        <v>10.98</v>
      </c>
      <c r="Q772" s="8">
        <f t="shared" si="20"/>
        <v>29132.68</v>
      </c>
    </row>
    <row r="773" spans="1:17" x14ac:dyDescent="0.25">
      <c r="A773" s="5"/>
      <c r="B773" s="5"/>
      <c r="C773" s="5"/>
      <c r="D773" s="5"/>
      <c r="E773" s="5"/>
      <c r="F773" s="5"/>
      <c r="G773" s="5"/>
      <c r="H773" s="5" t="s">
        <v>596</v>
      </c>
      <c r="I773" s="6">
        <v>44736</v>
      </c>
      <c r="J773" s="5" t="s">
        <v>651</v>
      </c>
      <c r="K773" s="5" t="s">
        <v>736</v>
      </c>
      <c r="L773" s="5"/>
      <c r="M773" s="5"/>
      <c r="N773" s="7"/>
      <c r="O773" s="5" t="s">
        <v>554</v>
      </c>
      <c r="P773" s="8">
        <v>384</v>
      </c>
      <c r="Q773" s="8">
        <f t="shared" si="20"/>
        <v>29516.68</v>
      </c>
    </row>
    <row r="774" spans="1:17" x14ac:dyDescent="0.25">
      <c r="A774" s="5"/>
      <c r="B774" s="5"/>
      <c r="C774" s="5"/>
      <c r="D774" s="5"/>
      <c r="E774" s="5"/>
      <c r="F774" s="5"/>
      <c r="G774" s="5"/>
      <c r="H774" s="5" t="s">
        <v>596</v>
      </c>
      <c r="I774" s="6">
        <v>44736</v>
      </c>
      <c r="J774" s="5" t="s">
        <v>651</v>
      </c>
      <c r="K774" s="5" t="s">
        <v>736</v>
      </c>
      <c r="L774" s="5"/>
      <c r="M774" s="5"/>
      <c r="N774" s="7"/>
      <c r="O774" s="5" t="s">
        <v>554</v>
      </c>
      <c r="P774" s="8">
        <v>0</v>
      </c>
      <c r="Q774" s="8">
        <f t="shared" si="20"/>
        <v>29516.68</v>
      </c>
    </row>
    <row r="775" spans="1:17" x14ac:dyDescent="0.25">
      <c r="A775" s="5"/>
      <c r="B775" s="5"/>
      <c r="C775" s="5"/>
      <c r="D775" s="5"/>
      <c r="E775" s="5"/>
      <c r="F775" s="5"/>
      <c r="G775" s="5"/>
      <c r="H775" s="5" t="s">
        <v>596</v>
      </c>
      <c r="I775" s="6">
        <v>44736</v>
      </c>
      <c r="J775" s="5" t="s">
        <v>651</v>
      </c>
      <c r="K775" s="5" t="s">
        <v>736</v>
      </c>
      <c r="L775" s="5"/>
      <c r="M775" s="5"/>
      <c r="N775" s="7"/>
      <c r="O775" s="5" t="s">
        <v>554</v>
      </c>
      <c r="P775" s="8">
        <v>8.5</v>
      </c>
      <c r="Q775" s="8">
        <f t="shared" si="20"/>
        <v>29525.18</v>
      </c>
    </row>
    <row r="776" spans="1:17" x14ac:dyDescent="0.25">
      <c r="A776" s="5"/>
      <c r="B776" s="5"/>
      <c r="C776" s="5"/>
      <c r="D776" s="5"/>
      <c r="E776" s="5"/>
      <c r="F776" s="5"/>
      <c r="G776" s="5"/>
      <c r="H776" s="5" t="s">
        <v>596</v>
      </c>
      <c r="I776" s="6">
        <v>44736</v>
      </c>
      <c r="J776" s="5" t="s">
        <v>651</v>
      </c>
      <c r="K776" s="5" t="s">
        <v>736</v>
      </c>
      <c r="L776" s="5"/>
      <c r="M776" s="5"/>
      <c r="N776" s="7"/>
      <c r="O776" s="5" t="s">
        <v>554</v>
      </c>
      <c r="P776" s="8">
        <v>0</v>
      </c>
      <c r="Q776" s="8">
        <f t="shared" si="20"/>
        <v>29525.18</v>
      </c>
    </row>
    <row r="777" spans="1:17" x14ac:dyDescent="0.25">
      <c r="A777" s="5"/>
      <c r="B777" s="5"/>
      <c r="C777" s="5"/>
      <c r="D777" s="5"/>
      <c r="E777" s="5"/>
      <c r="F777" s="5"/>
      <c r="G777" s="5"/>
      <c r="H777" s="5" t="s">
        <v>596</v>
      </c>
      <c r="I777" s="6">
        <v>44749</v>
      </c>
      <c r="J777" s="5" t="s">
        <v>652</v>
      </c>
      <c r="K777" s="5" t="s">
        <v>441</v>
      </c>
      <c r="L777" s="5"/>
      <c r="M777" s="5"/>
      <c r="N777" s="7"/>
      <c r="O777" s="5" t="s">
        <v>554</v>
      </c>
      <c r="P777" s="8">
        <v>1600</v>
      </c>
      <c r="Q777" s="8">
        <f t="shared" si="20"/>
        <v>31125.18</v>
      </c>
    </row>
    <row r="778" spans="1:17" x14ac:dyDescent="0.25">
      <c r="A778" s="5"/>
      <c r="B778" s="5"/>
      <c r="C778" s="5"/>
      <c r="D778" s="5"/>
      <c r="E778" s="5"/>
      <c r="F778" s="5"/>
      <c r="G778" s="5"/>
      <c r="H778" s="5" t="s">
        <v>596</v>
      </c>
      <c r="I778" s="6">
        <v>44749</v>
      </c>
      <c r="J778" s="5" t="s">
        <v>652</v>
      </c>
      <c r="K778" s="5" t="s">
        <v>441</v>
      </c>
      <c r="L778" s="5"/>
      <c r="M778" s="5"/>
      <c r="N778" s="7"/>
      <c r="O778" s="5" t="s">
        <v>554</v>
      </c>
      <c r="P778" s="8">
        <v>83.53</v>
      </c>
      <c r="Q778" s="8">
        <f t="shared" si="20"/>
        <v>31208.71</v>
      </c>
    </row>
    <row r="779" spans="1:17" x14ac:dyDescent="0.25">
      <c r="A779" s="5"/>
      <c r="B779" s="5"/>
      <c r="C779" s="5"/>
      <c r="D779" s="5"/>
      <c r="E779" s="5"/>
      <c r="F779" s="5"/>
      <c r="G779" s="5"/>
      <c r="H779" s="5" t="s">
        <v>596</v>
      </c>
      <c r="I779" s="6">
        <v>44749</v>
      </c>
      <c r="J779" s="5" t="s">
        <v>652</v>
      </c>
      <c r="K779" s="5" t="s">
        <v>441</v>
      </c>
      <c r="L779" s="5"/>
      <c r="M779" s="5"/>
      <c r="N779" s="7"/>
      <c r="O779" s="5" t="s">
        <v>554</v>
      </c>
      <c r="P779" s="8">
        <v>35.39</v>
      </c>
      <c r="Q779" s="8">
        <f t="shared" si="20"/>
        <v>31244.1</v>
      </c>
    </row>
    <row r="780" spans="1:17" x14ac:dyDescent="0.25">
      <c r="A780" s="5"/>
      <c r="B780" s="5"/>
      <c r="C780" s="5"/>
      <c r="D780" s="5"/>
      <c r="E780" s="5"/>
      <c r="F780" s="5"/>
      <c r="G780" s="5"/>
      <c r="H780" s="5" t="s">
        <v>596</v>
      </c>
      <c r="I780" s="6">
        <v>44749</v>
      </c>
      <c r="J780" s="5" t="s">
        <v>652</v>
      </c>
      <c r="K780" s="5" t="s">
        <v>441</v>
      </c>
      <c r="L780" s="5"/>
      <c r="M780" s="5"/>
      <c r="N780" s="7"/>
      <c r="O780" s="5" t="s">
        <v>554</v>
      </c>
      <c r="P780" s="8">
        <v>64</v>
      </c>
      <c r="Q780" s="8">
        <f t="shared" si="20"/>
        <v>31308.1</v>
      </c>
    </row>
    <row r="781" spans="1:17" x14ac:dyDescent="0.25">
      <c r="A781" s="5"/>
      <c r="B781" s="5"/>
      <c r="C781" s="5"/>
      <c r="D781" s="5"/>
      <c r="E781" s="5"/>
      <c r="F781" s="5"/>
      <c r="G781" s="5"/>
      <c r="H781" s="5" t="s">
        <v>596</v>
      </c>
      <c r="I781" s="6">
        <v>44749</v>
      </c>
      <c r="J781" s="5" t="s">
        <v>653</v>
      </c>
      <c r="K781" s="5" t="s">
        <v>724</v>
      </c>
      <c r="L781" s="5"/>
      <c r="M781" s="5"/>
      <c r="N781" s="7"/>
      <c r="O781" s="5" t="s">
        <v>554</v>
      </c>
      <c r="P781" s="8">
        <v>2000</v>
      </c>
      <c r="Q781" s="8">
        <f t="shared" si="20"/>
        <v>33308.1</v>
      </c>
    </row>
    <row r="782" spans="1:17" x14ac:dyDescent="0.25">
      <c r="A782" s="5"/>
      <c r="B782" s="5"/>
      <c r="C782" s="5"/>
      <c r="D782" s="5"/>
      <c r="E782" s="5"/>
      <c r="F782" s="5"/>
      <c r="G782" s="5"/>
      <c r="H782" s="5" t="s">
        <v>596</v>
      </c>
      <c r="I782" s="6">
        <v>44749</v>
      </c>
      <c r="J782" s="5" t="s">
        <v>653</v>
      </c>
      <c r="K782" s="5" t="s">
        <v>724</v>
      </c>
      <c r="L782" s="5"/>
      <c r="M782" s="5"/>
      <c r="N782" s="7"/>
      <c r="O782" s="5" t="s">
        <v>554</v>
      </c>
      <c r="P782" s="8">
        <v>106.33</v>
      </c>
      <c r="Q782" s="8">
        <f t="shared" si="20"/>
        <v>33414.43</v>
      </c>
    </row>
    <row r="783" spans="1:17" x14ac:dyDescent="0.25">
      <c r="A783" s="5"/>
      <c r="B783" s="5"/>
      <c r="C783" s="5"/>
      <c r="D783" s="5"/>
      <c r="E783" s="5"/>
      <c r="F783" s="5"/>
      <c r="G783" s="5"/>
      <c r="H783" s="5" t="s">
        <v>596</v>
      </c>
      <c r="I783" s="6">
        <v>44749</v>
      </c>
      <c r="J783" s="5" t="s">
        <v>653</v>
      </c>
      <c r="K783" s="5" t="s">
        <v>724</v>
      </c>
      <c r="L783" s="5"/>
      <c r="M783" s="5"/>
      <c r="N783" s="7"/>
      <c r="O783" s="5" t="s">
        <v>554</v>
      </c>
      <c r="P783" s="8">
        <v>44.24</v>
      </c>
      <c r="Q783" s="8">
        <f t="shared" si="20"/>
        <v>33458.67</v>
      </c>
    </row>
    <row r="784" spans="1:17" x14ac:dyDescent="0.25">
      <c r="A784" s="5"/>
      <c r="B784" s="5"/>
      <c r="C784" s="5"/>
      <c r="D784" s="5"/>
      <c r="E784" s="5"/>
      <c r="F784" s="5"/>
      <c r="G784" s="5"/>
      <c r="H784" s="5" t="s">
        <v>596</v>
      </c>
      <c r="I784" s="6">
        <v>44749</v>
      </c>
      <c r="J784" s="5" t="s">
        <v>653</v>
      </c>
      <c r="K784" s="5" t="s">
        <v>724</v>
      </c>
      <c r="L784" s="5"/>
      <c r="M784" s="5"/>
      <c r="N784" s="7"/>
      <c r="O784" s="5" t="s">
        <v>554</v>
      </c>
      <c r="P784" s="8">
        <v>80</v>
      </c>
      <c r="Q784" s="8">
        <f t="shared" si="20"/>
        <v>33538.67</v>
      </c>
    </row>
    <row r="785" spans="1:17" x14ac:dyDescent="0.25">
      <c r="A785" s="5"/>
      <c r="B785" s="5"/>
      <c r="C785" s="5"/>
      <c r="D785" s="5"/>
      <c r="E785" s="5"/>
      <c r="F785" s="5"/>
      <c r="G785" s="5"/>
      <c r="H785" s="5" t="s">
        <v>596</v>
      </c>
      <c r="I785" s="6">
        <v>44749</v>
      </c>
      <c r="J785" s="5" t="s">
        <v>654</v>
      </c>
      <c r="K785" s="5" t="s">
        <v>443</v>
      </c>
      <c r="L785" s="5"/>
      <c r="M785" s="5"/>
      <c r="N785" s="7"/>
      <c r="O785" s="5" t="s">
        <v>554</v>
      </c>
      <c r="P785" s="8">
        <v>1400</v>
      </c>
      <c r="Q785" s="8">
        <f t="shared" si="20"/>
        <v>34938.67</v>
      </c>
    </row>
    <row r="786" spans="1:17" x14ac:dyDescent="0.25">
      <c r="A786" s="5"/>
      <c r="B786" s="5"/>
      <c r="C786" s="5"/>
      <c r="D786" s="5"/>
      <c r="E786" s="5"/>
      <c r="F786" s="5"/>
      <c r="G786" s="5"/>
      <c r="H786" s="5" t="s">
        <v>596</v>
      </c>
      <c r="I786" s="6">
        <v>44749</v>
      </c>
      <c r="J786" s="5" t="s">
        <v>654</v>
      </c>
      <c r="K786" s="5" t="s">
        <v>443</v>
      </c>
      <c r="L786" s="5"/>
      <c r="M786" s="5"/>
      <c r="N786" s="7"/>
      <c r="O786" s="5" t="s">
        <v>554</v>
      </c>
      <c r="P786" s="8">
        <v>72.13</v>
      </c>
      <c r="Q786" s="8">
        <f t="shared" si="20"/>
        <v>35010.800000000003</v>
      </c>
    </row>
    <row r="787" spans="1:17" x14ac:dyDescent="0.25">
      <c r="A787" s="5"/>
      <c r="B787" s="5"/>
      <c r="C787" s="5"/>
      <c r="D787" s="5"/>
      <c r="E787" s="5"/>
      <c r="F787" s="5"/>
      <c r="G787" s="5"/>
      <c r="H787" s="5" t="s">
        <v>596</v>
      </c>
      <c r="I787" s="6">
        <v>44749</v>
      </c>
      <c r="J787" s="5" t="s">
        <v>654</v>
      </c>
      <c r="K787" s="5" t="s">
        <v>443</v>
      </c>
      <c r="L787" s="5"/>
      <c r="M787" s="5"/>
      <c r="N787" s="7"/>
      <c r="O787" s="5" t="s">
        <v>554</v>
      </c>
      <c r="P787" s="8">
        <v>30.97</v>
      </c>
      <c r="Q787" s="8">
        <f t="shared" si="20"/>
        <v>35041.769999999997</v>
      </c>
    </row>
    <row r="788" spans="1:17" x14ac:dyDescent="0.25">
      <c r="A788" s="5"/>
      <c r="B788" s="5"/>
      <c r="C788" s="5"/>
      <c r="D788" s="5"/>
      <c r="E788" s="5"/>
      <c r="F788" s="5"/>
      <c r="G788" s="5"/>
      <c r="H788" s="5" t="s">
        <v>596</v>
      </c>
      <c r="I788" s="6">
        <v>44749</v>
      </c>
      <c r="J788" s="5" t="s">
        <v>654</v>
      </c>
      <c r="K788" s="5" t="s">
        <v>443</v>
      </c>
      <c r="L788" s="5"/>
      <c r="M788" s="5"/>
      <c r="N788" s="7"/>
      <c r="O788" s="5" t="s">
        <v>554</v>
      </c>
      <c r="P788" s="8">
        <v>0</v>
      </c>
      <c r="Q788" s="8">
        <f t="shared" si="20"/>
        <v>35041.769999999997</v>
      </c>
    </row>
    <row r="789" spans="1:17" x14ac:dyDescent="0.25">
      <c r="A789" s="5"/>
      <c r="B789" s="5"/>
      <c r="C789" s="5"/>
      <c r="D789" s="5"/>
      <c r="E789" s="5"/>
      <c r="F789" s="5"/>
      <c r="G789" s="5"/>
      <c r="H789" s="5" t="s">
        <v>596</v>
      </c>
      <c r="I789" s="6">
        <v>44749</v>
      </c>
      <c r="J789" s="5" t="s">
        <v>655</v>
      </c>
      <c r="K789" s="5" t="s">
        <v>736</v>
      </c>
      <c r="L789" s="5"/>
      <c r="M789" s="5"/>
      <c r="N789" s="7"/>
      <c r="O789" s="5" t="s">
        <v>554</v>
      </c>
      <c r="P789" s="8">
        <v>384</v>
      </c>
      <c r="Q789" s="8">
        <f t="shared" si="20"/>
        <v>35425.769999999997</v>
      </c>
    </row>
    <row r="790" spans="1:17" x14ac:dyDescent="0.25">
      <c r="A790" s="5"/>
      <c r="B790" s="5"/>
      <c r="C790" s="5"/>
      <c r="D790" s="5"/>
      <c r="E790" s="5"/>
      <c r="F790" s="5"/>
      <c r="G790" s="5"/>
      <c r="H790" s="5" t="s">
        <v>596</v>
      </c>
      <c r="I790" s="6">
        <v>44749</v>
      </c>
      <c r="J790" s="5" t="s">
        <v>655</v>
      </c>
      <c r="K790" s="5" t="s">
        <v>736</v>
      </c>
      <c r="L790" s="5"/>
      <c r="M790" s="5"/>
      <c r="N790" s="7"/>
      <c r="O790" s="5" t="s">
        <v>554</v>
      </c>
      <c r="P790" s="8">
        <v>0</v>
      </c>
      <c r="Q790" s="8">
        <f t="shared" si="20"/>
        <v>35425.769999999997</v>
      </c>
    </row>
    <row r="791" spans="1:17" x14ac:dyDescent="0.25">
      <c r="A791" s="5"/>
      <c r="B791" s="5"/>
      <c r="C791" s="5"/>
      <c r="D791" s="5"/>
      <c r="E791" s="5"/>
      <c r="F791" s="5"/>
      <c r="G791" s="5"/>
      <c r="H791" s="5" t="s">
        <v>596</v>
      </c>
      <c r="I791" s="6">
        <v>44749</v>
      </c>
      <c r="J791" s="5" t="s">
        <v>655</v>
      </c>
      <c r="K791" s="5" t="s">
        <v>736</v>
      </c>
      <c r="L791" s="5"/>
      <c r="M791" s="5"/>
      <c r="N791" s="7"/>
      <c r="O791" s="5" t="s">
        <v>554</v>
      </c>
      <c r="P791" s="8">
        <v>8.5</v>
      </c>
      <c r="Q791" s="8">
        <f t="shared" si="20"/>
        <v>35434.269999999997</v>
      </c>
    </row>
    <row r="792" spans="1:17" x14ac:dyDescent="0.25">
      <c r="A792" s="5"/>
      <c r="B792" s="5"/>
      <c r="C792" s="5"/>
      <c r="D792" s="5"/>
      <c r="E792" s="5"/>
      <c r="F792" s="5"/>
      <c r="G792" s="5"/>
      <c r="H792" s="5" t="s">
        <v>596</v>
      </c>
      <c r="I792" s="6">
        <v>44749</v>
      </c>
      <c r="J792" s="5" t="s">
        <v>655</v>
      </c>
      <c r="K792" s="5" t="s">
        <v>736</v>
      </c>
      <c r="L792" s="5"/>
      <c r="M792" s="5"/>
      <c r="N792" s="7"/>
      <c r="O792" s="5" t="s">
        <v>554</v>
      </c>
      <c r="P792" s="8">
        <v>0</v>
      </c>
      <c r="Q792" s="8">
        <f t="shared" si="20"/>
        <v>35434.269999999997</v>
      </c>
    </row>
    <row r="793" spans="1:17" x14ac:dyDescent="0.25">
      <c r="A793" s="5"/>
      <c r="B793" s="5"/>
      <c r="C793" s="5"/>
      <c r="D793" s="5"/>
      <c r="E793" s="5"/>
      <c r="F793" s="5"/>
      <c r="G793" s="5"/>
      <c r="H793" s="5" t="s">
        <v>596</v>
      </c>
      <c r="I793" s="6">
        <v>44763</v>
      </c>
      <c r="J793" s="5" t="s">
        <v>656</v>
      </c>
      <c r="K793" s="5" t="s">
        <v>441</v>
      </c>
      <c r="L793" s="5"/>
      <c r="M793" s="5"/>
      <c r="N793" s="7"/>
      <c r="O793" s="5" t="s">
        <v>554</v>
      </c>
      <c r="P793" s="8">
        <v>1600</v>
      </c>
      <c r="Q793" s="8">
        <f t="shared" si="20"/>
        <v>37034.269999999997</v>
      </c>
    </row>
    <row r="794" spans="1:17" x14ac:dyDescent="0.25">
      <c r="A794" s="5"/>
      <c r="B794" s="5"/>
      <c r="C794" s="5"/>
      <c r="D794" s="5"/>
      <c r="E794" s="5"/>
      <c r="F794" s="5"/>
      <c r="G794" s="5"/>
      <c r="H794" s="5" t="s">
        <v>596</v>
      </c>
      <c r="I794" s="6">
        <v>44763</v>
      </c>
      <c r="J794" s="5" t="s">
        <v>656</v>
      </c>
      <c r="K794" s="5" t="s">
        <v>441</v>
      </c>
      <c r="L794" s="5"/>
      <c r="M794" s="5"/>
      <c r="N794" s="7"/>
      <c r="O794" s="5" t="s">
        <v>554</v>
      </c>
      <c r="P794" s="8">
        <v>83.53</v>
      </c>
      <c r="Q794" s="8">
        <f t="shared" si="20"/>
        <v>37117.800000000003</v>
      </c>
    </row>
    <row r="795" spans="1:17" x14ac:dyDescent="0.25">
      <c r="A795" s="5"/>
      <c r="B795" s="5"/>
      <c r="C795" s="5"/>
      <c r="D795" s="5"/>
      <c r="E795" s="5"/>
      <c r="F795" s="5"/>
      <c r="G795" s="5"/>
      <c r="H795" s="5" t="s">
        <v>596</v>
      </c>
      <c r="I795" s="6">
        <v>44763</v>
      </c>
      <c r="J795" s="5" t="s">
        <v>656</v>
      </c>
      <c r="K795" s="5" t="s">
        <v>441</v>
      </c>
      <c r="L795" s="5"/>
      <c r="M795" s="5"/>
      <c r="N795" s="7"/>
      <c r="O795" s="5" t="s">
        <v>554</v>
      </c>
      <c r="P795" s="8">
        <v>35.39</v>
      </c>
      <c r="Q795" s="8">
        <f t="shared" si="20"/>
        <v>37153.19</v>
      </c>
    </row>
    <row r="796" spans="1:17" x14ac:dyDescent="0.25">
      <c r="A796" s="5"/>
      <c r="B796" s="5"/>
      <c r="C796" s="5"/>
      <c r="D796" s="5"/>
      <c r="E796" s="5"/>
      <c r="F796" s="5"/>
      <c r="G796" s="5"/>
      <c r="H796" s="5" t="s">
        <v>596</v>
      </c>
      <c r="I796" s="6">
        <v>44763</v>
      </c>
      <c r="J796" s="5" t="s">
        <v>656</v>
      </c>
      <c r="K796" s="5" t="s">
        <v>441</v>
      </c>
      <c r="L796" s="5"/>
      <c r="M796" s="5"/>
      <c r="N796" s="7"/>
      <c r="O796" s="5" t="s">
        <v>554</v>
      </c>
      <c r="P796" s="8">
        <v>64</v>
      </c>
      <c r="Q796" s="8">
        <f t="shared" si="20"/>
        <v>37217.19</v>
      </c>
    </row>
    <row r="797" spans="1:17" x14ac:dyDescent="0.25">
      <c r="A797" s="5"/>
      <c r="B797" s="5"/>
      <c r="C797" s="5"/>
      <c r="D797" s="5"/>
      <c r="E797" s="5"/>
      <c r="F797" s="5"/>
      <c r="G797" s="5"/>
      <c r="H797" s="5" t="s">
        <v>596</v>
      </c>
      <c r="I797" s="6">
        <v>44763</v>
      </c>
      <c r="J797" s="5" t="s">
        <v>657</v>
      </c>
      <c r="K797" s="5" t="s">
        <v>724</v>
      </c>
      <c r="L797" s="5"/>
      <c r="M797" s="5"/>
      <c r="N797" s="7"/>
      <c r="O797" s="5" t="s">
        <v>554</v>
      </c>
      <c r="P797" s="8">
        <v>2000</v>
      </c>
      <c r="Q797" s="8">
        <f t="shared" si="20"/>
        <v>39217.19</v>
      </c>
    </row>
    <row r="798" spans="1:17" x14ac:dyDescent="0.25">
      <c r="A798" s="5"/>
      <c r="B798" s="5"/>
      <c r="C798" s="5"/>
      <c r="D798" s="5"/>
      <c r="E798" s="5"/>
      <c r="F798" s="5"/>
      <c r="G798" s="5"/>
      <c r="H798" s="5" t="s">
        <v>596</v>
      </c>
      <c r="I798" s="6">
        <v>44763</v>
      </c>
      <c r="J798" s="5" t="s">
        <v>657</v>
      </c>
      <c r="K798" s="5" t="s">
        <v>724</v>
      </c>
      <c r="L798" s="5"/>
      <c r="M798" s="5"/>
      <c r="N798" s="7"/>
      <c r="O798" s="5" t="s">
        <v>554</v>
      </c>
      <c r="P798" s="8">
        <v>106.33</v>
      </c>
      <c r="Q798" s="8">
        <f t="shared" si="20"/>
        <v>39323.519999999997</v>
      </c>
    </row>
    <row r="799" spans="1:17" x14ac:dyDescent="0.25">
      <c r="A799" s="5"/>
      <c r="B799" s="5"/>
      <c r="C799" s="5"/>
      <c r="D799" s="5"/>
      <c r="E799" s="5"/>
      <c r="F799" s="5"/>
      <c r="G799" s="5"/>
      <c r="H799" s="5" t="s">
        <v>596</v>
      </c>
      <c r="I799" s="6">
        <v>44763</v>
      </c>
      <c r="J799" s="5" t="s">
        <v>657</v>
      </c>
      <c r="K799" s="5" t="s">
        <v>724</v>
      </c>
      <c r="L799" s="5"/>
      <c r="M799" s="5"/>
      <c r="N799" s="7"/>
      <c r="O799" s="5" t="s">
        <v>554</v>
      </c>
      <c r="P799" s="8">
        <v>44.24</v>
      </c>
      <c r="Q799" s="8">
        <f t="shared" si="20"/>
        <v>39367.760000000002</v>
      </c>
    </row>
    <row r="800" spans="1:17" x14ac:dyDescent="0.25">
      <c r="A800" s="5"/>
      <c r="B800" s="5"/>
      <c r="C800" s="5"/>
      <c r="D800" s="5"/>
      <c r="E800" s="5"/>
      <c r="F800" s="5"/>
      <c r="G800" s="5"/>
      <c r="H800" s="5" t="s">
        <v>596</v>
      </c>
      <c r="I800" s="6">
        <v>44763</v>
      </c>
      <c r="J800" s="5" t="s">
        <v>657</v>
      </c>
      <c r="K800" s="5" t="s">
        <v>724</v>
      </c>
      <c r="L800" s="5"/>
      <c r="M800" s="5"/>
      <c r="N800" s="7"/>
      <c r="O800" s="5" t="s">
        <v>554</v>
      </c>
      <c r="P800" s="8">
        <v>80</v>
      </c>
      <c r="Q800" s="8">
        <f t="shared" si="20"/>
        <v>39447.760000000002</v>
      </c>
    </row>
    <row r="801" spans="1:17" x14ac:dyDescent="0.25">
      <c r="A801" s="5"/>
      <c r="B801" s="5"/>
      <c r="C801" s="5"/>
      <c r="D801" s="5"/>
      <c r="E801" s="5"/>
      <c r="F801" s="5"/>
      <c r="G801" s="5"/>
      <c r="H801" s="5" t="s">
        <v>596</v>
      </c>
      <c r="I801" s="6">
        <v>44763</v>
      </c>
      <c r="J801" s="5" t="s">
        <v>658</v>
      </c>
      <c r="K801" s="5" t="s">
        <v>443</v>
      </c>
      <c r="L801" s="5"/>
      <c r="M801" s="5"/>
      <c r="N801" s="7"/>
      <c r="O801" s="5" t="s">
        <v>554</v>
      </c>
      <c r="P801" s="8">
        <v>1400</v>
      </c>
      <c r="Q801" s="8">
        <f t="shared" si="20"/>
        <v>40847.760000000002</v>
      </c>
    </row>
    <row r="802" spans="1:17" x14ac:dyDescent="0.25">
      <c r="A802" s="5"/>
      <c r="B802" s="5"/>
      <c r="C802" s="5"/>
      <c r="D802" s="5"/>
      <c r="E802" s="5"/>
      <c r="F802" s="5"/>
      <c r="G802" s="5"/>
      <c r="H802" s="5" t="s">
        <v>596</v>
      </c>
      <c r="I802" s="6">
        <v>44763</v>
      </c>
      <c r="J802" s="5" t="s">
        <v>658</v>
      </c>
      <c r="K802" s="5" t="s">
        <v>443</v>
      </c>
      <c r="L802" s="5"/>
      <c r="M802" s="5"/>
      <c r="N802" s="7"/>
      <c r="O802" s="5" t="s">
        <v>554</v>
      </c>
      <c r="P802" s="8">
        <v>72.13</v>
      </c>
      <c r="Q802" s="8">
        <f t="shared" si="20"/>
        <v>40919.89</v>
      </c>
    </row>
    <row r="803" spans="1:17" x14ac:dyDescent="0.25">
      <c r="A803" s="5"/>
      <c r="B803" s="5"/>
      <c r="C803" s="5"/>
      <c r="D803" s="5"/>
      <c r="E803" s="5"/>
      <c r="F803" s="5"/>
      <c r="G803" s="5"/>
      <c r="H803" s="5" t="s">
        <v>596</v>
      </c>
      <c r="I803" s="6">
        <v>44763</v>
      </c>
      <c r="J803" s="5" t="s">
        <v>658</v>
      </c>
      <c r="K803" s="5" t="s">
        <v>443</v>
      </c>
      <c r="L803" s="5"/>
      <c r="M803" s="5"/>
      <c r="N803" s="7"/>
      <c r="O803" s="5" t="s">
        <v>554</v>
      </c>
      <c r="P803" s="8">
        <v>30.97</v>
      </c>
      <c r="Q803" s="8">
        <f t="shared" si="20"/>
        <v>40950.86</v>
      </c>
    </row>
    <row r="804" spans="1:17" x14ac:dyDescent="0.25">
      <c r="A804" s="5"/>
      <c r="B804" s="5"/>
      <c r="C804" s="5"/>
      <c r="D804" s="5"/>
      <c r="E804" s="5"/>
      <c r="F804" s="5"/>
      <c r="G804" s="5"/>
      <c r="H804" s="5" t="s">
        <v>596</v>
      </c>
      <c r="I804" s="6">
        <v>44763</v>
      </c>
      <c r="J804" s="5" t="s">
        <v>658</v>
      </c>
      <c r="K804" s="5" t="s">
        <v>443</v>
      </c>
      <c r="L804" s="5"/>
      <c r="M804" s="5"/>
      <c r="N804" s="7"/>
      <c r="O804" s="5" t="s">
        <v>554</v>
      </c>
      <c r="P804" s="8">
        <v>0</v>
      </c>
      <c r="Q804" s="8">
        <f t="shared" si="20"/>
        <v>40950.86</v>
      </c>
    </row>
    <row r="805" spans="1:17" x14ac:dyDescent="0.25">
      <c r="A805" s="5"/>
      <c r="B805" s="5"/>
      <c r="C805" s="5"/>
      <c r="D805" s="5"/>
      <c r="E805" s="5"/>
      <c r="F805" s="5"/>
      <c r="G805" s="5"/>
      <c r="H805" s="5" t="s">
        <v>596</v>
      </c>
      <c r="I805" s="6">
        <v>44763</v>
      </c>
      <c r="J805" s="5" t="s">
        <v>659</v>
      </c>
      <c r="K805" s="5" t="s">
        <v>736</v>
      </c>
      <c r="L805" s="5"/>
      <c r="M805" s="5"/>
      <c r="N805" s="7"/>
      <c r="O805" s="5" t="s">
        <v>554</v>
      </c>
      <c r="P805" s="8">
        <v>988</v>
      </c>
      <c r="Q805" s="8">
        <f t="shared" si="20"/>
        <v>41938.86</v>
      </c>
    </row>
    <row r="806" spans="1:17" x14ac:dyDescent="0.25">
      <c r="A806" s="5"/>
      <c r="B806" s="5"/>
      <c r="C806" s="5"/>
      <c r="D806" s="5"/>
      <c r="E806" s="5"/>
      <c r="F806" s="5"/>
      <c r="G806" s="5"/>
      <c r="H806" s="5" t="s">
        <v>596</v>
      </c>
      <c r="I806" s="6">
        <v>44763</v>
      </c>
      <c r="J806" s="5" t="s">
        <v>659</v>
      </c>
      <c r="K806" s="5" t="s">
        <v>736</v>
      </c>
      <c r="L806" s="5"/>
      <c r="M806" s="5"/>
      <c r="N806" s="7"/>
      <c r="O806" s="5" t="s">
        <v>554</v>
      </c>
      <c r="P806" s="8">
        <v>0</v>
      </c>
      <c r="Q806" s="8">
        <f t="shared" si="20"/>
        <v>41938.86</v>
      </c>
    </row>
    <row r="807" spans="1:17" x14ac:dyDescent="0.25">
      <c r="A807" s="5"/>
      <c r="B807" s="5"/>
      <c r="C807" s="5"/>
      <c r="D807" s="5"/>
      <c r="E807" s="5"/>
      <c r="F807" s="5"/>
      <c r="G807" s="5"/>
      <c r="H807" s="5" t="s">
        <v>596</v>
      </c>
      <c r="I807" s="6">
        <v>44763</v>
      </c>
      <c r="J807" s="5" t="s">
        <v>659</v>
      </c>
      <c r="K807" s="5" t="s">
        <v>736</v>
      </c>
      <c r="L807" s="5"/>
      <c r="M807" s="5"/>
      <c r="N807" s="7"/>
      <c r="O807" s="5" t="s">
        <v>554</v>
      </c>
      <c r="P807" s="8">
        <v>21.85</v>
      </c>
      <c r="Q807" s="8">
        <f t="shared" si="20"/>
        <v>41960.71</v>
      </c>
    </row>
    <row r="808" spans="1:17" x14ac:dyDescent="0.25">
      <c r="A808" s="5"/>
      <c r="B808" s="5"/>
      <c r="C808" s="5"/>
      <c r="D808" s="5"/>
      <c r="E808" s="5"/>
      <c r="F808" s="5"/>
      <c r="G808" s="5"/>
      <c r="H808" s="5" t="s">
        <v>596</v>
      </c>
      <c r="I808" s="6">
        <v>44763</v>
      </c>
      <c r="J808" s="5" t="s">
        <v>659</v>
      </c>
      <c r="K808" s="5" t="s">
        <v>736</v>
      </c>
      <c r="L808" s="5"/>
      <c r="M808" s="5"/>
      <c r="N808" s="7"/>
      <c r="O808" s="5" t="s">
        <v>554</v>
      </c>
      <c r="P808" s="8">
        <v>0</v>
      </c>
      <c r="Q808" s="8">
        <f t="shared" si="20"/>
        <v>41960.71</v>
      </c>
    </row>
    <row r="809" spans="1:17" x14ac:dyDescent="0.25">
      <c r="A809" s="5"/>
      <c r="B809" s="5"/>
      <c r="C809" s="5"/>
      <c r="D809" s="5"/>
      <c r="E809" s="5"/>
      <c r="F809" s="5"/>
      <c r="G809" s="5"/>
      <c r="H809" s="5" t="s">
        <v>596</v>
      </c>
      <c r="I809" s="6">
        <v>44768</v>
      </c>
      <c r="J809" s="5" t="s">
        <v>660</v>
      </c>
      <c r="K809" s="5" t="s">
        <v>737</v>
      </c>
      <c r="L809" s="5"/>
      <c r="M809" s="5"/>
      <c r="N809" s="7"/>
      <c r="O809" s="5" t="s">
        <v>554</v>
      </c>
      <c r="P809" s="8">
        <v>1052.25</v>
      </c>
      <c r="Q809" s="8">
        <f t="shared" si="20"/>
        <v>43012.959999999999</v>
      </c>
    </row>
    <row r="810" spans="1:17" x14ac:dyDescent="0.25">
      <c r="A810" s="5"/>
      <c r="B810" s="5"/>
      <c r="C810" s="5"/>
      <c r="D810" s="5"/>
      <c r="E810" s="5"/>
      <c r="F810" s="5"/>
      <c r="G810" s="5"/>
      <c r="H810" s="5" t="s">
        <v>596</v>
      </c>
      <c r="I810" s="6">
        <v>44768</v>
      </c>
      <c r="J810" s="5" t="s">
        <v>660</v>
      </c>
      <c r="K810" s="5" t="s">
        <v>737</v>
      </c>
      <c r="L810" s="5"/>
      <c r="M810" s="5"/>
      <c r="N810" s="7"/>
      <c r="O810" s="5" t="s">
        <v>554</v>
      </c>
      <c r="P810" s="8">
        <v>0</v>
      </c>
      <c r="Q810" s="8">
        <f t="shared" si="20"/>
        <v>43012.959999999999</v>
      </c>
    </row>
    <row r="811" spans="1:17" x14ac:dyDescent="0.25">
      <c r="A811" s="5"/>
      <c r="B811" s="5"/>
      <c r="C811" s="5"/>
      <c r="D811" s="5"/>
      <c r="E811" s="5"/>
      <c r="F811" s="5"/>
      <c r="G811" s="5"/>
      <c r="H811" s="5" t="s">
        <v>596</v>
      </c>
      <c r="I811" s="6">
        <v>44768</v>
      </c>
      <c r="J811" s="5" t="s">
        <v>660</v>
      </c>
      <c r="K811" s="5" t="s">
        <v>737</v>
      </c>
      <c r="L811" s="5"/>
      <c r="M811" s="5"/>
      <c r="N811" s="7"/>
      <c r="O811" s="5" t="s">
        <v>554</v>
      </c>
      <c r="P811" s="8">
        <v>23.28</v>
      </c>
      <c r="Q811" s="8">
        <f t="shared" si="20"/>
        <v>43036.24</v>
      </c>
    </row>
    <row r="812" spans="1:17" x14ac:dyDescent="0.25">
      <c r="A812" s="5"/>
      <c r="B812" s="5"/>
      <c r="C812" s="5"/>
      <c r="D812" s="5"/>
      <c r="E812" s="5"/>
      <c r="F812" s="5"/>
      <c r="G812" s="5"/>
      <c r="H812" s="5" t="s">
        <v>596</v>
      </c>
      <c r="I812" s="6">
        <v>44768</v>
      </c>
      <c r="J812" s="5" t="s">
        <v>660</v>
      </c>
      <c r="K812" s="5" t="s">
        <v>737</v>
      </c>
      <c r="L812" s="5"/>
      <c r="M812" s="5"/>
      <c r="N812" s="7"/>
      <c r="O812" s="5" t="s">
        <v>554</v>
      </c>
      <c r="P812" s="8">
        <v>0</v>
      </c>
      <c r="Q812" s="8">
        <f t="shared" si="20"/>
        <v>43036.24</v>
      </c>
    </row>
    <row r="813" spans="1:17" x14ac:dyDescent="0.25">
      <c r="A813" s="5"/>
      <c r="B813" s="5"/>
      <c r="C813" s="5"/>
      <c r="D813" s="5"/>
      <c r="E813" s="5"/>
      <c r="F813" s="5"/>
      <c r="G813" s="5"/>
      <c r="H813" s="5" t="s">
        <v>596</v>
      </c>
      <c r="I813" s="6">
        <v>44777</v>
      </c>
      <c r="J813" s="5" t="s">
        <v>661</v>
      </c>
      <c r="K813" s="5" t="s">
        <v>441</v>
      </c>
      <c r="L813" s="5"/>
      <c r="M813" s="5"/>
      <c r="N813" s="7"/>
      <c r="O813" s="5" t="s">
        <v>554</v>
      </c>
      <c r="P813" s="8">
        <v>1600</v>
      </c>
      <c r="Q813" s="8">
        <f t="shared" si="20"/>
        <v>44636.24</v>
      </c>
    </row>
    <row r="814" spans="1:17" x14ac:dyDescent="0.25">
      <c r="A814" s="5"/>
      <c r="B814" s="5"/>
      <c r="C814" s="5"/>
      <c r="D814" s="5"/>
      <c r="E814" s="5"/>
      <c r="F814" s="5"/>
      <c r="G814" s="5"/>
      <c r="H814" s="5" t="s">
        <v>596</v>
      </c>
      <c r="I814" s="6">
        <v>44777</v>
      </c>
      <c r="J814" s="5" t="s">
        <v>661</v>
      </c>
      <c r="K814" s="5" t="s">
        <v>441</v>
      </c>
      <c r="L814" s="5"/>
      <c r="M814" s="5"/>
      <c r="N814" s="7"/>
      <c r="O814" s="5" t="s">
        <v>554</v>
      </c>
      <c r="P814" s="8">
        <v>83.53</v>
      </c>
      <c r="Q814" s="8">
        <f t="shared" si="20"/>
        <v>44719.77</v>
      </c>
    </row>
    <row r="815" spans="1:17" x14ac:dyDescent="0.25">
      <c r="A815" s="5"/>
      <c r="B815" s="5"/>
      <c r="C815" s="5"/>
      <c r="D815" s="5"/>
      <c r="E815" s="5"/>
      <c r="F815" s="5"/>
      <c r="G815" s="5"/>
      <c r="H815" s="5" t="s">
        <v>596</v>
      </c>
      <c r="I815" s="6">
        <v>44777</v>
      </c>
      <c r="J815" s="5" t="s">
        <v>661</v>
      </c>
      <c r="K815" s="5" t="s">
        <v>441</v>
      </c>
      <c r="L815" s="5"/>
      <c r="M815" s="5"/>
      <c r="N815" s="7"/>
      <c r="O815" s="5" t="s">
        <v>554</v>
      </c>
      <c r="P815" s="8">
        <v>35.39</v>
      </c>
      <c r="Q815" s="8">
        <f t="shared" si="20"/>
        <v>44755.16</v>
      </c>
    </row>
    <row r="816" spans="1:17" x14ac:dyDescent="0.25">
      <c r="A816" s="5"/>
      <c r="B816" s="5"/>
      <c r="C816" s="5"/>
      <c r="D816" s="5"/>
      <c r="E816" s="5"/>
      <c r="F816" s="5"/>
      <c r="G816" s="5"/>
      <c r="H816" s="5" t="s">
        <v>596</v>
      </c>
      <c r="I816" s="6">
        <v>44777</v>
      </c>
      <c r="J816" s="5" t="s">
        <v>661</v>
      </c>
      <c r="K816" s="5" t="s">
        <v>441</v>
      </c>
      <c r="L816" s="5"/>
      <c r="M816" s="5"/>
      <c r="N816" s="7"/>
      <c r="O816" s="5" t="s">
        <v>554</v>
      </c>
      <c r="P816" s="8">
        <v>64</v>
      </c>
      <c r="Q816" s="8">
        <f t="shared" si="20"/>
        <v>44819.16</v>
      </c>
    </row>
    <row r="817" spans="1:17" x14ac:dyDescent="0.25">
      <c r="A817" s="5"/>
      <c r="B817" s="5"/>
      <c r="C817" s="5"/>
      <c r="D817" s="5"/>
      <c r="E817" s="5"/>
      <c r="F817" s="5"/>
      <c r="G817" s="5"/>
      <c r="H817" s="5" t="s">
        <v>596</v>
      </c>
      <c r="I817" s="6">
        <v>44777</v>
      </c>
      <c r="J817" s="5" t="s">
        <v>662</v>
      </c>
      <c r="K817" s="5" t="s">
        <v>724</v>
      </c>
      <c r="L817" s="5"/>
      <c r="M817" s="5"/>
      <c r="N817" s="7"/>
      <c r="O817" s="5" t="s">
        <v>554</v>
      </c>
      <c r="P817" s="8">
        <v>2000</v>
      </c>
      <c r="Q817" s="8">
        <f t="shared" si="20"/>
        <v>46819.16</v>
      </c>
    </row>
    <row r="818" spans="1:17" x14ac:dyDescent="0.25">
      <c r="A818" s="5"/>
      <c r="B818" s="5"/>
      <c r="C818" s="5"/>
      <c r="D818" s="5"/>
      <c r="E818" s="5"/>
      <c r="F818" s="5"/>
      <c r="G818" s="5"/>
      <c r="H818" s="5" t="s">
        <v>596</v>
      </c>
      <c r="I818" s="6">
        <v>44777</v>
      </c>
      <c r="J818" s="5" t="s">
        <v>662</v>
      </c>
      <c r="K818" s="5" t="s">
        <v>724</v>
      </c>
      <c r="L818" s="5"/>
      <c r="M818" s="5"/>
      <c r="N818" s="7"/>
      <c r="O818" s="5" t="s">
        <v>554</v>
      </c>
      <c r="P818" s="8">
        <v>106.33</v>
      </c>
      <c r="Q818" s="8">
        <f t="shared" si="20"/>
        <v>46925.49</v>
      </c>
    </row>
    <row r="819" spans="1:17" x14ac:dyDescent="0.25">
      <c r="A819" s="5"/>
      <c r="B819" s="5"/>
      <c r="C819" s="5"/>
      <c r="D819" s="5"/>
      <c r="E819" s="5"/>
      <c r="F819" s="5"/>
      <c r="G819" s="5"/>
      <c r="H819" s="5" t="s">
        <v>596</v>
      </c>
      <c r="I819" s="6">
        <v>44777</v>
      </c>
      <c r="J819" s="5" t="s">
        <v>662</v>
      </c>
      <c r="K819" s="5" t="s">
        <v>724</v>
      </c>
      <c r="L819" s="5"/>
      <c r="M819" s="5"/>
      <c r="N819" s="7"/>
      <c r="O819" s="5" t="s">
        <v>554</v>
      </c>
      <c r="P819" s="8">
        <v>44.24</v>
      </c>
      <c r="Q819" s="8">
        <f t="shared" si="20"/>
        <v>46969.73</v>
      </c>
    </row>
    <row r="820" spans="1:17" x14ac:dyDescent="0.25">
      <c r="A820" s="5"/>
      <c r="B820" s="5"/>
      <c r="C820" s="5"/>
      <c r="D820" s="5"/>
      <c r="E820" s="5"/>
      <c r="F820" s="5"/>
      <c r="G820" s="5"/>
      <c r="H820" s="5" t="s">
        <v>596</v>
      </c>
      <c r="I820" s="6">
        <v>44777</v>
      </c>
      <c r="J820" s="5" t="s">
        <v>662</v>
      </c>
      <c r="K820" s="5" t="s">
        <v>724</v>
      </c>
      <c r="L820" s="5"/>
      <c r="M820" s="5"/>
      <c r="N820" s="7"/>
      <c r="O820" s="5" t="s">
        <v>554</v>
      </c>
      <c r="P820" s="8">
        <v>80</v>
      </c>
      <c r="Q820" s="8">
        <f t="shared" si="20"/>
        <v>47049.73</v>
      </c>
    </row>
    <row r="821" spans="1:17" x14ac:dyDescent="0.25">
      <c r="A821" s="5"/>
      <c r="B821" s="5"/>
      <c r="C821" s="5"/>
      <c r="D821" s="5"/>
      <c r="E821" s="5"/>
      <c r="F821" s="5"/>
      <c r="G821" s="5"/>
      <c r="H821" s="5" t="s">
        <v>596</v>
      </c>
      <c r="I821" s="6">
        <v>44777</v>
      </c>
      <c r="J821" s="5" t="s">
        <v>663</v>
      </c>
      <c r="K821" s="5" t="s">
        <v>737</v>
      </c>
      <c r="L821" s="5"/>
      <c r="M821" s="5"/>
      <c r="N821" s="7"/>
      <c r="O821" s="5" t="s">
        <v>554</v>
      </c>
      <c r="P821" s="8">
        <v>686.25</v>
      </c>
      <c r="Q821" s="8">
        <f t="shared" si="20"/>
        <v>47735.98</v>
      </c>
    </row>
    <row r="822" spans="1:17" x14ac:dyDescent="0.25">
      <c r="A822" s="5"/>
      <c r="B822" s="5"/>
      <c r="C822" s="5"/>
      <c r="D822" s="5"/>
      <c r="E822" s="5"/>
      <c r="F822" s="5"/>
      <c r="G822" s="5"/>
      <c r="H822" s="5" t="s">
        <v>596</v>
      </c>
      <c r="I822" s="6">
        <v>44777</v>
      </c>
      <c r="J822" s="5" t="s">
        <v>663</v>
      </c>
      <c r="K822" s="5" t="s">
        <v>737</v>
      </c>
      <c r="L822" s="5"/>
      <c r="M822" s="5"/>
      <c r="N822" s="7"/>
      <c r="O822" s="5" t="s">
        <v>554</v>
      </c>
      <c r="P822" s="8">
        <v>0</v>
      </c>
      <c r="Q822" s="8">
        <f t="shared" si="20"/>
        <v>47735.98</v>
      </c>
    </row>
    <row r="823" spans="1:17" x14ac:dyDescent="0.25">
      <c r="A823" s="5"/>
      <c r="B823" s="5"/>
      <c r="C823" s="5"/>
      <c r="D823" s="5"/>
      <c r="E823" s="5"/>
      <c r="F823" s="5"/>
      <c r="G823" s="5"/>
      <c r="H823" s="5" t="s">
        <v>596</v>
      </c>
      <c r="I823" s="6">
        <v>44777</v>
      </c>
      <c r="J823" s="5" t="s">
        <v>663</v>
      </c>
      <c r="K823" s="5" t="s">
        <v>737</v>
      </c>
      <c r="L823" s="5"/>
      <c r="M823" s="5"/>
      <c r="N823" s="7"/>
      <c r="O823" s="5" t="s">
        <v>554</v>
      </c>
      <c r="P823" s="8">
        <v>15.18</v>
      </c>
      <c r="Q823" s="8">
        <f t="shared" si="20"/>
        <v>47751.16</v>
      </c>
    </row>
    <row r="824" spans="1:17" x14ac:dyDescent="0.25">
      <c r="A824" s="5"/>
      <c r="B824" s="5"/>
      <c r="C824" s="5"/>
      <c r="D824" s="5"/>
      <c r="E824" s="5"/>
      <c r="F824" s="5"/>
      <c r="G824" s="5"/>
      <c r="H824" s="5" t="s">
        <v>596</v>
      </c>
      <c r="I824" s="6">
        <v>44777</v>
      </c>
      <c r="J824" s="5" t="s">
        <v>663</v>
      </c>
      <c r="K824" s="5" t="s">
        <v>737</v>
      </c>
      <c r="L824" s="5"/>
      <c r="M824" s="5"/>
      <c r="N824" s="7"/>
      <c r="O824" s="5" t="s">
        <v>554</v>
      </c>
      <c r="P824" s="8">
        <v>0</v>
      </c>
      <c r="Q824" s="8">
        <f t="shared" si="20"/>
        <v>47751.16</v>
      </c>
    </row>
    <row r="825" spans="1:17" x14ac:dyDescent="0.25">
      <c r="A825" s="5"/>
      <c r="B825" s="5"/>
      <c r="C825" s="5"/>
      <c r="D825" s="5"/>
      <c r="E825" s="5"/>
      <c r="F825" s="5"/>
      <c r="G825" s="5"/>
      <c r="H825" s="5" t="s">
        <v>596</v>
      </c>
      <c r="I825" s="6">
        <v>44777</v>
      </c>
      <c r="J825" s="5" t="s">
        <v>664</v>
      </c>
      <c r="K825" s="5" t="s">
        <v>443</v>
      </c>
      <c r="L825" s="5"/>
      <c r="M825" s="5"/>
      <c r="N825" s="7"/>
      <c r="O825" s="5" t="s">
        <v>554</v>
      </c>
      <c r="P825" s="8">
        <v>1400</v>
      </c>
      <c r="Q825" s="8">
        <f t="shared" ref="Q825:Q888" si="21">ROUND(Q824+P825,5)</f>
        <v>49151.16</v>
      </c>
    </row>
    <row r="826" spans="1:17" x14ac:dyDescent="0.25">
      <c r="A826" s="5"/>
      <c r="B826" s="5"/>
      <c r="C826" s="5"/>
      <c r="D826" s="5"/>
      <c r="E826" s="5"/>
      <c r="F826" s="5"/>
      <c r="G826" s="5"/>
      <c r="H826" s="5" t="s">
        <v>596</v>
      </c>
      <c r="I826" s="6">
        <v>44777</v>
      </c>
      <c r="J826" s="5" t="s">
        <v>664</v>
      </c>
      <c r="K826" s="5" t="s">
        <v>443</v>
      </c>
      <c r="L826" s="5"/>
      <c r="M826" s="5"/>
      <c r="N826" s="7"/>
      <c r="O826" s="5" t="s">
        <v>554</v>
      </c>
      <c r="P826" s="8">
        <v>72.13</v>
      </c>
      <c r="Q826" s="8">
        <f t="shared" si="21"/>
        <v>49223.29</v>
      </c>
    </row>
    <row r="827" spans="1:17" x14ac:dyDescent="0.25">
      <c r="A827" s="5"/>
      <c r="B827" s="5"/>
      <c r="C827" s="5"/>
      <c r="D827" s="5"/>
      <c r="E827" s="5"/>
      <c r="F827" s="5"/>
      <c r="G827" s="5"/>
      <c r="H827" s="5" t="s">
        <v>596</v>
      </c>
      <c r="I827" s="6">
        <v>44777</v>
      </c>
      <c r="J827" s="5" t="s">
        <v>664</v>
      </c>
      <c r="K827" s="5" t="s">
        <v>443</v>
      </c>
      <c r="L827" s="5"/>
      <c r="M827" s="5"/>
      <c r="N827" s="7"/>
      <c r="O827" s="5" t="s">
        <v>554</v>
      </c>
      <c r="P827" s="8">
        <v>30.97</v>
      </c>
      <c r="Q827" s="8">
        <f t="shared" si="21"/>
        <v>49254.26</v>
      </c>
    </row>
    <row r="828" spans="1:17" x14ac:dyDescent="0.25">
      <c r="A828" s="5"/>
      <c r="B828" s="5"/>
      <c r="C828" s="5"/>
      <c r="D828" s="5"/>
      <c r="E828" s="5"/>
      <c r="F828" s="5"/>
      <c r="G828" s="5"/>
      <c r="H828" s="5" t="s">
        <v>596</v>
      </c>
      <c r="I828" s="6">
        <v>44777</v>
      </c>
      <c r="J828" s="5" t="s">
        <v>664</v>
      </c>
      <c r="K828" s="5" t="s">
        <v>443</v>
      </c>
      <c r="L828" s="5"/>
      <c r="M828" s="5"/>
      <c r="N828" s="7"/>
      <c r="O828" s="5" t="s">
        <v>554</v>
      </c>
      <c r="P828" s="8">
        <v>0</v>
      </c>
      <c r="Q828" s="8">
        <f t="shared" si="21"/>
        <v>49254.26</v>
      </c>
    </row>
    <row r="829" spans="1:17" x14ac:dyDescent="0.25">
      <c r="A829" s="5"/>
      <c r="B829" s="5"/>
      <c r="C829" s="5"/>
      <c r="D829" s="5"/>
      <c r="E829" s="5"/>
      <c r="F829" s="5"/>
      <c r="G829" s="5"/>
      <c r="H829" s="5" t="s">
        <v>596</v>
      </c>
      <c r="I829" s="6">
        <v>44777</v>
      </c>
      <c r="J829" s="5" t="s">
        <v>665</v>
      </c>
      <c r="K829" s="5" t="s">
        <v>736</v>
      </c>
      <c r="L829" s="5"/>
      <c r="M829" s="5"/>
      <c r="N829" s="7"/>
      <c r="O829" s="5" t="s">
        <v>554</v>
      </c>
      <c r="P829" s="8">
        <v>960</v>
      </c>
      <c r="Q829" s="8">
        <f t="shared" si="21"/>
        <v>50214.26</v>
      </c>
    </row>
    <row r="830" spans="1:17" x14ac:dyDescent="0.25">
      <c r="A830" s="5"/>
      <c r="B830" s="5"/>
      <c r="C830" s="5"/>
      <c r="D830" s="5"/>
      <c r="E830" s="5"/>
      <c r="F830" s="5"/>
      <c r="G830" s="5"/>
      <c r="H830" s="5" t="s">
        <v>596</v>
      </c>
      <c r="I830" s="6">
        <v>44777</v>
      </c>
      <c r="J830" s="5" t="s">
        <v>665</v>
      </c>
      <c r="K830" s="5" t="s">
        <v>736</v>
      </c>
      <c r="L830" s="5"/>
      <c r="M830" s="5"/>
      <c r="N830" s="7"/>
      <c r="O830" s="5" t="s">
        <v>554</v>
      </c>
      <c r="P830" s="8">
        <v>0</v>
      </c>
      <c r="Q830" s="8">
        <f t="shared" si="21"/>
        <v>50214.26</v>
      </c>
    </row>
    <row r="831" spans="1:17" x14ac:dyDescent="0.25">
      <c r="A831" s="5"/>
      <c r="B831" s="5"/>
      <c r="C831" s="5"/>
      <c r="D831" s="5"/>
      <c r="E831" s="5"/>
      <c r="F831" s="5"/>
      <c r="G831" s="5"/>
      <c r="H831" s="5" t="s">
        <v>596</v>
      </c>
      <c r="I831" s="6">
        <v>44777</v>
      </c>
      <c r="J831" s="5" t="s">
        <v>665</v>
      </c>
      <c r="K831" s="5" t="s">
        <v>736</v>
      </c>
      <c r="L831" s="5"/>
      <c r="M831" s="5"/>
      <c r="N831" s="7"/>
      <c r="O831" s="5" t="s">
        <v>554</v>
      </c>
      <c r="P831" s="8">
        <v>21.24</v>
      </c>
      <c r="Q831" s="8">
        <f t="shared" si="21"/>
        <v>50235.5</v>
      </c>
    </row>
    <row r="832" spans="1:17" x14ac:dyDescent="0.25">
      <c r="A832" s="5"/>
      <c r="B832" s="5"/>
      <c r="C832" s="5"/>
      <c r="D832" s="5"/>
      <c r="E832" s="5"/>
      <c r="F832" s="5"/>
      <c r="G832" s="5"/>
      <c r="H832" s="5" t="s">
        <v>596</v>
      </c>
      <c r="I832" s="6">
        <v>44777</v>
      </c>
      <c r="J832" s="5" t="s">
        <v>665</v>
      </c>
      <c r="K832" s="5" t="s">
        <v>736</v>
      </c>
      <c r="L832" s="5"/>
      <c r="M832" s="5"/>
      <c r="N832" s="7"/>
      <c r="O832" s="5" t="s">
        <v>554</v>
      </c>
      <c r="P832" s="8">
        <v>0</v>
      </c>
      <c r="Q832" s="8">
        <f t="shared" si="21"/>
        <v>50235.5</v>
      </c>
    </row>
    <row r="833" spans="1:17" x14ac:dyDescent="0.25">
      <c r="A833" s="5"/>
      <c r="B833" s="5"/>
      <c r="C833" s="5"/>
      <c r="D833" s="5"/>
      <c r="E833" s="5"/>
      <c r="F833" s="5"/>
      <c r="G833" s="5"/>
      <c r="H833" s="5" t="s">
        <v>596</v>
      </c>
      <c r="I833" s="6">
        <v>44777</v>
      </c>
      <c r="J833" s="5" t="s">
        <v>666</v>
      </c>
      <c r="K833" s="5" t="s">
        <v>738</v>
      </c>
      <c r="L833" s="5"/>
      <c r="M833" s="5"/>
      <c r="N833" s="7"/>
      <c r="O833" s="5" t="s">
        <v>554</v>
      </c>
      <c r="P833" s="8">
        <v>512</v>
      </c>
      <c r="Q833" s="8">
        <f t="shared" si="21"/>
        <v>50747.5</v>
      </c>
    </row>
    <row r="834" spans="1:17" x14ac:dyDescent="0.25">
      <c r="A834" s="5"/>
      <c r="B834" s="5"/>
      <c r="C834" s="5"/>
      <c r="D834" s="5"/>
      <c r="E834" s="5"/>
      <c r="F834" s="5"/>
      <c r="G834" s="5"/>
      <c r="H834" s="5" t="s">
        <v>596</v>
      </c>
      <c r="I834" s="6">
        <v>44777</v>
      </c>
      <c r="J834" s="5" t="s">
        <v>666</v>
      </c>
      <c r="K834" s="5" t="s">
        <v>738</v>
      </c>
      <c r="L834" s="5"/>
      <c r="M834" s="5"/>
      <c r="N834" s="7"/>
      <c r="O834" s="5" t="s">
        <v>554</v>
      </c>
      <c r="P834" s="8">
        <v>21.51</v>
      </c>
      <c r="Q834" s="8">
        <f t="shared" si="21"/>
        <v>50769.01</v>
      </c>
    </row>
    <row r="835" spans="1:17" x14ac:dyDescent="0.25">
      <c r="A835" s="5"/>
      <c r="B835" s="5"/>
      <c r="C835" s="5"/>
      <c r="D835" s="5"/>
      <c r="E835" s="5"/>
      <c r="F835" s="5"/>
      <c r="G835" s="5"/>
      <c r="H835" s="5" t="s">
        <v>596</v>
      </c>
      <c r="I835" s="6">
        <v>44777</v>
      </c>
      <c r="J835" s="5" t="s">
        <v>666</v>
      </c>
      <c r="K835" s="5" t="s">
        <v>738</v>
      </c>
      <c r="L835" s="5"/>
      <c r="M835" s="5"/>
      <c r="N835" s="7"/>
      <c r="O835" s="5" t="s">
        <v>554</v>
      </c>
      <c r="P835" s="8">
        <v>11.33</v>
      </c>
      <c r="Q835" s="8">
        <f t="shared" si="21"/>
        <v>50780.34</v>
      </c>
    </row>
    <row r="836" spans="1:17" x14ac:dyDescent="0.25">
      <c r="A836" s="5"/>
      <c r="B836" s="5"/>
      <c r="C836" s="5"/>
      <c r="D836" s="5"/>
      <c r="E836" s="5"/>
      <c r="F836" s="5"/>
      <c r="G836" s="5"/>
      <c r="H836" s="5" t="s">
        <v>596</v>
      </c>
      <c r="I836" s="6">
        <v>44777</v>
      </c>
      <c r="J836" s="5" t="s">
        <v>666</v>
      </c>
      <c r="K836" s="5" t="s">
        <v>738</v>
      </c>
      <c r="L836" s="5"/>
      <c r="M836" s="5"/>
      <c r="N836" s="7"/>
      <c r="O836" s="5" t="s">
        <v>554</v>
      </c>
      <c r="P836" s="8">
        <v>0</v>
      </c>
      <c r="Q836" s="8">
        <f t="shared" si="21"/>
        <v>50780.34</v>
      </c>
    </row>
    <row r="837" spans="1:17" x14ac:dyDescent="0.25">
      <c r="A837" s="5"/>
      <c r="B837" s="5"/>
      <c r="C837" s="5"/>
      <c r="D837" s="5"/>
      <c r="E837" s="5"/>
      <c r="F837" s="5"/>
      <c r="G837" s="5"/>
      <c r="H837" s="5" t="s">
        <v>596</v>
      </c>
      <c r="I837" s="6">
        <v>44789</v>
      </c>
      <c r="J837" s="5" t="s">
        <v>667</v>
      </c>
      <c r="K837" s="5" t="s">
        <v>739</v>
      </c>
      <c r="L837" s="5"/>
      <c r="M837" s="5"/>
      <c r="N837" s="7"/>
      <c r="O837" s="5" t="s">
        <v>554</v>
      </c>
      <c r="P837" s="8">
        <v>288</v>
      </c>
      <c r="Q837" s="8">
        <f t="shared" si="21"/>
        <v>51068.34</v>
      </c>
    </row>
    <row r="838" spans="1:17" x14ac:dyDescent="0.25">
      <c r="A838" s="5"/>
      <c r="B838" s="5"/>
      <c r="C838" s="5"/>
      <c r="D838" s="5"/>
      <c r="E838" s="5"/>
      <c r="F838" s="5"/>
      <c r="G838" s="5"/>
      <c r="H838" s="5" t="s">
        <v>596</v>
      </c>
      <c r="I838" s="6">
        <v>44789</v>
      </c>
      <c r="J838" s="5" t="s">
        <v>667</v>
      </c>
      <c r="K838" s="5" t="s">
        <v>739</v>
      </c>
      <c r="L838" s="5"/>
      <c r="M838" s="5"/>
      <c r="N838" s="7"/>
      <c r="O838" s="5" t="s">
        <v>554</v>
      </c>
      <c r="P838" s="8">
        <v>8.74</v>
      </c>
      <c r="Q838" s="8">
        <f t="shared" si="21"/>
        <v>51077.08</v>
      </c>
    </row>
    <row r="839" spans="1:17" x14ac:dyDescent="0.25">
      <c r="A839" s="5"/>
      <c r="B839" s="5"/>
      <c r="C839" s="5"/>
      <c r="D839" s="5"/>
      <c r="E839" s="5"/>
      <c r="F839" s="5"/>
      <c r="G839" s="5"/>
      <c r="H839" s="5" t="s">
        <v>596</v>
      </c>
      <c r="I839" s="6">
        <v>44789</v>
      </c>
      <c r="J839" s="5" t="s">
        <v>667</v>
      </c>
      <c r="K839" s="5" t="s">
        <v>739</v>
      </c>
      <c r="L839" s="5"/>
      <c r="M839" s="5"/>
      <c r="N839" s="7"/>
      <c r="O839" s="5" t="s">
        <v>554</v>
      </c>
      <c r="P839" s="8">
        <v>6.37</v>
      </c>
      <c r="Q839" s="8">
        <f t="shared" si="21"/>
        <v>51083.45</v>
      </c>
    </row>
    <row r="840" spans="1:17" x14ac:dyDescent="0.25">
      <c r="A840" s="5"/>
      <c r="B840" s="5"/>
      <c r="C840" s="5"/>
      <c r="D840" s="5"/>
      <c r="E840" s="5"/>
      <c r="F840" s="5"/>
      <c r="G840" s="5"/>
      <c r="H840" s="5" t="s">
        <v>596</v>
      </c>
      <c r="I840" s="6">
        <v>44789</v>
      </c>
      <c r="J840" s="5" t="s">
        <v>667</v>
      </c>
      <c r="K840" s="5" t="s">
        <v>739</v>
      </c>
      <c r="L840" s="5"/>
      <c r="M840" s="5"/>
      <c r="N840" s="7"/>
      <c r="O840" s="5" t="s">
        <v>554</v>
      </c>
      <c r="P840" s="8">
        <v>0</v>
      </c>
      <c r="Q840" s="8">
        <f t="shared" si="21"/>
        <v>51083.45</v>
      </c>
    </row>
    <row r="841" spans="1:17" x14ac:dyDescent="0.25">
      <c r="A841" s="5"/>
      <c r="B841" s="5"/>
      <c r="C841" s="5"/>
      <c r="D841" s="5"/>
      <c r="E841" s="5"/>
      <c r="F841" s="5"/>
      <c r="G841" s="5"/>
      <c r="H841" s="5" t="s">
        <v>596</v>
      </c>
      <c r="I841" s="6">
        <v>44791</v>
      </c>
      <c r="J841" s="5" t="s">
        <v>668</v>
      </c>
      <c r="K841" s="5" t="s">
        <v>441</v>
      </c>
      <c r="L841" s="5"/>
      <c r="M841" s="5"/>
      <c r="N841" s="7"/>
      <c r="O841" s="5" t="s">
        <v>554</v>
      </c>
      <c r="P841" s="8">
        <v>1600</v>
      </c>
      <c r="Q841" s="8">
        <f t="shared" si="21"/>
        <v>52683.45</v>
      </c>
    </row>
    <row r="842" spans="1:17" x14ac:dyDescent="0.25">
      <c r="A842" s="5"/>
      <c r="B842" s="5"/>
      <c r="C842" s="5"/>
      <c r="D842" s="5"/>
      <c r="E842" s="5"/>
      <c r="F842" s="5"/>
      <c r="G842" s="5"/>
      <c r="H842" s="5" t="s">
        <v>596</v>
      </c>
      <c r="I842" s="6">
        <v>44791</v>
      </c>
      <c r="J842" s="5" t="s">
        <v>668</v>
      </c>
      <c r="K842" s="5" t="s">
        <v>441</v>
      </c>
      <c r="L842" s="5"/>
      <c r="M842" s="5"/>
      <c r="N842" s="7"/>
      <c r="O842" s="5" t="s">
        <v>554</v>
      </c>
      <c r="P842" s="8">
        <v>83.53</v>
      </c>
      <c r="Q842" s="8">
        <f t="shared" si="21"/>
        <v>52766.98</v>
      </c>
    </row>
    <row r="843" spans="1:17" x14ac:dyDescent="0.25">
      <c r="A843" s="5"/>
      <c r="B843" s="5"/>
      <c r="C843" s="5"/>
      <c r="D843" s="5"/>
      <c r="E843" s="5"/>
      <c r="F843" s="5"/>
      <c r="G843" s="5"/>
      <c r="H843" s="5" t="s">
        <v>596</v>
      </c>
      <c r="I843" s="6">
        <v>44791</v>
      </c>
      <c r="J843" s="5" t="s">
        <v>668</v>
      </c>
      <c r="K843" s="5" t="s">
        <v>441</v>
      </c>
      <c r="L843" s="5"/>
      <c r="M843" s="5"/>
      <c r="N843" s="7"/>
      <c r="O843" s="5" t="s">
        <v>554</v>
      </c>
      <c r="P843" s="8">
        <v>35.39</v>
      </c>
      <c r="Q843" s="8">
        <f t="shared" si="21"/>
        <v>52802.37</v>
      </c>
    </row>
    <row r="844" spans="1:17" x14ac:dyDescent="0.25">
      <c r="A844" s="5"/>
      <c r="B844" s="5"/>
      <c r="C844" s="5"/>
      <c r="D844" s="5"/>
      <c r="E844" s="5"/>
      <c r="F844" s="5"/>
      <c r="G844" s="5"/>
      <c r="H844" s="5" t="s">
        <v>596</v>
      </c>
      <c r="I844" s="6">
        <v>44791</v>
      </c>
      <c r="J844" s="5" t="s">
        <v>668</v>
      </c>
      <c r="K844" s="5" t="s">
        <v>441</v>
      </c>
      <c r="L844" s="5"/>
      <c r="M844" s="5"/>
      <c r="N844" s="7"/>
      <c r="O844" s="5" t="s">
        <v>554</v>
      </c>
      <c r="P844" s="8">
        <v>64</v>
      </c>
      <c r="Q844" s="8">
        <f t="shared" si="21"/>
        <v>52866.37</v>
      </c>
    </row>
    <row r="845" spans="1:17" x14ac:dyDescent="0.25">
      <c r="A845" s="5"/>
      <c r="B845" s="5"/>
      <c r="C845" s="5"/>
      <c r="D845" s="5"/>
      <c r="E845" s="5"/>
      <c r="F845" s="5"/>
      <c r="G845" s="5"/>
      <c r="H845" s="5" t="s">
        <v>596</v>
      </c>
      <c r="I845" s="6">
        <v>44791</v>
      </c>
      <c r="J845" s="5" t="s">
        <v>669</v>
      </c>
      <c r="K845" s="5" t="s">
        <v>724</v>
      </c>
      <c r="L845" s="5"/>
      <c r="M845" s="5"/>
      <c r="N845" s="7"/>
      <c r="O845" s="5" t="s">
        <v>554</v>
      </c>
      <c r="P845" s="8">
        <v>2000</v>
      </c>
      <c r="Q845" s="8">
        <f t="shared" si="21"/>
        <v>54866.37</v>
      </c>
    </row>
    <row r="846" spans="1:17" x14ac:dyDescent="0.25">
      <c r="A846" s="5"/>
      <c r="B846" s="5"/>
      <c r="C846" s="5"/>
      <c r="D846" s="5"/>
      <c r="E846" s="5"/>
      <c r="F846" s="5"/>
      <c r="G846" s="5"/>
      <c r="H846" s="5" t="s">
        <v>596</v>
      </c>
      <c r="I846" s="6">
        <v>44791</v>
      </c>
      <c r="J846" s="5" t="s">
        <v>669</v>
      </c>
      <c r="K846" s="5" t="s">
        <v>724</v>
      </c>
      <c r="L846" s="5"/>
      <c r="M846" s="5"/>
      <c r="N846" s="7"/>
      <c r="O846" s="5" t="s">
        <v>554</v>
      </c>
      <c r="P846" s="8">
        <v>106.33</v>
      </c>
      <c r="Q846" s="8">
        <f t="shared" si="21"/>
        <v>54972.7</v>
      </c>
    </row>
    <row r="847" spans="1:17" x14ac:dyDescent="0.25">
      <c r="A847" s="5"/>
      <c r="B847" s="5"/>
      <c r="C847" s="5"/>
      <c r="D847" s="5"/>
      <c r="E847" s="5"/>
      <c r="F847" s="5"/>
      <c r="G847" s="5"/>
      <c r="H847" s="5" t="s">
        <v>596</v>
      </c>
      <c r="I847" s="6">
        <v>44791</v>
      </c>
      <c r="J847" s="5" t="s">
        <v>669</v>
      </c>
      <c r="K847" s="5" t="s">
        <v>724</v>
      </c>
      <c r="L847" s="5"/>
      <c r="M847" s="5"/>
      <c r="N847" s="7"/>
      <c r="O847" s="5" t="s">
        <v>554</v>
      </c>
      <c r="P847" s="8">
        <v>44.24</v>
      </c>
      <c r="Q847" s="8">
        <f t="shared" si="21"/>
        <v>55016.94</v>
      </c>
    </row>
    <row r="848" spans="1:17" x14ac:dyDescent="0.25">
      <c r="A848" s="5"/>
      <c r="B848" s="5"/>
      <c r="C848" s="5"/>
      <c r="D848" s="5"/>
      <c r="E848" s="5"/>
      <c r="F848" s="5"/>
      <c r="G848" s="5"/>
      <c r="H848" s="5" t="s">
        <v>596</v>
      </c>
      <c r="I848" s="6">
        <v>44791</v>
      </c>
      <c r="J848" s="5" t="s">
        <v>669</v>
      </c>
      <c r="K848" s="5" t="s">
        <v>724</v>
      </c>
      <c r="L848" s="5"/>
      <c r="M848" s="5"/>
      <c r="N848" s="7"/>
      <c r="O848" s="5" t="s">
        <v>554</v>
      </c>
      <c r="P848" s="8">
        <v>80</v>
      </c>
      <c r="Q848" s="8">
        <f t="shared" si="21"/>
        <v>55096.94</v>
      </c>
    </row>
    <row r="849" spans="1:17" x14ac:dyDescent="0.25">
      <c r="A849" s="5"/>
      <c r="B849" s="5"/>
      <c r="C849" s="5"/>
      <c r="D849" s="5"/>
      <c r="E849" s="5"/>
      <c r="F849" s="5"/>
      <c r="G849" s="5"/>
      <c r="H849" s="5" t="s">
        <v>596</v>
      </c>
      <c r="I849" s="6">
        <v>44791</v>
      </c>
      <c r="J849" s="5" t="s">
        <v>670</v>
      </c>
      <c r="K849" s="5" t="s">
        <v>739</v>
      </c>
      <c r="L849" s="5"/>
      <c r="M849" s="5"/>
      <c r="N849" s="7"/>
      <c r="O849" s="5" t="s">
        <v>554</v>
      </c>
      <c r="P849" s="8">
        <v>612</v>
      </c>
      <c r="Q849" s="8">
        <f t="shared" si="21"/>
        <v>55708.94</v>
      </c>
    </row>
    <row r="850" spans="1:17" x14ac:dyDescent="0.25">
      <c r="A850" s="5"/>
      <c r="B850" s="5"/>
      <c r="C850" s="5"/>
      <c r="D850" s="5"/>
      <c r="E850" s="5"/>
      <c r="F850" s="5"/>
      <c r="G850" s="5"/>
      <c r="H850" s="5" t="s">
        <v>596</v>
      </c>
      <c r="I850" s="6">
        <v>44791</v>
      </c>
      <c r="J850" s="5" t="s">
        <v>670</v>
      </c>
      <c r="K850" s="5" t="s">
        <v>739</v>
      </c>
      <c r="L850" s="5"/>
      <c r="M850" s="5"/>
      <c r="N850" s="7"/>
      <c r="O850" s="5" t="s">
        <v>554</v>
      </c>
      <c r="P850" s="8">
        <v>27.21</v>
      </c>
      <c r="Q850" s="8">
        <f t="shared" si="21"/>
        <v>55736.15</v>
      </c>
    </row>
    <row r="851" spans="1:17" x14ac:dyDescent="0.25">
      <c r="A851" s="5"/>
      <c r="B851" s="5"/>
      <c r="C851" s="5"/>
      <c r="D851" s="5"/>
      <c r="E851" s="5"/>
      <c r="F851" s="5"/>
      <c r="G851" s="5"/>
      <c r="H851" s="5" t="s">
        <v>596</v>
      </c>
      <c r="I851" s="6">
        <v>44791</v>
      </c>
      <c r="J851" s="5" t="s">
        <v>670</v>
      </c>
      <c r="K851" s="5" t="s">
        <v>739</v>
      </c>
      <c r="L851" s="5"/>
      <c r="M851" s="5"/>
      <c r="N851" s="7"/>
      <c r="O851" s="5" t="s">
        <v>554</v>
      </c>
      <c r="P851" s="8">
        <v>13.54</v>
      </c>
      <c r="Q851" s="8">
        <f t="shared" si="21"/>
        <v>55749.69</v>
      </c>
    </row>
    <row r="852" spans="1:17" x14ac:dyDescent="0.25">
      <c r="A852" s="5"/>
      <c r="B852" s="5"/>
      <c r="C852" s="5"/>
      <c r="D852" s="5"/>
      <c r="E852" s="5"/>
      <c r="F852" s="5"/>
      <c r="G852" s="5"/>
      <c r="H852" s="5" t="s">
        <v>596</v>
      </c>
      <c r="I852" s="6">
        <v>44791</v>
      </c>
      <c r="J852" s="5" t="s">
        <v>670</v>
      </c>
      <c r="K852" s="5" t="s">
        <v>739</v>
      </c>
      <c r="L852" s="5"/>
      <c r="M852" s="5"/>
      <c r="N852" s="7"/>
      <c r="O852" s="5" t="s">
        <v>554</v>
      </c>
      <c r="P852" s="8">
        <v>0</v>
      </c>
      <c r="Q852" s="8">
        <f t="shared" si="21"/>
        <v>55749.69</v>
      </c>
    </row>
    <row r="853" spans="1:17" x14ac:dyDescent="0.25">
      <c r="A853" s="5"/>
      <c r="B853" s="5"/>
      <c r="C853" s="5"/>
      <c r="D853" s="5"/>
      <c r="E853" s="5"/>
      <c r="F853" s="5"/>
      <c r="G853" s="5"/>
      <c r="H853" s="5" t="s">
        <v>596</v>
      </c>
      <c r="I853" s="6">
        <v>44791</v>
      </c>
      <c r="J853" s="5" t="s">
        <v>671</v>
      </c>
      <c r="K853" s="5" t="s">
        <v>737</v>
      </c>
      <c r="L853" s="5"/>
      <c r="M853" s="5"/>
      <c r="N853" s="7"/>
      <c r="O853" s="5" t="s">
        <v>554</v>
      </c>
      <c r="P853" s="8">
        <v>686.25</v>
      </c>
      <c r="Q853" s="8">
        <f t="shared" si="21"/>
        <v>56435.94</v>
      </c>
    </row>
    <row r="854" spans="1:17" x14ac:dyDescent="0.25">
      <c r="A854" s="5"/>
      <c r="B854" s="5"/>
      <c r="C854" s="5"/>
      <c r="D854" s="5"/>
      <c r="E854" s="5"/>
      <c r="F854" s="5"/>
      <c r="G854" s="5"/>
      <c r="H854" s="5" t="s">
        <v>596</v>
      </c>
      <c r="I854" s="6">
        <v>44791</v>
      </c>
      <c r="J854" s="5" t="s">
        <v>671</v>
      </c>
      <c r="K854" s="5" t="s">
        <v>737</v>
      </c>
      <c r="L854" s="5"/>
      <c r="M854" s="5"/>
      <c r="N854" s="7"/>
      <c r="O854" s="5" t="s">
        <v>554</v>
      </c>
      <c r="P854" s="8">
        <v>0</v>
      </c>
      <c r="Q854" s="8">
        <f t="shared" si="21"/>
        <v>56435.94</v>
      </c>
    </row>
    <row r="855" spans="1:17" x14ac:dyDescent="0.25">
      <c r="A855" s="5"/>
      <c r="B855" s="5"/>
      <c r="C855" s="5"/>
      <c r="D855" s="5"/>
      <c r="E855" s="5"/>
      <c r="F855" s="5"/>
      <c r="G855" s="5"/>
      <c r="H855" s="5" t="s">
        <v>596</v>
      </c>
      <c r="I855" s="6">
        <v>44791</v>
      </c>
      <c r="J855" s="5" t="s">
        <v>671</v>
      </c>
      <c r="K855" s="5" t="s">
        <v>737</v>
      </c>
      <c r="L855" s="5"/>
      <c r="M855" s="5"/>
      <c r="N855" s="7"/>
      <c r="O855" s="5" t="s">
        <v>554</v>
      </c>
      <c r="P855" s="8">
        <v>15.18</v>
      </c>
      <c r="Q855" s="8">
        <f t="shared" si="21"/>
        <v>56451.12</v>
      </c>
    </row>
    <row r="856" spans="1:17" x14ac:dyDescent="0.25">
      <c r="A856" s="5"/>
      <c r="B856" s="5"/>
      <c r="C856" s="5"/>
      <c r="D856" s="5"/>
      <c r="E856" s="5"/>
      <c r="F856" s="5"/>
      <c r="G856" s="5"/>
      <c r="H856" s="5" t="s">
        <v>596</v>
      </c>
      <c r="I856" s="6">
        <v>44791</v>
      </c>
      <c r="J856" s="5" t="s">
        <v>671</v>
      </c>
      <c r="K856" s="5" t="s">
        <v>737</v>
      </c>
      <c r="L856" s="5"/>
      <c r="M856" s="5"/>
      <c r="N856" s="7"/>
      <c r="O856" s="5" t="s">
        <v>554</v>
      </c>
      <c r="P856" s="8">
        <v>0</v>
      </c>
      <c r="Q856" s="8">
        <f t="shared" si="21"/>
        <v>56451.12</v>
      </c>
    </row>
    <row r="857" spans="1:17" x14ac:dyDescent="0.25">
      <c r="A857" s="5"/>
      <c r="B857" s="5"/>
      <c r="C857" s="5"/>
      <c r="D857" s="5"/>
      <c r="E857" s="5"/>
      <c r="F857" s="5"/>
      <c r="G857" s="5"/>
      <c r="H857" s="5" t="s">
        <v>596</v>
      </c>
      <c r="I857" s="6">
        <v>44791</v>
      </c>
      <c r="J857" s="5" t="s">
        <v>672</v>
      </c>
      <c r="K857" s="5" t="s">
        <v>443</v>
      </c>
      <c r="L857" s="5"/>
      <c r="M857" s="5"/>
      <c r="N857" s="7"/>
      <c r="O857" s="5" t="s">
        <v>554</v>
      </c>
      <c r="P857" s="8">
        <v>1400</v>
      </c>
      <c r="Q857" s="8">
        <f t="shared" si="21"/>
        <v>57851.12</v>
      </c>
    </row>
    <row r="858" spans="1:17" x14ac:dyDescent="0.25">
      <c r="A858" s="5"/>
      <c r="B858" s="5"/>
      <c r="C858" s="5"/>
      <c r="D858" s="5"/>
      <c r="E858" s="5"/>
      <c r="F858" s="5"/>
      <c r="G858" s="5"/>
      <c r="H858" s="5" t="s">
        <v>596</v>
      </c>
      <c r="I858" s="6">
        <v>44791</v>
      </c>
      <c r="J858" s="5" t="s">
        <v>672</v>
      </c>
      <c r="K858" s="5" t="s">
        <v>443</v>
      </c>
      <c r="L858" s="5"/>
      <c r="M858" s="5"/>
      <c r="N858" s="7"/>
      <c r="O858" s="5" t="s">
        <v>554</v>
      </c>
      <c r="P858" s="8">
        <v>72.13</v>
      </c>
      <c r="Q858" s="8">
        <f t="shared" si="21"/>
        <v>57923.25</v>
      </c>
    </row>
    <row r="859" spans="1:17" x14ac:dyDescent="0.25">
      <c r="A859" s="5"/>
      <c r="B859" s="5"/>
      <c r="C859" s="5"/>
      <c r="D859" s="5"/>
      <c r="E859" s="5"/>
      <c r="F859" s="5"/>
      <c r="G859" s="5"/>
      <c r="H859" s="5" t="s">
        <v>596</v>
      </c>
      <c r="I859" s="6">
        <v>44791</v>
      </c>
      <c r="J859" s="5" t="s">
        <v>672</v>
      </c>
      <c r="K859" s="5" t="s">
        <v>443</v>
      </c>
      <c r="L859" s="5"/>
      <c r="M859" s="5"/>
      <c r="N859" s="7"/>
      <c r="O859" s="5" t="s">
        <v>554</v>
      </c>
      <c r="P859" s="8">
        <v>30.97</v>
      </c>
      <c r="Q859" s="8">
        <f t="shared" si="21"/>
        <v>57954.22</v>
      </c>
    </row>
    <row r="860" spans="1:17" x14ac:dyDescent="0.25">
      <c r="A860" s="5"/>
      <c r="B860" s="5"/>
      <c r="C860" s="5"/>
      <c r="D860" s="5"/>
      <c r="E860" s="5"/>
      <c r="F860" s="5"/>
      <c r="G860" s="5"/>
      <c r="H860" s="5" t="s">
        <v>596</v>
      </c>
      <c r="I860" s="6">
        <v>44791</v>
      </c>
      <c r="J860" s="5" t="s">
        <v>672</v>
      </c>
      <c r="K860" s="5" t="s">
        <v>443</v>
      </c>
      <c r="L860" s="5"/>
      <c r="M860" s="5"/>
      <c r="N860" s="7"/>
      <c r="O860" s="5" t="s">
        <v>554</v>
      </c>
      <c r="P860" s="8">
        <v>0</v>
      </c>
      <c r="Q860" s="8">
        <f t="shared" si="21"/>
        <v>57954.22</v>
      </c>
    </row>
    <row r="861" spans="1:17" x14ac:dyDescent="0.25">
      <c r="A861" s="5"/>
      <c r="B861" s="5"/>
      <c r="C861" s="5"/>
      <c r="D861" s="5"/>
      <c r="E861" s="5"/>
      <c r="F861" s="5"/>
      <c r="G861" s="5"/>
      <c r="H861" s="5" t="s">
        <v>596</v>
      </c>
      <c r="I861" s="6">
        <v>44791</v>
      </c>
      <c r="J861" s="5" t="s">
        <v>673</v>
      </c>
      <c r="K861" s="5" t="s">
        <v>736</v>
      </c>
      <c r="L861" s="5"/>
      <c r="M861" s="5"/>
      <c r="N861" s="7"/>
      <c r="O861" s="5" t="s">
        <v>554</v>
      </c>
      <c r="P861" s="8">
        <v>1280</v>
      </c>
      <c r="Q861" s="8">
        <f t="shared" si="21"/>
        <v>59234.22</v>
      </c>
    </row>
    <row r="862" spans="1:17" x14ac:dyDescent="0.25">
      <c r="A862" s="5"/>
      <c r="B862" s="5"/>
      <c r="C862" s="5"/>
      <c r="D862" s="5"/>
      <c r="E862" s="5"/>
      <c r="F862" s="5"/>
      <c r="G862" s="5"/>
      <c r="H862" s="5" t="s">
        <v>596</v>
      </c>
      <c r="I862" s="6">
        <v>44791</v>
      </c>
      <c r="J862" s="5" t="s">
        <v>673</v>
      </c>
      <c r="K862" s="5" t="s">
        <v>736</v>
      </c>
      <c r="L862" s="5"/>
      <c r="M862" s="5"/>
      <c r="N862" s="7"/>
      <c r="O862" s="5" t="s">
        <v>554</v>
      </c>
      <c r="P862" s="8">
        <v>0</v>
      </c>
      <c r="Q862" s="8">
        <f t="shared" si="21"/>
        <v>59234.22</v>
      </c>
    </row>
    <row r="863" spans="1:17" x14ac:dyDescent="0.25">
      <c r="A863" s="5"/>
      <c r="B863" s="5"/>
      <c r="C863" s="5"/>
      <c r="D863" s="5"/>
      <c r="E863" s="5"/>
      <c r="F863" s="5"/>
      <c r="G863" s="5"/>
      <c r="H863" s="5" t="s">
        <v>596</v>
      </c>
      <c r="I863" s="6">
        <v>44791</v>
      </c>
      <c r="J863" s="5" t="s">
        <v>673</v>
      </c>
      <c r="K863" s="5" t="s">
        <v>736</v>
      </c>
      <c r="L863" s="5"/>
      <c r="M863" s="5"/>
      <c r="N863" s="7"/>
      <c r="O863" s="5" t="s">
        <v>554</v>
      </c>
      <c r="P863" s="8">
        <v>28.31</v>
      </c>
      <c r="Q863" s="8">
        <f t="shared" si="21"/>
        <v>59262.53</v>
      </c>
    </row>
    <row r="864" spans="1:17" x14ac:dyDescent="0.25">
      <c r="A864" s="5"/>
      <c r="B864" s="5"/>
      <c r="C864" s="5"/>
      <c r="D864" s="5"/>
      <c r="E864" s="5"/>
      <c r="F864" s="5"/>
      <c r="G864" s="5"/>
      <c r="H864" s="5" t="s">
        <v>596</v>
      </c>
      <c r="I864" s="6">
        <v>44791</v>
      </c>
      <c r="J864" s="5" t="s">
        <v>673</v>
      </c>
      <c r="K864" s="5" t="s">
        <v>736</v>
      </c>
      <c r="L864" s="5"/>
      <c r="M864" s="5"/>
      <c r="N864" s="7"/>
      <c r="O864" s="5" t="s">
        <v>554</v>
      </c>
      <c r="P864" s="8">
        <v>0</v>
      </c>
      <c r="Q864" s="8">
        <f t="shared" si="21"/>
        <v>59262.53</v>
      </c>
    </row>
    <row r="865" spans="1:17" x14ac:dyDescent="0.25">
      <c r="A865" s="5"/>
      <c r="B865" s="5"/>
      <c r="C865" s="5"/>
      <c r="D865" s="5"/>
      <c r="E865" s="5"/>
      <c r="F865" s="5"/>
      <c r="G865" s="5"/>
      <c r="H865" s="5" t="s">
        <v>596</v>
      </c>
      <c r="I865" s="6">
        <v>44791</v>
      </c>
      <c r="J865" s="5" t="s">
        <v>640</v>
      </c>
      <c r="K865" s="5" t="s">
        <v>738</v>
      </c>
      <c r="L865" s="5"/>
      <c r="M865" s="5"/>
      <c r="N865" s="7"/>
      <c r="O865" s="5" t="s">
        <v>554</v>
      </c>
      <c r="P865" s="8">
        <v>480</v>
      </c>
      <c r="Q865" s="8">
        <f t="shared" si="21"/>
        <v>59742.53</v>
      </c>
    </row>
    <row r="866" spans="1:17" x14ac:dyDescent="0.25">
      <c r="A866" s="5"/>
      <c r="B866" s="5"/>
      <c r="C866" s="5"/>
      <c r="D866" s="5"/>
      <c r="E866" s="5"/>
      <c r="F866" s="5"/>
      <c r="G866" s="5"/>
      <c r="H866" s="5" t="s">
        <v>596</v>
      </c>
      <c r="I866" s="6">
        <v>44791</v>
      </c>
      <c r="J866" s="5" t="s">
        <v>640</v>
      </c>
      <c r="K866" s="5" t="s">
        <v>738</v>
      </c>
      <c r="L866" s="5"/>
      <c r="M866" s="5"/>
      <c r="N866" s="7"/>
      <c r="O866" s="5" t="s">
        <v>554</v>
      </c>
      <c r="P866" s="8">
        <v>19.690000000000001</v>
      </c>
      <c r="Q866" s="8">
        <f t="shared" si="21"/>
        <v>59762.22</v>
      </c>
    </row>
    <row r="867" spans="1:17" x14ac:dyDescent="0.25">
      <c r="A867" s="5"/>
      <c r="B867" s="5"/>
      <c r="C867" s="5"/>
      <c r="D867" s="5"/>
      <c r="E867" s="5"/>
      <c r="F867" s="5"/>
      <c r="G867" s="5"/>
      <c r="H867" s="5" t="s">
        <v>596</v>
      </c>
      <c r="I867" s="6">
        <v>44791</v>
      </c>
      <c r="J867" s="5" t="s">
        <v>640</v>
      </c>
      <c r="K867" s="5" t="s">
        <v>738</v>
      </c>
      <c r="L867" s="5"/>
      <c r="M867" s="5"/>
      <c r="N867" s="7"/>
      <c r="O867" s="5" t="s">
        <v>554</v>
      </c>
      <c r="P867" s="8">
        <v>10.61</v>
      </c>
      <c r="Q867" s="8">
        <f t="shared" si="21"/>
        <v>59772.83</v>
      </c>
    </row>
    <row r="868" spans="1:17" x14ac:dyDescent="0.25">
      <c r="A868" s="5"/>
      <c r="B868" s="5"/>
      <c r="C868" s="5"/>
      <c r="D868" s="5"/>
      <c r="E868" s="5"/>
      <c r="F868" s="5"/>
      <c r="G868" s="5"/>
      <c r="H868" s="5" t="s">
        <v>596</v>
      </c>
      <c r="I868" s="6">
        <v>44791</v>
      </c>
      <c r="J868" s="5" t="s">
        <v>640</v>
      </c>
      <c r="K868" s="5" t="s">
        <v>738</v>
      </c>
      <c r="L868" s="5"/>
      <c r="M868" s="5"/>
      <c r="N868" s="7"/>
      <c r="O868" s="5" t="s">
        <v>554</v>
      </c>
      <c r="P868" s="8">
        <v>0</v>
      </c>
      <c r="Q868" s="8">
        <f t="shared" si="21"/>
        <v>59772.83</v>
      </c>
    </row>
    <row r="869" spans="1:17" x14ac:dyDescent="0.25">
      <c r="A869" s="5"/>
      <c r="B869" s="5"/>
      <c r="C869" s="5"/>
      <c r="D869" s="5"/>
      <c r="E869" s="5"/>
      <c r="F869" s="5"/>
      <c r="G869" s="5"/>
      <c r="H869" s="5" t="s">
        <v>596</v>
      </c>
      <c r="I869" s="6">
        <v>44805</v>
      </c>
      <c r="J869" s="5" t="s">
        <v>674</v>
      </c>
      <c r="K869" s="5" t="s">
        <v>441</v>
      </c>
      <c r="L869" s="5"/>
      <c r="M869" s="5"/>
      <c r="N869" s="7"/>
      <c r="O869" s="5" t="s">
        <v>554</v>
      </c>
      <c r="P869" s="8">
        <v>1600</v>
      </c>
      <c r="Q869" s="8">
        <f t="shared" si="21"/>
        <v>61372.83</v>
      </c>
    </row>
    <row r="870" spans="1:17" x14ac:dyDescent="0.25">
      <c r="A870" s="5"/>
      <c r="B870" s="5"/>
      <c r="C870" s="5"/>
      <c r="D870" s="5"/>
      <c r="E870" s="5"/>
      <c r="F870" s="5"/>
      <c r="G870" s="5"/>
      <c r="H870" s="5" t="s">
        <v>596</v>
      </c>
      <c r="I870" s="6">
        <v>44805</v>
      </c>
      <c r="J870" s="5" t="s">
        <v>674</v>
      </c>
      <c r="K870" s="5" t="s">
        <v>441</v>
      </c>
      <c r="L870" s="5"/>
      <c r="M870" s="5"/>
      <c r="N870" s="7"/>
      <c r="O870" s="5" t="s">
        <v>554</v>
      </c>
      <c r="P870" s="8">
        <v>83.53</v>
      </c>
      <c r="Q870" s="8">
        <f t="shared" si="21"/>
        <v>61456.36</v>
      </c>
    </row>
    <row r="871" spans="1:17" x14ac:dyDescent="0.25">
      <c r="A871" s="5"/>
      <c r="B871" s="5"/>
      <c r="C871" s="5"/>
      <c r="D871" s="5"/>
      <c r="E871" s="5"/>
      <c r="F871" s="5"/>
      <c r="G871" s="5"/>
      <c r="H871" s="5" t="s">
        <v>596</v>
      </c>
      <c r="I871" s="6">
        <v>44805</v>
      </c>
      <c r="J871" s="5" t="s">
        <v>674</v>
      </c>
      <c r="K871" s="5" t="s">
        <v>441</v>
      </c>
      <c r="L871" s="5"/>
      <c r="M871" s="5"/>
      <c r="N871" s="7"/>
      <c r="O871" s="5" t="s">
        <v>554</v>
      </c>
      <c r="P871" s="8">
        <v>35.39</v>
      </c>
      <c r="Q871" s="8">
        <f t="shared" si="21"/>
        <v>61491.75</v>
      </c>
    </row>
    <row r="872" spans="1:17" x14ac:dyDescent="0.25">
      <c r="A872" s="5"/>
      <c r="B872" s="5"/>
      <c r="C872" s="5"/>
      <c r="D872" s="5"/>
      <c r="E872" s="5"/>
      <c r="F872" s="5"/>
      <c r="G872" s="5"/>
      <c r="H872" s="5" t="s">
        <v>596</v>
      </c>
      <c r="I872" s="6">
        <v>44805</v>
      </c>
      <c r="J872" s="5" t="s">
        <v>674</v>
      </c>
      <c r="K872" s="5" t="s">
        <v>441</v>
      </c>
      <c r="L872" s="5"/>
      <c r="M872" s="5"/>
      <c r="N872" s="7"/>
      <c r="O872" s="5" t="s">
        <v>554</v>
      </c>
      <c r="P872" s="8">
        <v>64</v>
      </c>
      <c r="Q872" s="8">
        <f t="shared" si="21"/>
        <v>61555.75</v>
      </c>
    </row>
    <row r="873" spans="1:17" x14ac:dyDescent="0.25">
      <c r="A873" s="5"/>
      <c r="B873" s="5"/>
      <c r="C873" s="5"/>
      <c r="D873" s="5"/>
      <c r="E873" s="5"/>
      <c r="F873" s="5"/>
      <c r="G873" s="5"/>
      <c r="H873" s="5" t="s">
        <v>596</v>
      </c>
      <c r="I873" s="6">
        <v>44805</v>
      </c>
      <c r="J873" s="5" t="s">
        <v>675</v>
      </c>
      <c r="K873" s="5" t="s">
        <v>724</v>
      </c>
      <c r="L873" s="5"/>
      <c r="M873" s="5"/>
      <c r="N873" s="7"/>
      <c r="O873" s="5" t="s">
        <v>554</v>
      </c>
      <c r="P873" s="8">
        <v>2000</v>
      </c>
      <c r="Q873" s="8">
        <f t="shared" si="21"/>
        <v>63555.75</v>
      </c>
    </row>
    <row r="874" spans="1:17" x14ac:dyDescent="0.25">
      <c r="A874" s="5"/>
      <c r="B874" s="5"/>
      <c r="C874" s="5"/>
      <c r="D874" s="5"/>
      <c r="E874" s="5"/>
      <c r="F874" s="5"/>
      <c r="G874" s="5"/>
      <c r="H874" s="5" t="s">
        <v>596</v>
      </c>
      <c r="I874" s="6">
        <v>44805</v>
      </c>
      <c r="J874" s="5" t="s">
        <v>675</v>
      </c>
      <c r="K874" s="5" t="s">
        <v>724</v>
      </c>
      <c r="L874" s="5"/>
      <c r="M874" s="5"/>
      <c r="N874" s="7"/>
      <c r="O874" s="5" t="s">
        <v>554</v>
      </c>
      <c r="P874" s="8">
        <v>106.33</v>
      </c>
      <c r="Q874" s="8">
        <f t="shared" si="21"/>
        <v>63662.080000000002</v>
      </c>
    </row>
    <row r="875" spans="1:17" x14ac:dyDescent="0.25">
      <c r="A875" s="5"/>
      <c r="B875" s="5"/>
      <c r="C875" s="5"/>
      <c r="D875" s="5"/>
      <c r="E875" s="5"/>
      <c r="F875" s="5"/>
      <c r="G875" s="5"/>
      <c r="H875" s="5" t="s">
        <v>596</v>
      </c>
      <c r="I875" s="6">
        <v>44805</v>
      </c>
      <c r="J875" s="5" t="s">
        <v>675</v>
      </c>
      <c r="K875" s="5" t="s">
        <v>724</v>
      </c>
      <c r="L875" s="5"/>
      <c r="M875" s="5"/>
      <c r="N875" s="7"/>
      <c r="O875" s="5" t="s">
        <v>554</v>
      </c>
      <c r="P875" s="8">
        <v>44.24</v>
      </c>
      <c r="Q875" s="8">
        <f t="shared" si="21"/>
        <v>63706.32</v>
      </c>
    </row>
    <row r="876" spans="1:17" x14ac:dyDescent="0.25">
      <c r="A876" s="5"/>
      <c r="B876" s="5"/>
      <c r="C876" s="5"/>
      <c r="D876" s="5"/>
      <c r="E876" s="5"/>
      <c r="F876" s="5"/>
      <c r="G876" s="5"/>
      <c r="H876" s="5" t="s">
        <v>596</v>
      </c>
      <c r="I876" s="6">
        <v>44805</v>
      </c>
      <c r="J876" s="5" t="s">
        <v>675</v>
      </c>
      <c r="K876" s="5" t="s">
        <v>724</v>
      </c>
      <c r="L876" s="5"/>
      <c r="M876" s="5"/>
      <c r="N876" s="7"/>
      <c r="O876" s="5" t="s">
        <v>554</v>
      </c>
      <c r="P876" s="8">
        <v>80</v>
      </c>
      <c r="Q876" s="8">
        <f t="shared" si="21"/>
        <v>63786.32</v>
      </c>
    </row>
    <row r="877" spans="1:17" x14ac:dyDescent="0.25">
      <c r="A877" s="5"/>
      <c r="B877" s="5"/>
      <c r="C877" s="5"/>
      <c r="D877" s="5"/>
      <c r="E877" s="5"/>
      <c r="F877" s="5"/>
      <c r="G877" s="5"/>
      <c r="H877" s="5" t="s">
        <v>596</v>
      </c>
      <c r="I877" s="6">
        <v>44805</v>
      </c>
      <c r="J877" s="5" t="s">
        <v>676</v>
      </c>
      <c r="K877" s="5" t="s">
        <v>739</v>
      </c>
      <c r="L877" s="5"/>
      <c r="M877" s="5"/>
      <c r="N877" s="7"/>
      <c r="O877" s="5" t="s">
        <v>554</v>
      </c>
      <c r="P877" s="8">
        <v>1440</v>
      </c>
      <c r="Q877" s="8">
        <f t="shared" si="21"/>
        <v>65226.32</v>
      </c>
    </row>
    <row r="878" spans="1:17" x14ac:dyDescent="0.25">
      <c r="A878" s="5"/>
      <c r="B878" s="5"/>
      <c r="C878" s="5"/>
      <c r="D878" s="5"/>
      <c r="E878" s="5"/>
      <c r="F878" s="5"/>
      <c r="G878" s="5"/>
      <c r="H878" s="5" t="s">
        <v>596</v>
      </c>
      <c r="I878" s="6">
        <v>44805</v>
      </c>
      <c r="J878" s="5" t="s">
        <v>676</v>
      </c>
      <c r="K878" s="5" t="s">
        <v>739</v>
      </c>
      <c r="L878" s="5"/>
      <c r="M878" s="5"/>
      <c r="N878" s="7"/>
      <c r="O878" s="5" t="s">
        <v>554</v>
      </c>
      <c r="P878" s="8">
        <v>74.41</v>
      </c>
      <c r="Q878" s="8">
        <f t="shared" si="21"/>
        <v>65300.73</v>
      </c>
    </row>
    <row r="879" spans="1:17" x14ac:dyDescent="0.25">
      <c r="A879" s="5"/>
      <c r="B879" s="5"/>
      <c r="C879" s="5"/>
      <c r="D879" s="5"/>
      <c r="E879" s="5"/>
      <c r="F879" s="5"/>
      <c r="G879" s="5"/>
      <c r="H879" s="5" t="s">
        <v>596</v>
      </c>
      <c r="I879" s="6">
        <v>44805</v>
      </c>
      <c r="J879" s="5" t="s">
        <v>676</v>
      </c>
      <c r="K879" s="5" t="s">
        <v>739</v>
      </c>
      <c r="L879" s="5"/>
      <c r="M879" s="5"/>
      <c r="N879" s="7"/>
      <c r="O879" s="5" t="s">
        <v>554</v>
      </c>
      <c r="P879" s="8">
        <v>31.85</v>
      </c>
      <c r="Q879" s="8">
        <f t="shared" si="21"/>
        <v>65332.58</v>
      </c>
    </row>
    <row r="880" spans="1:17" x14ac:dyDescent="0.25">
      <c r="A880" s="5"/>
      <c r="B880" s="5"/>
      <c r="C880" s="5"/>
      <c r="D880" s="5"/>
      <c r="E880" s="5"/>
      <c r="F880" s="5"/>
      <c r="G880" s="5"/>
      <c r="H880" s="5" t="s">
        <v>596</v>
      </c>
      <c r="I880" s="6">
        <v>44805</v>
      </c>
      <c r="J880" s="5" t="s">
        <v>676</v>
      </c>
      <c r="K880" s="5" t="s">
        <v>739</v>
      </c>
      <c r="L880" s="5"/>
      <c r="M880" s="5"/>
      <c r="N880" s="7"/>
      <c r="O880" s="5" t="s">
        <v>554</v>
      </c>
      <c r="P880" s="8">
        <v>0</v>
      </c>
      <c r="Q880" s="8">
        <f t="shared" si="21"/>
        <v>65332.58</v>
      </c>
    </row>
    <row r="881" spans="1:17" x14ac:dyDescent="0.25">
      <c r="A881" s="5"/>
      <c r="B881" s="5"/>
      <c r="C881" s="5"/>
      <c r="D881" s="5"/>
      <c r="E881" s="5"/>
      <c r="F881" s="5"/>
      <c r="G881" s="5"/>
      <c r="H881" s="5" t="s">
        <v>596</v>
      </c>
      <c r="I881" s="6">
        <v>44805</v>
      </c>
      <c r="J881" s="5" t="s">
        <v>677</v>
      </c>
      <c r="K881" s="5" t="s">
        <v>737</v>
      </c>
      <c r="L881" s="5"/>
      <c r="M881" s="5"/>
      <c r="N881" s="7"/>
      <c r="O881" s="5" t="s">
        <v>554</v>
      </c>
      <c r="P881" s="8">
        <v>452.16</v>
      </c>
      <c r="Q881" s="8">
        <f t="shared" si="21"/>
        <v>65784.740000000005</v>
      </c>
    </row>
    <row r="882" spans="1:17" x14ac:dyDescent="0.25">
      <c r="A882" s="5"/>
      <c r="B882" s="5"/>
      <c r="C882" s="5"/>
      <c r="D882" s="5"/>
      <c r="E882" s="5"/>
      <c r="F882" s="5"/>
      <c r="G882" s="5"/>
      <c r="H882" s="5" t="s">
        <v>596</v>
      </c>
      <c r="I882" s="6">
        <v>44805</v>
      </c>
      <c r="J882" s="5" t="s">
        <v>677</v>
      </c>
      <c r="K882" s="5" t="s">
        <v>737</v>
      </c>
      <c r="L882" s="5"/>
      <c r="M882" s="5"/>
      <c r="N882" s="7"/>
      <c r="O882" s="5" t="s">
        <v>554</v>
      </c>
      <c r="P882" s="8">
        <v>0</v>
      </c>
      <c r="Q882" s="8">
        <f t="shared" si="21"/>
        <v>65784.740000000005</v>
      </c>
    </row>
    <row r="883" spans="1:17" x14ac:dyDescent="0.25">
      <c r="A883" s="5"/>
      <c r="B883" s="5"/>
      <c r="C883" s="5"/>
      <c r="D883" s="5"/>
      <c r="E883" s="5"/>
      <c r="F883" s="5"/>
      <c r="G883" s="5"/>
      <c r="H883" s="5" t="s">
        <v>596</v>
      </c>
      <c r="I883" s="6">
        <v>44805</v>
      </c>
      <c r="J883" s="5" t="s">
        <v>677</v>
      </c>
      <c r="K883" s="5" t="s">
        <v>737</v>
      </c>
      <c r="L883" s="5"/>
      <c r="M883" s="5"/>
      <c r="N883" s="7"/>
      <c r="O883" s="5" t="s">
        <v>554</v>
      </c>
      <c r="P883" s="8">
        <v>10</v>
      </c>
      <c r="Q883" s="8">
        <f t="shared" si="21"/>
        <v>65794.740000000005</v>
      </c>
    </row>
    <row r="884" spans="1:17" x14ac:dyDescent="0.25">
      <c r="A884" s="5"/>
      <c r="B884" s="5"/>
      <c r="C884" s="5"/>
      <c r="D884" s="5"/>
      <c r="E884" s="5"/>
      <c r="F884" s="5"/>
      <c r="G884" s="5"/>
      <c r="H884" s="5" t="s">
        <v>596</v>
      </c>
      <c r="I884" s="6">
        <v>44805</v>
      </c>
      <c r="J884" s="5" t="s">
        <v>677</v>
      </c>
      <c r="K884" s="5" t="s">
        <v>737</v>
      </c>
      <c r="L884" s="5"/>
      <c r="M884" s="5"/>
      <c r="N884" s="7"/>
      <c r="O884" s="5" t="s">
        <v>554</v>
      </c>
      <c r="P884" s="8">
        <v>0</v>
      </c>
      <c r="Q884" s="8">
        <f t="shared" si="21"/>
        <v>65794.740000000005</v>
      </c>
    </row>
    <row r="885" spans="1:17" x14ac:dyDescent="0.25">
      <c r="A885" s="5"/>
      <c r="B885" s="5"/>
      <c r="C885" s="5"/>
      <c r="D885" s="5"/>
      <c r="E885" s="5"/>
      <c r="F885" s="5"/>
      <c r="G885" s="5"/>
      <c r="H885" s="5" t="s">
        <v>596</v>
      </c>
      <c r="I885" s="6">
        <v>44805</v>
      </c>
      <c r="J885" s="5" t="s">
        <v>678</v>
      </c>
      <c r="K885" s="5" t="s">
        <v>443</v>
      </c>
      <c r="L885" s="5"/>
      <c r="M885" s="5"/>
      <c r="N885" s="7"/>
      <c r="O885" s="5" t="s">
        <v>554</v>
      </c>
      <c r="P885" s="8">
        <v>1400</v>
      </c>
      <c r="Q885" s="8">
        <f t="shared" si="21"/>
        <v>67194.740000000005</v>
      </c>
    </row>
    <row r="886" spans="1:17" x14ac:dyDescent="0.25">
      <c r="A886" s="5"/>
      <c r="B886" s="5"/>
      <c r="C886" s="5"/>
      <c r="D886" s="5"/>
      <c r="E886" s="5"/>
      <c r="F886" s="5"/>
      <c r="G886" s="5"/>
      <c r="H886" s="5" t="s">
        <v>596</v>
      </c>
      <c r="I886" s="6">
        <v>44805</v>
      </c>
      <c r="J886" s="5" t="s">
        <v>678</v>
      </c>
      <c r="K886" s="5" t="s">
        <v>443</v>
      </c>
      <c r="L886" s="5"/>
      <c r="M886" s="5"/>
      <c r="N886" s="7"/>
      <c r="O886" s="5" t="s">
        <v>554</v>
      </c>
      <c r="P886" s="8">
        <v>72.13</v>
      </c>
      <c r="Q886" s="8">
        <f t="shared" si="21"/>
        <v>67266.87</v>
      </c>
    </row>
    <row r="887" spans="1:17" x14ac:dyDescent="0.25">
      <c r="A887" s="5"/>
      <c r="B887" s="5"/>
      <c r="C887" s="5"/>
      <c r="D887" s="5"/>
      <c r="E887" s="5"/>
      <c r="F887" s="5"/>
      <c r="G887" s="5"/>
      <c r="H887" s="5" t="s">
        <v>596</v>
      </c>
      <c r="I887" s="6">
        <v>44805</v>
      </c>
      <c r="J887" s="5" t="s">
        <v>678</v>
      </c>
      <c r="K887" s="5" t="s">
        <v>443</v>
      </c>
      <c r="L887" s="5"/>
      <c r="M887" s="5"/>
      <c r="N887" s="7"/>
      <c r="O887" s="5" t="s">
        <v>554</v>
      </c>
      <c r="P887" s="8">
        <v>30.97</v>
      </c>
      <c r="Q887" s="8">
        <f t="shared" si="21"/>
        <v>67297.84</v>
      </c>
    </row>
    <row r="888" spans="1:17" x14ac:dyDescent="0.25">
      <c r="A888" s="5"/>
      <c r="B888" s="5"/>
      <c r="C888" s="5"/>
      <c r="D888" s="5"/>
      <c r="E888" s="5"/>
      <c r="F888" s="5"/>
      <c r="G888" s="5"/>
      <c r="H888" s="5" t="s">
        <v>596</v>
      </c>
      <c r="I888" s="6">
        <v>44805</v>
      </c>
      <c r="J888" s="5" t="s">
        <v>678</v>
      </c>
      <c r="K888" s="5" t="s">
        <v>443</v>
      </c>
      <c r="L888" s="5"/>
      <c r="M888" s="5"/>
      <c r="N888" s="7"/>
      <c r="O888" s="5" t="s">
        <v>554</v>
      </c>
      <c r="P888" s="8">
        <v>0</v>
      </c>
      <c r="Q888" s="8">
        <f t="shared" si="21"/>
        <v>67297.84</v>
      </c>
    </row>
    <row r="889" spans="1:17" x14ac:dyDescent="0.25">
      <c r="A889" s="5"/>
      <c r="B889" s="5"/>
      <c r="C889" s="5"/>
      <c r="D889" s="5"/>
      <c r="E889" s="5"/>
      <c r="F889" s="5"/>
      <c r="G889" s="5"/>
      <c r="H889" s="5" t="s">
        <v>596</v>
      </c>
      <c r="I889" s="6">
        <v>44805</v>
      </c>
      <c r="J889" s="5" t="s">
        <v>679</v>
      </c>
      <c r="K889" s="5" t="s">
        <v>736</v>
      </c>
      <c r="L889" s="5"/>
      <c r="M889" s="5"/>
      <c r="N889" s="7"/>
      <c r="O889" s="5" t="s">
        <v>554</v>
      </c>
      <c r="P889" s="8">
        <v>758.4</v>
      </c>
      <c r="Q889" s="8">
        <f t="shared" ref="Q889:Q952" si="22">ROUND(Q888+P889,5)</f>
        <v>68056.240000000005</v>
      </c>
    </row>
    <row r="890" spans="1:17" x14ac:dyDescent="0.25">
      <c r="A890" s="5"/>
      <c r="B890" s="5"/>
      <c r="C890" s="5"/>
      <c r="D890" s="5"/>
      <c r="E890" s="5"/>
      <c r="F890" s="5"/>
      <c r="G890" s="5"/>
      <c r="H890" s="5" t="s">
        <v>596</v>
      </c>
      <c r="I890" s="6">
        <v>44805</v>
      </c>
      <c r="J890" s="5" t="s">
        <v>679</v>
      </c>
      <c r="K890" s="5" t="s">
        <v>736</v>
      </c>
      <c r="L890" s="5"/>
      <c r="M890" s="5"/>
      <c r="N890" s="7"/>
      <c r="O890" s="5" t="s">
        <v>554</v>
      </c>
      <c r="P890" s="8">
        <v>0</v>
      </c>
      <c r="Q890" s="8">
        <f t="shared" si="22"/>
        <v>68056.240000000005</v>
      </c>
    </row>
    <row r="891" spans="1:17" x14ac:dyDescent="0.25">
      <c r="A891" s="5"/>
      <c r="B891" s="5"/>
      <c r="C891" s="5"/>
      <c r="D891" s="5"/>
      <c r="E891" s="5"/>
      <c r="F891" s="5"/>
      <c r="G891" s="5"/>
      <c r="H891" s="5" t="s">
        <v>596</v>
      </c>
      <c r="I891" s="6">
        <v>44805</v>
      </c>
      <c r="J891" s="5" t="s">
        <v>679</v>
      </c>
      <c r="K891" s="5" t="s">
        <v>736</v>
      </c>
      <c r="L891" s="5"/>
      <c r="M891" s="5"/>
      <c r="N891" s="7"/>
      <c r="O891" s="5" t="s">
        <v>554</v>
      </c>
      <c r="P891" s="8">
        <v>16.77</v>
      </c>
      <c r="Q891" s="8">
        <f t="shared" si="22"/>
        <v>68073.009999999995</v>
      </c>
    </row>
    <row r="892" spans="1:17" x14ac:dyDescent="0.25">
      <c r="A892" s="5"/>
      <c r="B892" s="5"/>
      <c r="C892" s="5"/>
      <c r="D892" s="5"/>
      <c r="E892" s="5"/>
      <c r="F892" s="5"/>
      <c r="G892" s="5"/>
      <c r="H892" s="5" t="s">
        <v>596</v>
      </c>
      <c r="I892" s="6">
        <v>44805</v>
      </c>
      <c r="J892" s="5" t="s">
        <v>679</v>
      </c>
      <c r="K892" s="5" t="s">
        <v>736</v>
      </c>
      <c r="L892" s="5"/>
      <c r="M892" s="5"/>
      <c r="N892" s="7"/>
      <c r="O892" s="5" t="s">
        <v>554</v>
      </c>
      <c r="P892" s="8">
        <v>0</v>
      </c>
      <c r="Q892" s="8">
        <f t="shared" si="22"/>
        <v>68073.009999999995</v>
      </c>
    </row>
    <row r="893" spans="1:17" x14ac:dyDescent="0.25">
      <c r="A893" s="5"/>
      <c r="B893" s="5"/>
      <c r="C893" s="5"/>
      <c r="D893" s="5"/>
      <c r="E893" s="5"/>
      <c r="F893" s="5"/>
      <c r="G893" s="5"/>
      <c r="H893" s="5" t="s">
        <v>596</v>
      </c>
      <c r="I893" s="6">
        <v>44805</v>
      </c>
      <c r="J893" s="5" t="s">
        <v>680</v>
      </c>
      <c r="K893" s="5" t="s">
        <v>738</v>
      </c>
      <c r="L893" s="5"/>
      <c r="M893" s="5"/>
      <c r="N893" s="7"/>
      <c r="O893" s="5" t="s">
        <v>554</v>
      </c>
      <c r="P893" s="8">
        <v>224</v>
      </c>
      <c r="Q893" s="8">
        <f t="shared" si="22"/>
        <v>68297.009999999995</v>
      </c>
    </row>
    <row r="894" spans="1:17" x14ac:dyDescent="0.25">
      <c r="A894" s="5"/>
      <c r="B894" s="5"/>
      <c r="C894" s="5"/>
      <c r="D894" s="5"/>
      <c r="E894" s="5"/>
      <c r="F894" s="5"/>
      <c r="G894" s="5"/>
      <c r="H894" s="5" t="s">
        <v>596</v>
      </c>
      <c r="I894" s="6">
        <v>44805</v>
      </c>
      <c r="J894" s="5" t="s">
        <v>680</v>
      </c>
      <c r="K894" s="5" t="s">
        <v>738</v>
      </c>
      <c r="L894" s="5"/>
      <c r="M894" s="5"/>
      <c r="N894" s="7"/>
      <c r="O894" s="5" t="s">
        <v>554</v>
      </c>
      <c r="P894" s="8">
        <v>5.0999999999999996</v>
      </c>
      <c r="Q894" s="8">
        <f t="shared" si="22"/>
        <v>68302.11</v>
      </c>
    </row>
    <row r="895" spans="1:17" x14ac:dyDescent="0.25">
      <c r="A895" s="5"/>
      <c r="B895" s="5"/>
      <c r="C895" s="5"/>
      <c r="D895" s="5"/>
      <c r="E895" s="5"/>
      <c r="F895" s="5"/>
      <c r="G895" s="5"/>
      <c r="H895" s="5" t="s">
        <v>596</v>
      </c>
      <c r="I895" s="6">
        <v>44805</v>
      </c>
      <c r="J895" s="5" t="s">
        <v>680</v>
      </c>
      <c r="K895" s="5" t="s">
        <v>738</v>
      </c>
      <c r="L895" s="5"/>
      <c r="M895" s="5"/>
      <c r="N895" s="7"/>
      <c r="O895" s="5" t="s">
        <v>554</v>
      </c>
      <c r="P895" s="8">
        <v>4.96</v>
      </c>
      <c r="Q895" s="8">
        <f t="shared" si="22"/>
        <v>68307.070000000007</v>
      </c>
    </row>
    <row r="896" spans="1:17" x14ac:dyDescent="0.25">
      <c r="A896" s="5"/>
      <c r="B896" s="5"/>
      <c r="C896" s="5"/>
      <c r="D896" s="5"/>
      <c r="E896" s="5"/>
      <c r="F896" s="5"/>
      <c r="G896" s="5"/>
      <c r="H896" s="5" t="s">
        <v>596</v>
      </c>
      <c r="I896" s="6">
        <v>44805</v>
      </c>
      <c r="J896" s="5" t="s">
        <v>680</v>
      </c>
      <c r="K896" s="5" t="s">
        <v>738</v>
      </c>
      <c r="L896" s="5"/>
      <c r="M896" s="5"/>
      <c r="N896" s="7"/>
      <c r="O896" s="5" t="s">
        <v>554</v>
      </c>
      <c r="P896" s="8">
        <v>0</v>
      </c>
      <c r="Q896" s="8">
        <f t="shared" si="22"/>
        <v>68307.070000000007</v>
      </c>
    </row>
    <row r="897" spans="1:17" x14ac:dyDescent="0.25">
      <c r="A897" s="5"/>
      <c r="B897" s="5"/>
      <c r="C897" s="5"/>
      <c r="D897" s="5"/>
      <c r="E897" s="5"/>
      <c r="F897" s="5"/>
      <c r="G897" s="5"/>
      <c r="H897" s="5" t="s">
        <v>596</v>
      </c>
      <c r="I897" s="6">
        <v>44819</v>
      </c>
      <c r="J897" s="5" t="s">
        <v>681</v>
      </c>
      <c r="K897" s="5" t="s">
        <v>441</v>
      </c>
      <c r="L897" s="5"/>
      <c r="M897" s="5"/>
      <c r="N897" s="7"/>
      <c r="O897" s="5" t="s">
        <v>554</v>
      </c>
      <c r="P897" s="8">
        <v>1600</v>
      </c>
      <c r="Q897" s="8">
        <f t="shared" si="22"/>
        <v>69907.070000000007</v>
      </c>
    </row>
    <row r="898" spans="1:17" x14ac:dyDescent="0.25">
      <c r="A898" s="5"/>
      <c r="B898" s="5"/>
      <c r="C898" s="5"/>
      <c r="D898" s="5"/>
      <c r="E898" s="5"/>
      <c r="F898" s="5"/>
      <c r="G898" s="5"/>
      <c r="H898" s="5" t="s">
        <v>596</v>
      </c>
      <c r="I898" s="6">
        <v>44819</v>
      </c>
      <c r="J898" s="5" t="s">
        <v>681</v>
      </c>
      <c r="K898" s="5" t="s">
        <v>441</v>
      </c>
      <c r="L898" s="5"/>
      <c r="M898" s="5"/>
      <c r="N898" s="7"/>
      <c r="O898" s="5" t="s">
        <v>554</v>
      </c>
      <c r="P898" s="8">
        <v>83.53</v>
      </c>
      <c r="Q898" s="8">
        <f t="shared" si="22"/>
        <v>69990.600000000006</v>
      </c>
    </row>
    <row r="899" spans="1:17" x14ac:dyDescent="0.25">
      <c r="A899" s="5"/>
      <c r="B899" s="5"/>
      <c r="C899" s="5"/>
      <c r="D899" s="5"/>
      <c r="E899" s="5"/>
      <c r="F899" s="5"/>
      <c r="G899" s="5"/>
      <c r="H899" s="5" t="s">
        <v>596</v>
      </c>
      <c r="I899" s="6">
        <v>44819</v>
      </c>
      <c r="J899" s="5" t="s">
        <v>681</v>
      </c>
      <c r="K899" s="5" t="s">
        <v>441</v>
      </c>
      <c r="L899" s="5"/>
      <c r="M899" s="5"/>
      <c r="N899" s="7"/>
      <c r="O899" s="5" t="s">
        <v>554</v>
      </c>
      <c r="P899" s="8">
        <v>35.39</v>
      </c>
      <c r="Q899" s="8">
        <f t="shared" si="22"/>
        <v>70025.990000000005</v>
      </c>
    </row>
    <row r="900" spans="1:17" x14ac:dyDescent="0.25">
      <c r="A900" s="5"/>
      <c r="B900" s="5"/>
      <c r="C900" s="5"/>
      <c r="D900" s="5"/>
      <c r="E900" s="5"/>
      <c r="F900" s="5"/>
      <c r="G900" s="5"/>
      <c r="H900" s="5" t="s">
        <v>596</v>
      </c>
      <c r="I900" s="6">
        <v>44819</v>
      </c>
      <c r="J900" s="5" t="s">
        <v>681</v>
      </c>
      <c r="K900" s="5" t="s">
        <v>441</v>
      </c>
      <c r="L900" s="5"/>
      <c r="M900" s="5"/>
      <c r="N900" s="7"/>
      <c r="O900" s="5" t="s">
        <v>554</v>
      </c>
      <c r="P900" s="8">
        <v>64</v>
      </c>
      <c r="Q900" s="8">
        <f t="shared" si="22"/>
        <v>70089.990000000005</v>
      </c>
    </row>
    <row r="901" spans="1:17" x14ac:dyDescent="0.25">
      <c r="A901" s="5"/>
      <c r="B901" s="5"/>
      <c r="C901" s="5"/>
      <c r="D901" s="5"/>
      <c r="E901" s="5"/>
      <c r="F901" s="5"/>
      <c r="G901" s="5"/>
      <c r="H901" s="5" t="s">
        <v>596</v>
      </c>
      <c r="I901" s="6">
        <v>44819</v>
      </c>
      <c r="J901" s="5" t="s">
        <v>682</v>
      </c>
      <c r="K901" s="5" t="s">
        <v>724</v>
      </c>
      <c r="L901" s="5"/>
      <c r="M901" s="5"/>
      <c r="N901" s="7"/>
      <c r="O901" s="5" t="s">
        <v>554</v>
      </c>
      <c r="P901" s="8">
        <v>2000</v>
      </c>
      <c r="Q901" s="8">
        <f t="shared" si="22"/>
        <v>72089.990000000005</v>
      </c>
    </row>
    <row r="902" spans="1:17" x14ac:dyDescent="0.25">
      <c r="A902" s="5"/>
      <c r="B902" s="5"/>
      <c r="C902" s="5"/>
      <c r="D902" s="5"/>
      <c r="E902" s="5"/>
      <c r="F902" s="5"/>
      <c r="G902" s="5"/>
      <c r="H902" s="5" t="s">
        <v>596</v>
      </c>
      <c r="I902" s="6">
        <v>44819</v>
      </c>
      <c r="J902" s="5" t="s">
        <v>682</v>
      </c>
      <c r="K902" s="5" t="s">
        <v>724</v>
      </c>
      <c r="L902" s="5"/>
      <c r="M902" s="5"/>
      <c r="N902" s="7"/>
      <c r="O902" s="5" t="s">
        <v>554</v>
      </c>
      <c r="P902" s="8">
        <v>106.33</v>
      </c>
      <c r="Q902" s="8">
        <f t="shared" si="22"/>
        <v>72196.320000000007</v>
      </c>
    </row>
    <row r="903" spans="1:17" x14ac:dyDescent="0.25">
      <c r="A903" s="5"/>
      <c r="B903" s="5"/>
      <c r="C903" s="5"/>
      <c r="D903" s="5"/>
      <c r="E903" s="5"/>
      <c r="F903" s="5"/>
      <c r="G903" s="5"/>
      <c r="H903" s="5" t="s">
        <v>596</v>
      </c>
      <c r="I903" s="6">
        <v>44819</v>
      </c>
      <c r="J903" s="5" t="s">
        <v>682</v>
      </c>
      <c r="K903" s="5" t="s">
        <v>724</v>
      </c>
      <c r="L903" s="5"/>
      <c r="M903" s="5"/>
      <c r="N903" s="7"/>
      <c r="O903" s="5" t="s">
        <v>554</v>
      </c>
      <c r="P903" s="8">
        <v>44.24</v>
      </c>
      <c r="Q903" s="8">
        <f t="shared" si="22"/>
        <v>72240.56</v>
      </c>
    </row>
    <row r="904" spans="1:17" x14ac:dyDescent="0.25">
      <c r="A904" s="5"/>
      <c r="B904" s="5"/>
      <c r="C904" s="5"/>
      <c r="D904" s="5"/>
      <c r="E904" s="5"/>
      <c r="F904" s="5"/>
      <c r="G904" s="5"/>
      <c r="H904" s="5" t="s">
        <v>596</v>
      </c>
      <c r="I904" s="6">
        <v>44819</v>
      </c>
      <c r="J904" s="5" t="s">
        <v>682</v>
      </c>
      <c r="K904" s="5" t="s">
        <v>724</v>
      </c>
      <c r="L904" s="5"/>
      <c r="M904" s="5"/>
      <c r="N904" s="7"/>
      <c r="O904" s="5" t="s">
        <v>554</v>
      </c>
      <c r="P904" s="8">
        <v>80</v>
      </c>
      <c r="Q904" s="8">
        <f t="shared" si="22"/>
        <v>72320.56</v>
      </c>
    </row>
    <row r="905" spans="1:17" x14ac:dyDescent="0.25">
      <c r="A905" s="5"/>
      <c r="B905" s="5"/>
      <c r="C905" s="5"/>
      <c r="D905" s="5"/>
      <c r="E905" s="5"/>
      <c r="F905" s="5"/>
      <c r="G905" s="5"/>
      <c r="H905" s="5" t="s">
        <v>596</v>
      </c>
      <c r="I905" s="6">
        <v>44819</v>
      </c>
      <c r="J905" s="5" t="s">
        <v>683</v>
      </c>
      <c r="K905" s="5" t="s">
        <v>739</v>
      </c>
      <c r="L905" s="5"/>
      <c r="M905" s="5"/>
      <c r="N905" s="7"/>
      <c r="O905" s="5" t="s">
        <v>554</v>
      </c>
      <c r="P905" s="8">
        <v>1116</v>
      </c>
      <c r="Q905" s="8">
        <f t="shared" si="22"/>
        <v>73436.56</v>
      </c>
    </row>
    <row r="906" spans="1:17" x14ac:dyDescent="0.25">
      <c r="A906" s="5"/>
      <c r="B906" s="5"/>
      <c r="C906" s="5"/>
      <c r="D906" s="5"/>
      <c r="E906" s="5"/>
      <c r="F906" s="5"/>
      <c r="G906" s="5"/>
      <c r="H906" s="5" t="s">
        <v>596</v>
      </c>
      <c r="I906" s="6">
        <v>44819</v>
      </c>
      <c r="J906" s="5" t="s">
        <v>683</v>
      </c>
      <c r="K906" s="5" t="s">
        <v>739</v>
      </c>
      <c r="L906" s="5"/>
      <c r="M906" s="5"/>
      <c r="N906" s="7"/>
      <c r="O906" s="5" t="s">
        <v>554</v>
      </c>
      <c r="P906" s="8">
        <v>55.94</v>
      </c>
      <c r="Q906" s="8">
        <f t="shared" si="22"/>
        <v>73492.5</v>
      </c>
    </row>
    <row r="907" spans="1:17" x14ac:dyDescent="0.25">
      <c r="A907" s="5"/>
      <c r="B907" s="5"/>
      <c r="C907" s="5"/>
      <c r="D907" s="5"/>
      <c r="E907" s="5"/>
      <c r="F907" s="5"/>
      <c r="G907" s="5"/>
      <c r="H907" s="5" t="s">
        <v>596</v>
      </c>
      <c r="I907" s="6">
        <v>44819</v>
      </c>
      <c r="J907" s="5" t="s">
        <v>683</v>
      </c>
      <c r="K907" s="5" t="s">
        <v>739</v>
      </c>
      <c r="L907" s="5"/>
      <c r="M907" s="5"/>
      <c r="N907" s="7"/>
      <c r="O907" s="5" t="s">
        <v>554</v>
      </c>
      <c r="P907" s="8">
        <v>24.68</v>
      </c>
      <c r="Q907" s="8">
        <f t="shared" si="22"/>
        <v>73517.179999999993</v>
      </c>
    </row>
    <row r="908" spans="1:17" x14ac:dyDescent="0.25">
      <c r="A908" s="5"/>
      <c r="B908" s="5"/>
      <c r="C908" s="5"/>
      <c r="D908" s="5"/>
      <c r="E908" s="5"/>
      <c r="F908" s="5"/>
      <c r="G908" s="5"/>
      <c r="H908" s="5" t="s">
        <v>596</v>
      </c>
      <c r="I908" s="6">
        <v>44819</v>
      </c>
      <c r="J908" s="5" t="s">
        <v>683</v>
      </c>
      <c r="K908" s="5" t="s">
        <v>739</v>
      </c>
      <c r="L908" s="5"/>
      <c r="M908" s="5"/>
      <c r="N908" s="7"/>
      <c r="O908" s="5" t="s">
        <v>554</v>
      </c>
      <c r="P908" s="8">
        <v>0</v>
      </c>
      <c r="Q908" s="8">
        <f t="shared" si="22"/>
        <v>73517.179999999993</v>
      </c>
    </row>
    <row r="909" spans="1:17" x14ac:dyDescent="0.25">
      <c r="A909" s="5"/>
      <c r="B909" s="5"/>
      <c r="C909" s="5"/>
      <c r="D909" s="5"/>
      <c r="E909" s="5"/>
      <c r="F909" s="5"/>
      <c r="G909" s="5"/>
      <c r="H909" s="5" t="s">
        <v>596</v>
      </c>
      <c r="I909" s="6">
        <v>44819</v>
      </c>
      <c r="J909" s="5" t="s">
        <v>684</v>
      </c>
      <c r="K909" s="5" t="s">
        <v>443</v>
      </c>
      <c r="L909" s="5"/>
      <c r="M909" s="5"/>
      <c r="N909" s="7"/>
      <c r="O909" s="5" t="s">
        <v>554</v>
      </c>
      <c r="P909" s="8">
        <v>1400</v>
      </c>
      <c r="Q909" s="8">
        <f t="shared" si="22"/>
        <v>74917.179999999993</v>
      </c>
    </row>
    <row r="910" spans="1:17" x14ac:dyDescent="0.25">
      <c r="A910" s="5"/>
      <c r="B910" s="5"/>
      <c r="C910" s="5"/>
      <c r="D910" s="5"/>
      <c r="E910" s="5"/>
      <c r="F910" s="5"/>
      <c r="G910" s="5"/>
      <c r="H910" s="5" t="s">
        <v>596</v>
      </c>
      <c r="I910" s="6">
        <v>44819</v>
      </c>
      <c r="J910" s="5" t="s">
        <v>684</v>
      </c>
      <c r="K910" s="5" t="s">
        <v>443</v>
      </c>
      <c r="L910" s="5"/>
      <c r="M910" s="5"/>
      <c r="N910" s="7"/>
      <c r="O910" s="5" t="s">
        <v>554</v>
      </c>
      <c r="P910" s="8">
        <v>72.13</v>
      </c>
      <c r="Q910" s="8">
        <f t="shared" si="22"/>
        <v>74989.31</v>
      </c>
    </row>
    <row r="911" spans="1:17" x14ac:dyDescent="0.25">
      <c r="A911" s="5"/>
      <c r="B911" s="5"/>
      <c r="C911" s="5"/>
      <c r="D911" s="5"/>
      <c r="E911" s="5"/>
      <c r="F911" s="5"/>
      <c r="G911" s="5"/>
      <c r="H911" s="5" t="s">
        <v>596</v>
      </c>
      <c r="I911" s="6">
        <v>44819</v>
      </c>
      <c r="J911" s="5" t="s">
        <v>684</v>
      </c>
      <c r="K911" s="5" t="s">
        <v>443</v>
      </c>
      <c r="L911" s="5"/>
      <c r="M911" s="5"/>
      <c r="N911" s="7"/>
      <c r="O911" s="5" t="s">
        <v>554</v>
      </c>
      <c r="P911" s="8">
        <v>30.97</v>
      </c>
      <c r="Q911" s="8">
        <f t="shared" si="22"/>
        <v>75020.28</v>
      </c>
    </row>
    <row r="912" spans="1:17" x14ac:dyDescent="0.25">
      <c r="A912" s="5"/>
      <c r="B912" s="5"/>
      <c r="C912" s="5"/>
      <c r="D912" s="5"/>
      <c r="E912" s="5"/>
      <c r="F912" s="5"/>
      <c r="G912" s="5"/>
      <c r="H912" s="5" t="s">
        <v>596</v>
      </c>
      <c r="I912" s="6">
        <v>44819</v>
      </c>
      <c r="J912" s="5" t="s">
        <v>684</v>
      </c>
      <c r="K912" s="5" t="s">
        <v>443</v>
      </c>
      <c r="L912" s="5"/>
      <c r="M912" s="5"/>
      <c r="N912" s="7"/>
      <c r="O912" s="5" t="s">
        <v>554</v>
      </c>
      <c r="P912" s="8">
        <v>0</v>
      </c>
      <c r="Q912" s="8">
        <f t="shared" si="22"/>
        <v>75020.28</v>
      </c>
    </row>
    <row r="913" spans="1:17" x14ac:dyDescent="0.25">
      <c r="A913" s="5"/>
      <c r="B913" s="5"/>
      <c r="C913" s="5"/>
      <c r="D913" s="5"/>
      <c r="E913" s="5"/>
      <c r="F913" s="5"/>
      <c r="G913" s="5"/>
      <c r="H913" s="5" t="s">
        <v>596</v>
      </c>
      <c r="I913" s="6">
        <v>44819</v>
      </c>
      <c r="J913" s="5" t="s">
        <v>685</v>
      </c>
      <c r="K913" s="5" t="s">
        <v>736</v>
      </c>
      <c r="L913" s="5"/>
      <c r="M913" s="5"/>
      <c r="N913" s="7"/>
      <c r="O913" s="5" t="s">
        <v>554</v>
      </c>
      <c r="P913" s="8">
        <v>980.8</v>
      </c>
      <c r="Q913" s="8">
        <f t="shared" si="22"/>
        <v>76001.08</v>
      </c>
    </row>
    <row r="914" spans="1:17" x14ac:dyDescent="0.25">
      <c r="A914" s="5"/>
      <c r="B914" s="5"/>
      <c r="C914" s="5"/>
      <c r="D914" s="5"/>
      <c r="E914" s="5"/>
      <c r="F914" s="5"/>
      <c r="G914" s="5"/>
      <c r="H914" s="5" t="s">
        <v>596</v>
      </c>
      <c r="I914" s="6">
        <v>44819</v>
      </c>
      <c r="J914" s="5" t="s">
        <v>685</v>
      </c>
      <c r="K914" s="5" t="s">
        <v>736</v>
      </c>
      <c r="L914" s="5"/>
      <c r="M914" s="5"/>
      <c r="N914" s="7"/>
      <c r="O914" s="5" t="s">
        <v>554</v>
      </c>
      <c r="P914" s="8">
        <v>0</v>
      </c>
      <c r="Q914" s="8">
        <f t="shared" si="22"/>
        <v>76001.08</v>
      </c>
    </row>
    <row r="915" spans="1:17" x14ac:dyDescent="0.25">
      <c r="A915" s="5"/>
      <c r="B915" s="5"/>
      <c r="C915" s="5"/>
      <c r="D915" s="5"/>
      <c r="E915" s="5"/>
      <c r="F915" s="5"/>
      <c r="G915" s="5"/>
      <c r="H915" s="5" t="s">
        <v>596</v>
      </c>
      <c r="I915" s="6">
        <v>44819</v>
      </c>
      <c r="J915" s="5" t="s">
        <v>685</v>
      </c>
      <c r="K915" s="5" t="s">
        <v>736</v>
      </c>
      <c r="L915" s="5"/>
      <c r="M915" s="5"/>
      <c r="N915" s="7"/>
      <c r="O915" s="5" t="s">
        <v>554</v>
      </c>
      <c r="P915" s="8">
        <v>21.7</v>
      </c>
      <c r="Q915" s="8">
        <f t="shared" si="22"/>
        <v>76022.78</v>
      </c>
    </row>
    <row r="916" spans="1:17" x14ac:dyDescent="0.25">
      <c r="A916" s="5"/>
      <c r="B916" s="5"/>
      <c r="C916" s="5"/>
      <c r="D916" s="5"/>
      <c r="E916" s="5"/>
      <c r="F916" s="5"/>
      <c r="G916" s="5"/>
      <c r="H916" s="5" t="s">
        <v>596</v>
      </c>
      <c r="I916" s="6">
        <v>44819</v>
      </c>
      <c r="J916" s="5" t="s">
        <v>685</v>
      </c>
      <c r="K916" s="5" t="s">
        <v>736</v>
      </c>
      <c r="L916" s="5"/>
      <c r="M916" s="5"/>
      <c r="N916" s="7"/>
      <c r="O916" s="5" t="s">
        <v>554</v>
      </c>
      <c r="P916" s="8">
        <v>0</v>
      </c>
      <c r="Q916" s="8">
        <f t="shared" si="22"/>
        <v>76022.78</v>
      </c>
    </row>
    <row r="917" spans="1:17" x14ac:dyDescent="0.25">
      <c r="A917" s="5"/>
      <c r="B917" s="5"/>
      <c r="C917" s="5"/>
      <c r="D917" s="5"/>
      <c r="E917" s="5"/>
      <c r="F917" s="5"/>
      <c r="G917" s="5"/>
      <c r="H917" s="5" t="s">
        <v>596</v>
      </c>
      <c r="I917" s="6">
        <v>44833</v>
      </c>
      <c r="J917" s="5" t="s">
        <v>686</v>
      </c>
      <c r="K917" s="5" t="s">
        <v>441</v>
      </c>
      <c r="L917" s="5"/>
      <c r="M917" s="5"/>
      <c r="N917" s="7"/>
      <c r="O917" s="5" t="s">
        <v>554</v>
      </c>
      <c r="P917" s="8">
        <v>1600</v>
      </c>
      <c r="Q917" s="8">
        <f t="shared" si="22"/>
        <v>77622.78</v>
      </c>
    </row>
    <row r="918" spans="1:17" x14ac:dyDescent="0.25">
      <c r="A918" s="5"/>
      <c r="B918" s="5"/>
      <c r="C918" s="5"/>
      <c r="D918" s="5"/>
      <c r="E918" s="5"/>
      <c r="F918" s="5"/>
      <c r="G918" s="5"/>
      <c r="H918" s="5" t="s">
        <v>596</v>
      </c>
      <c r="I918" s="6">
        <v>44833</v>
      </c>
      <c r="J918" s="5" t="s">
        <v>686</v>
      </c>
      <c r="K918" s="5" t="s">
        <v>441</v>
      </c>
      <c r="L918" s="5"/>
      <c r="M918" s="5"/>
      <c r="N918" s="7"/>
      <c r="O918" s="5" t="s">
        <v>554</v>
      </c>
      <c r="P918" s="8">
        <v>83.53</v>
      </c>
      <c r="Q918" s="8">
        <f t="shared" si="22"/>
        <v>77706.31</v>
      </c>
    </row>
    <row r="919" spans="1:17" x14ac:dyDescent="0.25">
      <c r="A919" s="5"/>
      <c r="B919" s="5"/>
      <c r="C919" s="5"/>
      <c r="D919" s="5"/>
      <c r="E919" s="5"/>
      <c r="F919" s="5"/>
      <c r="G919" s="5"/>
      <c r="H919" s="5" t="s">
        <v>596</v>
      </c>
      <c r="I919" s="6">
        <v>44833</v>
      </c>
      <c r="J919" s="5" t="s">
        <v>686</v>
      </c>
      <c r="K919" s="5" t="s">
        <v>441</v>
      </c>
      <c r="L919" s="5"/>
      <c r="M919" s="5"/>
      <c r="N919" s="7"/>
      <c r="O919" s="5" t="s">
        <v>554</v>
      </c>
      <c r="P919" s="8">
        <v>35.39</v>
      </c>
      <c r="Q919" s="8">
        <f t="shared" si="22"/>
        <v>77741.7</v>
      </c>
    </row>
    <row r="920" spans="1:17" x14ac:dyDescent="0.25">
      <c r="A920" s="5"/>
      <c r="B920" s="5"/>
      <c r="C920" s="5"/>
      <c r="D920" s="5"/>
      <c r="E920" s="5"/>
      <c r="F920" s="5"/>
      <c r="G920" s="5"/>
      <c r="H920" s="5" t="s">
        <v>596</v>
      </c>
      <c r="I920" s="6">
        <v>44833</v>
      </c>
      <c r="J920" s="5" t="s">
        <v>686</v>
      </c>
      <c r="K920" s="5" t="s">
        <v>441</v>
      </c>
      <c r="L920" s="5"/>
      <c r="M920" s="5"/>
      <c r="N920" s="7"/>
      <c r="O920" s="5" t="s">
        <v>554</v>
      </c>
      <c r="P920" s="8">
        <v>64</v>
      </c>
      <c r="Q920" s="8">
        <f t="shared" si="22"/>
        <v>77805.7</v>
      </c>
    </row>
    <row r="921" spans="1:17" x14ac:dyDescent="0.25">
      <c r="A921" s="5"/>
      <c r="B921" s="5"/>
      <c r="C921" s="5"/>
      <c r="D921" s="5"/>
      <c r="E921" s="5"/>
      <c r="F921" s="5"/>
      <c r="G921" s="5"/>
      <c r="H921" s="5" t="s">
        <v>596</v>
      </c>
      <c r="I921" s="6">
        <v>44833</v>
      </c>
      <c r="J921" s="5" t="s">
        <v>687</v>
      </c>
      <c r="K921" s="5" t="s">
        <v>724</v>
      </c>
      <c r="L921" s="5"/>
      <c r="M921" s="5"/>
      <c r="N921" s="7"/>
      <c r="O921" s="5" t="s">
        <v>554</v>
      </c>
      <c r="P921" s="8">
        <v>2000</v>
      </c>
      <c r="Q921" s="8">
        <f t="shared" si="22"/>
        <v>79805.7</v>
      </c>
    </row>
    <row r="922" spans="1:17" x14ac:dyDescent="0.25">
      <c r="A922" s="5"/>
      <c r="B922" s="5"/>
      <c r="C922" s="5"/>
      <c r="D922" s="5"/>
      <c r="E922" s="5"/>
      <c r="F922" s="5"/>
      <c r="G922" s="5"/>
      <c r="H922" s="5" t="s">
        <v>596</v>
      </c>
      <c r="I922" s="6">
        <v>44833</v>
      </c>
      <c r="J922" s="5" t="s">
        <v>687</v>
      </c>
      <c r="K922" s="5" t="s">
        <v>724</v>
      </c>
      <c r="L922" s="5"/>
      <c r="M922" s="5"/>
      <c r="N922" s="7"/>
      <c r="O922" s="5" t="s">
        <v>554</v>
      </c>
      <c r="P922" s="8">
        <v>106.33</v>
      </c>
      <c r="Q922" s="8">
        <f t="shared" si="22"/>
        <v>79912.03</v>
      </c>
    </row>
    <row r="923" spans="1:17" x14ac:dyDescent="0.25">
      <c r="A923" s="5"/>
      <c r="B923" s="5"/>
      <c r="C923" s="5"/>
      <c r="D923" s="5"/>
      <c r="E923" s="5"/>
      <c r="F923" s="5"/>
      <c r="G923" s="5"/>
      <c r="H923" s="5" t="s">
        <v>596</v>
      </c>
      <c r="I923" s="6">
        <v>44833</v>
      </c>
      <c r="J923" s="5" t="s">
        <v>687</v>
      </c>
      <c r="K923" s="5" t="s">
        <v>724</v>
      </c>
      <c r="L923" s="5"/>
      <c r="M923" s="5"/>
      <c r="N923" s="7"/>
      <c r="O923" s="5" t="s">
        <v>554</v>
      </c>
      <c r="P923" s="8">
        <v>44.24</v>
      </c>
      <c r="Q923" s="8">
        <f t="shared" si="22"/>
        <v>79956.27</v>
      </c>
    </row>
    <row r="924" spans="1:17" x14ac:dyDescent="0.25">
      <c r="A924" s="5"/>
      <c r="B924" s="5"/>
      <c r="C924" s="5"/>
      <c r="D924" s="5"/>
      <c r="E924" s="5"/>
      <c r="F924" s="5"/>
      <c r="G924" s="5"/>
      <c r="H924" s="5" t="s">
        <v>596</v>
      </c>
      <c r="I924" s="6">
        <v>44833</v>
      </c>
      <c r="J924" s="5" t="s">
        <v>687</v>
      </c>
      <c r="K924" s="5" t="s">
        <v>724</v>
      </c>
      <c r="L924" s="5"/>
      <c r="M924" s="5"/>
      <c r="N924" s="7"/>
      <c r="O924" s="5" t="s">
        <v>554</v>
      </c>
      <c r="P924" s="8">
        <v>80</v>
      </c>
      <c r="Q924" s="8">
        <f t="shared" si="22"/>
        <v>80036.27</v>
      </c>
    </row>
    <row r="925" spans="1:17" x14ac:dyDescent="0.25">
      <c r="A925" s="5"/>
      <c r="B925" s="5"/>
      <c r="C925" s="5"/>
      <c r="D925" s="5"/>
      <c r="E925" s="5"/>
      <c r="F925" s="5"/>
      <c r="G925" s="5"/>
      <c r="H925" s="5" t="s">
        <v>596</v>
      </c>
      <c r="I925" s="6">
        <v>44833</v>
      </c>
      <c r="J925" s="5" t="s">
        <v>688</v>
      </c>
      <c r="K925" s="5" t="s">
        <v>739</v>
      </c>
      <c r="L925" s="5"/>
      <c r="M925" s="5"/>
      <c r="N925" s="7"/>
      <c r="O925" s="5" t="s">
        <v>554</v>
      </c>
      <c r="P925" s="8">
        <v>1531.2</v>
      </c>
      <c r="Q925" s="8">
        <f t="shared" si="22"/>
        <v>81567.47</v>
      </c>
    </row>
    <row r="926" spans="1:17" x14ac:dyDescent="0.25">
      <c r="A926" s="5"/>
      <c r="B926" s="5"/>
      <c r="C926" s="5"/>
      <c r="D926" s="5"/>
      <c r="E926" s="5"/>
      <c r="F926" s="5"/>
      <c r="G926" s="5"/>
      <c r="H926" s="5" t="s">
        <v>596</v>
      </c>
      <c r="I926" s="6">
        <v>44833</v>
      </c>
      <c r="J926" s="5" t="s">
        <v>688</v>
      </c>
      <c r="K926" s="5" t="s">
        <v>739</v>
      </c>
      <c r="L926" s="5"/>
      <c r="M926" s="5"/>
      <c r="N926" s="7"/>
      <c r="O926" s="5" t="s">
        <v>554</v>
      </c>
      <c r="P926" s="8">
        <v>79.61</v>
      </c>
      <c r="Q926" s="8">
        <f t="shared" si="22"/>
        <v>81647.08</v>
      </c>
    </row>
    <row r="927" spans="1:17" x14ac:dyDescent="0.25">
      <c r="A927" s="5"/>
      <c r="B927" s="5"/>
      <c r="C927" s="5"/>
      <c r="D927" s="5"/>
      <c r="E927" s="5"/>
      <c r="F927" s="5"/>
      <c r="G927" s="5"/>
      <c r="H927" s="5" t="s">
        <v>596</v>
      </c>
      <c r="I927" s="6">
        <v>44833</v>
      </c>
      <c r="J927" s="5" t="s">
        <v>688</v>
      </c>
      <c r="K927" s="5" t="s">
        <v>739</v>
      </c>
      <c r="L927" s="5"/>
      <c r="M927" s="5"/>
      <c r="N927" s="7"/>
      <c r="O927" s="5" t="s">
        <v>554</v>
      </c>
      <c r="P927" s="8">
        <v>33.869999999999997</v>
      </c>
      <c r="Q927" s="8">
        <f t="shared" si="22"/>
        <v>81680.95</v>
      </c>
    </row>
    <row r="928" spans="1:17" x14ac:dyDescent="0.25">
      <c r="A928" s="5"/>
      <c r="B928" s="5"/>
      <c r="C928" s="5"/>
      <c r="D928" s="5"/>
      <c r="E928" s="5"/>
      <c r="F928" s="5"/>
      <c r="G928" s="5"/>
      <c r="H928" s="5" t="s">
        <v>596</v>
      </c>
      <c r="I928" s="6">
        <v>44833</v>
      </c>
      <c r="J928" s="5" t="s">
        <v>688</v>
      </c>
      <c r="K928" s="5" t="s">
        <v>739</v>
      </c>
      <c r="L928" s="5"/>
      <c r="M928" s="5"/>
      <c r="N928" s="7"/>
      <c r="O928" s="5" t="s">
        <v>554</v>
      </c>
      <c r="P928" s="8">
        <v>0</v>
      </c>
      <c r="Q928" s="8">
        <f t="shared" si="22"/>
        <v>81680.95</v>
      </c>
    </row>
    <row r="929" spans="1:17" x14ac:dyDescent="0.25">
      <c r="A929" s="5"/>
      <c r="B929" s="5"/>
      <c r="C929" s="5"/>
      <c r="D929" s="5"/>
      <c r="E929" s="5"/>
      <c r="F929" s="5"/>
      <c r="G929" s="5"/>
      <c r="H929" s="5" t="s">
        <v>596</v>
      </c>
      <c r="I929" s="6">
        <v>44833</v>
      </c>
      <c r="J929" s="5" t="s">
        <v>689</v>
      </c>
      <c r="K929" s="5" t="s">
        <v>740</v>
      </c>
      <c r="L929" s="5"/>
      <c r="M929" s="5"/>
      <c r="N929" s="7"/>
      <c r="O929" s="5" t="s">
        <v>554</v>
      </c>
      <c r="P929" s="8">
        <v>1500</v>
      </c>
      <c r="Q929" s="8">
        <f t="shared" si="22"/>
        <v>83180.95</v>
      </c>
    </row>
    <row r="930" spans="1:17" x14ac:dyDescent="0.25">
      <c r="A930" s="5"/>
      <c r="B930" s="5"/>
      <c r="C930" s="5"/>
      <c r="D930" s="5"/>
      <c r="E930" s="5"/>
      <c r="F930" s="5"/>
      <c r="G930" s="5"/>
      <c r="H930" s="5" t="s">
        <v>596</v>
      </c>
      <c r="I930" s="6">
        <v>44833</v>
      </c>
      <c r="J930" s="5" t="s">
        <v>689</v>
      </c>
      <c r="K930" s="5" t="s">
        <v>740</v>
      </c>
      <c r="L930" s="5"/>
      <c r="M930" s="5"/>
      <c r="N930" s="7"/>
      <c r="O930" s="5" t="s">
        <v>554</v>
      </c>
      <c r="P930" s="8">
        <v>77.83</v>
      </c>
      <c r="Q930" s="8">
        <f t="shared" si="22"/>
        <v>83258.78</v>
      </c>
    </row>
    <row r="931" spans="1:17" x14ac:dyDescent="0.25">
      <c r="A931" s="5"/>
      <c r="B931" s="5"/>
      <c r="C931" s="5"/>
      <c r="D931" s="5"/>
      <c r="E931" s="5"/>
      <c r="F931" s="5"/>
      <c r="G931" s="5"/>
      <c r="H931" s="5" t="s">
        <v>596</v>
      </c>
      <c r="I931" s="6">
        <v>44833</v>
      </c>
      <c r="J931" s="5" t="s">
        <v>689</v>
      </c>
      <c r="K931" s="5" t="s">
        <v>740</v>
      </c>
      <c r="L931" s="5"/>
      <c r="M931" s="5"/>
      <c r="N931" s="7"/>
      <c r="O931" s="5" t="s">
        <v>554</v>
      </c>
      <c r="P931" s="8">
        <v>33.18</v>
      </c>
      <c r="Q931" s="8">
        <f t="shared" si="22"/>
        <v>83291.960000000006</v>
      </c>
    </row>
    <row r="932" spans="1:17" x14ac:dyDescent="0.25">
      <c r="A932" s="5"/>
      <c r="B932" s="5"/>
      <c r="C932" s="5"/>
      <c r="D932" s="5"/>
      <c r="E932" s="5"/>
      <c r="F932" s="5"/>
      <c r="G932" s="5"/>
      <c r="H932" s="5" t="s">
        <v>596</v>
      </c>
      <c r="I932" s="6">
        <v>44833</v>
      </c>
      <c r="J932" s="5" t="s">
        <v>689</v>
      </c>
      <c r="K932" s="5" t="s">
        <v>740</v>
      </c>
      <c r="L932" s="5"/>
      <c r="M932" s="5"/>
      <c r="N932" s="7"/>
      <c r="O932" s="5" t="s">
        <v>554</v>
      </c>
      <c r="P932" s="8">
        <v>0</v>
      </c>
      <c r="Q932" s="8">
        <f t="shared" si="22"/>
        <v>83291.960000000006</v>
      </c>
    </row>
    <row r="933" spans="1:17" x14ac:dyDescent="0.25">
      <c r="A933" s="5"/>
      <c r="B933" s="5"/>
      <c r="C933" s="5"/>
      <c r="D933" s="5"/>
      <c r="E933" s="5"/>
      <c r="F933" s="5"/>
      <c r="G933" s="5"/>
      <c r="H933" s="5" t="s">
        <v>596</v>
      </c>
      <c r="I933" s="6">
        <v>44833</v>
      </c>
      <c r="J933" s="5" t="s">
        <v>690</v>
      </c>
      <c r="K933" s="5" t="s">
        <v>443</v>
      </c>
      <c r="L933" s="5"/>
      <c r="M933" s="5"/>
      <c r="N933" s="7"/>
      <c r="O933" s="5" t="s">
        <v>554</v>
      </c>
      <c r="P933" s="8">
        <v>1400</v>
      </c>
      <c r="Q933" s="8">
        <f t="shared" si="22"/>
        <v>84691.96</v>
      </c>
    </row>
    <row r="934" spans="1:17" x14ac:dyDescent="0.25">
      <c r="A934" s="5"/>
      <c r="B934" s="5"/>
      <c r="C934" s="5"/>
      <c r="D934" s="5"/>
      <c r="E934" s="5"/>
      <c r="F934" s="5"/>
      <c r="G934" s="5"/>
      <c r="H934" s="5" t="s">
        <v>596</v>
      </c>
      <c r="I934" s="6">
        <v>44833</v>
      </c>
      <c r="J934" s="5" t="s">
        <v>690</v>
      </c>
      <c r="K934" s="5" t="s">
        <v>443</v>
      </c>
      <c r="L934" s="5"/>
      <c r="M934" s="5"/>
      <c r="N934" s="7"/>
      <c r="O934" s="5" t="s">
        <v>554</v>
      </c>
      <c r="P934" s="8">
        <v>72.13</v>
      </c>
      <c r="Q934" s="8">
        <f t="shared" si="22"/>
        <v>84764.09</v>
      </c>
    </row>
    <row r="935" spans="1:17" x14ac:dyDescent="0.25">
      <c r="A935" s="5"/>
      <c r="B935" s="5"/>
      <c r="C935" s="5"/>
      <c r="D935" s="5"/>
      <c r="E935" s="5"/>
      <c r="F935" s="5"/>
      <c r="G935" s="5"/>
      <c r="H935" s="5" t="s">
        <v>596</v>
      </c>
      <c r="I935" s="6">
        <v>44833</v>
      </c>
      <c r="J935" s="5" t="s">
        <v>690</v>
      </c>
      <c r="K935" s="5" t="s">
        <v>443</v>
      </c>
      <c r="L935" s="5"/>
      <c r="M935" s="5"/>
      <c r="N935" s="7"/>
      <c r="O935" s="5" t="s">
        <v>554</v>
      </c>
      <c r="P935" s="8">
        <v>30.97</v>
      </c>
      <c r="Q935" s="8">
        <f t="shared" si="22"/>
        <v>84795.06</v>
      </c>
    </row>
    <row r="936" spans="1:17" x14ac:dyDescent="0.25">
      <c r="A936" s="5"/>
      <c r="B936" s="5"/>
      <c r="C936" s="5"/>
      <c r="D936" s="5"/>
      <c r="E936" s="5"/>
      <c r="F936" s="5"/>
      <c r="G936" s="5"/>
      <c r="H936" s="5" t="s">
        <v>596</v>
      </c>
      <c r="I936" s="6">
        <v>44833</v>
      </c>
      <c r="J936" s="5" t="s">
        <v>690</v>
      </c>
      <c r="K936" s="5" t="s">
        <v>443</v>
      </c>
      <c r="L936" s="5"/>
      <c r="M936" s="5"/>
      <c r="N936" s="7"/>
      <c r="O936" s="5" t="s">
        <v>554</v>
      </c>
      <c r="P936" s="8">
        <v>0</v>
      </c>
      <c r="Q936" s="8">
        <f t="shared" si="22"/>
        <v>84795.06</v>
      </c>
    </row>
    <row r="937" spans="1:17" x14ac:dyDescent="0.25">
      <c r="A937" s="5"/>
      <c r="B937" s="5"/>
      <c r="C937" s="5"/>
      <c r="D937" s="5"/>
      <c r="E937" s="5"/>
      <c r="F937" s="5"/>
      <c r="G937" s="5"/>
      <c r="H937" s="5" t="s">
        <v>596</v>
      </c>
      <c r="I937" s="6">
        <v>44833</v>
      </c>
      <c r="J937" s="5" t="s">
        <v>691</v>
      </c>
      <c r="K937" s="5" t="s">
        <v>736</v>
      </c>
      <c r="L937" s="5"/>
      <c r="M937" s="5"/>
      <c r="N937" s="7"/>
      <c r="O937" s="5" t="s">
        <v>554</v>
      </c>
      <c r="P937" s="8">
        <v>818.67</v>
      </c>
      <c r="Q937" s="8">
        <f t="shared" si="22"/>
        <v>85613.73</v>
      </c>
    </row>
    <row r="938" spans="1:17" x14ac:dyDescent="0.25">
      <c r="A938" s="5"/>
      <c r="B938" s="5"/>
      <c r="C938" s="5"/>
      <c r="D938" s="5"/>
      <c r="E938" s="5"/>
      <c r="F938" s="5"/>
      <c r="G938" s="5"/>
      <c r="H938" s="5" t="s">
        <v>596</v>
      </c>
      <c r="I938" s="6">
        <v>44833</v>
      </c>
      <c r="J938" s="5" t="s">
        <v>691</v>
      </c>
      <c r="K938" s="5" t="s">
        <v>736</v>
      </c>
      <c r="L938" s="5"/>
      <c r="M938" s="5"/>
      <c r="N938" s="7"/>
      <c r="O938" s="5" t="s">
        <v>554</v>
      </c>
      <c r="P938" s="8">
        <v>0</v>
      </c>
      <c r="Q938" s="8">
        <f t="shared" si="22"/>
        <v>85613.73</v>
      </c>
    </row>
    <row r="939" spans="1:17" x14ac:dyDescent="0.25">
      <c r="A939" s="5"/>
      <c r="B939" s="5"/>
      <c r="C939" s="5"/>
      <c r="D939" s="5"/>
      <c r="E939" s="5"/>
      <c r="F939" s="5"/>
      <c r="G939" s="5"/>
      <c r="H939" s="5" t="s">
        <v>596</v>
      </c>
      <c r="I939" s="6">
        <v>44833</v>
      </c>
      <c r="J939" s="5" t="s">
        <v>691</v>
      </c>
      <c r="K939" s="5" t="s">
        <v>736</v>
      </c>
      <c r="L939" s="5"/>
      <c r="M939" s="5"/>
      <c r="N939" s="7"/>
      <c r="O939" s="5" t="s">
        <v>554</v>
      </c>
      <c r="P939" s="8">
        <v>18.100000000000001</v>
      </c>
      <c r="Q939" s="8">
        <f t="shared" si="22"/>
        <v>85631.83</v>
      </c>
    </row>
    <row r="940" spans="1:17" x14ac:dyDescent="0.25">
      <c r="A940" s="5"/>
      <c r="B940" s="5"/>
      <c r="C940" s="5"/>
      <c r="D940" s="5"/>
      <c r="E940" s="5"/>
      <c r="F940" s="5"/>
      <c r="G940" s="5"/>
      <c r="H940" s="5" t="s">
        <v>596</v>
      </c>
      <c r="I940" s="6">
        <v>44833</v>
      </c>
      <c r="J940" s="5" t="s">
        <v>691</v>
      </c>
      <c r="K940" s="5" t="s">
        <v>736</v>
      </c>
      <c r="L940" s="5"/>
      <c r="M940" s="5"/>
      <c r="N940" s="7"/>
      <c r="O940" s="5" t="s">
        <v>554</v>
      </c>
      <c r="P940" s="8">
        <v>0</v>
      </c>
      <c r="Q940" s="8">
        <f t="shared" si="22"/>
        <v>85631.83</v>
      </c>
    </row>
    <row r="941" spans="1:17" x14ac:dyDescent="0.25">
      <c r="A941" s="5"/>
      <c r="B941" s="5"/>
      <c r="C941" s="5"/>
      <c r="D941" s="5"/>
      <c r="E941" s="5"/>
      <c r="F941" s="5"/>
      <c r="G941" s="5"/>
      <c r="H941" s="5" t="s">
        <v>596</v>
      </c>
      <c r="I941" s="6">
        <v>44833</v>
      </c>
      <c r="J941" s="5" t="s">
        <v>692</v>
      </c>
      <c r="K941" s="5" t="s">
        <v>741</v>
      </c>
      <c r="L941" s="5"/>
      <c r="M941" s="5"/>
      <c r="N941" s="7"/>
      <c r="O941" s="5" t="s">
        <v>554</v>
      </c>
      <c r="P941" s="8">
        <v>1523</v>
      </c>
      <c r="Q941" s="8">
        <f t="shared" si="22"/>
        <v>87154.83</v>
      </c>
    </row>
    <row r="942" spans="1:17" x14ac:dyDescent="0.25">
      <c r="A942" s="5"/>
      <c r="B942" s="5"/>
      <c r="C942" s="5"/>
      <c r="D942" s="5"/>
      <c r="E942" s="5"/>
      <c r="F942" s="5"/>
      <c r="G942" s="5"/>
      <c r="H942" s="5" t="s">
        <v>596</v>
      </c>
      <c r="I942" s="6">
        <v>44833</v>
      </c>
      <c r="J942" s="5" t="s">
        <v>692</v>
      </c>
      <c r="K942" s="5" t="s">
        <v>741</v>
      </c>
      <c r="L942" s="5"/>
      <c r="M942" s="5"/>
      <c r="N942" s="7"/>
      <c r="O942" s="5" t="s">
        <v>554</v>
      </c>
      <c r="P942" s="8">
        <v>79.14</v>
      </c>
      <c r="Q942" s="8">
        <f t="shared" si="22"/>
        <v>87233.97</v>
      </c>
    </row>
    <row r="943" spans="1:17" x14ac:dyDescent="0.25">
      <c r="A943" s="5"/>
      <c r="B943" s="5"/>
      <c r="C943" s="5"/>
      <c r="D943" s="5"/>
      <c r="E943" s="5"/>
      <c r="F943" s="5"/>
      <c r="G943" s="5"/>
      <c r="H943" s="5" t="s">
        <v>596</v>
      </c>
      <c r="I943" s="6">
        <v>44833</v>
      </c>
      <c r="J943" s="5" t="s">
        <v>692</v>
      </c>
      <c r="K943" s="5" t="s">
        <v>741</v>
      </c>
      <c r="L943" s="5"/>
      <c r="M943" s="5"/>
      <c r="N943" s="7"/>
      <c r="O943" s="5" t="s">
        <v>554</v>
      </c>
      <c r="P943" s="8">
        <v>33.68</v>
      </c>
      <c r="Q943" s="8">
        <f t="shared" si="22"/>
        <v>87267.65</v>
      </c>
    </row>
    <row r="944" spans="1:17" x14ac:dyDescent="0.25">
      <c r="A944" s="5"/>
      <c r="B944" s="5"/>
      <c r="C944" s="5"/>
      <c r="D944" s="5"/>
      <c r="E944" s="5"/>
      <c r="F944" s="5"/>
      <c r="G944" s="5"/>
      <c r="H944" s="5" t="s">
        <v>596</v>
      </c>
      <c r="I944" s="6">
        <v>44833</v>
      </c>
      <c r="J944" s="5" t="s">
        <v>692</v>
      </c>
      <c r="K944" s="5" t="s">
        <v>741</v>
      </c>
      <c r="L944" s="5"/>
      <c r="M944" s="5"/>
      <c r="N944" s="7"/>
      <c r="O944" s="5" t="s">
        <v>554</v>
      </c>
      <c r="P944" s="8">
        <v>0</v>
      </c>
      <c r="Q944" s="8">
        <f t="shared" si="22"/>
        <v>87267.65</v>
      </c>
    </row>
    <row r="945" spans="1:17" x14ac:dyDescent="0.25">
      <c r="A945" s="5"/>
      <c r="B945" s="5"/>
      <c r="C945" s="5"/>
      <c r="D945" s="5"/>
      <c r="E945" s="5"/>
      <c r="F945" s="5"/>
      <c r="G945" s="5"/>
      <c r="H945" s="5" t="s">
        <v>596</v>
      </c>
      <c r="I945" s="6">
        <v>44847</v>
      </c>
      <c r="J945" s="5" t="s">
        <v>693</v>
      </c>
      <c r="K945" s="5" t="s">
        <v>441</v>
      </c>
      <c r="L945" s="5"/>
      <c r="M945" s="5"/>
      <c r="N945" s="7"/>
      <c r="O945" s="5" t="s">
        <v>554</v>
      </c>
      <c r="P945" s="8">
        <v>1600</v>
      </c>
      <c r="Q945" s="8">
        <f t="shared" si="22"/>
        <v>88867.65</v>
      </c>
    </row>
    <row r="946" spans="1:17" x14ac:dyDescent="0.25">
      <c r="A946" s="5"/>
      <c r="B946" s="5"/>
      <c r="C946" s="5"/>
      <c r="D946" s="5"/>
      <c r="E946" s="5"/>
      <c r="F946" s="5"/>
      <c r="G946" s="5"/>
      <c r="H946" s="5" t="s">
        <v>596</v>
      </c>
      <c r="I946" s="6">
        <v>44847</v>
      </c>
      <c r="J946" s="5" t="s">
        <v>693</v>
      </c>
      <c r="K946" s="5" t="s">
        <v>441</v>
      </c>
      <c r="L946" s="5"/>
      <c r="M946" s="5"/>
      <c r="N946" s="7"/>
      <c r="O946" s="5" t="s">
        <v>554</v>
      </c>
      <c r="P946" s="8">
        <v>83.53</v>
      </c>
      <c r="Q946" s="8">
        <f t="shared" si="22"/>
        <v>88951.18</v>
      </c>
    </row>
    <row r="947" spans="1:17" x14ac:dyDescent="0.25">
      <c r="A947" s="5"/>
      <c r="B947" s="5"/>
      <c r="C947" s="5"/>
      <c r="D947" s="5"/>
      <c r="E947" s="5"/>
      <c r="F947" s="5"/>
      <c r="G947" s="5"/>
      <c r="H947" s="5" t="s">
        <v>596</v>
      </c>
      <c r="I947" s="6">
        <v>44847</v>
      </c>
      <c r="J947" s="5" t="s">
        <v>693</v>
      </c>
      <c r="K947" s="5" t="s">
        <v>441</v>
      </c>
      <c r="L947" s="5"/>
      <c r="M947" s="5"/>
      <c r="N947" s="7"/>
      <c r="O947" s="5" t="s">
        <v>554</v>
      </c>
      <c r="P947" s="8">
        <v>35.39</v>
      </c>
      <c r="Q947" s="8">
        <f t="shared" si="22"/>
        <v>88986.57</v>
      </c>
    </row>
    <row r="948" spans="1:17" x14ac:dyDescent="0.25">
      <c r="A948" s="5"/>
      <c r="B948" s="5"/>
      <c r="C948" s="5"/>
      <c r="D948" s="5"/>
      <c r="E948" s="5"/>
      <c r="F948" s="5"/>
      <c r="G948" s="5"/>
      <c r="H948" s="5" t="s">
        <v>596</v>
      </c>
      <c r="I948" s="6">
        <v>44847</v>
      </c>
      <c r="J948" s="5" t="s">
        <v>693</v>
      </c>
      <c r="K948" s="5" t="s">
        <v>441</v>
      </c>
      <c r="L948" s="5"/>
      <c r="M948" s="5"/>
      <c r="N948" s="7"/>
      <c r="O948" s="5" t="s">
        <v>554</v>
      </c>
      <c r="P948" s="8">
        <v>64</v>
      </c>
      <c r="Q948" s="8">
        <f t="shared" si="22"/>
        <v>89050.57</v>
      </c>
    </row>
    <row r="949" spans="1:17" x14ac:dyDescent="0.25">
      <c r="A949" s="5"/>
      <c r="B949" s="5"/>
      <c r="C949" s="5"/>
      <c r="D949" s="5"/>
      <c r="E949" s="5"/>
      <c r="F949" s="5"/>
      <c r="G949" s="5"/>
      <c r="H949" s="5" t="s">
        <v>596</v>
      </c>
      <c r="I949" s="6">
        <v>44847</v>
      </c>
      <c r="J949" s="5" t="s">
        <v>694</v>
      </c>
      <c r="K949" s="5" t="s">
        <v>724</v>
      </c>
      <c r="L949" s="5"/>
      <c r="M949" s="5"/>
      <c r="N949" s="7"/>
      <c r="O949" s="5" t="s">
        <v>554</v>
      </c>
      <c r="P949" s="8">
        <v>2000</v>
      </c>
      <c r="Q949" s="8">
        <f t="shared" si="22"/>
        <v>91050.57</v>
      </c>
    </row>
    <row r="950" spans="1:17" x14ac:dyDescent="0.25">
      <c r="A950" s="5"/>
      <c r="B950" s="5"/>
      <c r="C950" s="5"/>
      <c r="D950" s="5"/>
      <c r="E950" s="5"/>
      <c r="F950" s="5"/>
      <c r="G950" s="5"/>
      <c r="H950" s="5" t="s">
        <v>596</v>
      </c>
      <c r="I950" s="6">
        <v>44847</v>
      </c>
      <c r="J950" s="5" t="s">
        <v>694</v>
      </c>
      <c r="K950" s="5" t="s">
        <v>724</v>
      </c>
      <c r="L950" s="5"/>
      <c r="M950" s="5"/>
      <c r="N950" s="7"/>
      <c r="O950" s="5" t="s">
        <v>554</v>
      </c>
      <c r="P950" s="8">
        <v>106.33</v>
      </c>
      <c r="Q950" s="8">
        <f t="shared" si="22"/>
        <v>91156.9</v>
      </c>
    </row>
    <row r="951" spans="1:17" x14ac:dyDescent="0.25">
      <c r="A951" s="5"/>
      <c r="B951" s="5"/>
      <c r="C951" s="5"/>
      <c r="D951" s="5"/>
      <c r="E951" s="5"/>
      <c r="F951" s="5"/>
      <c r="G951" s="5"/>
      <c r="H951" s="5" t="s">
        <v>596</v>
      </c>
      <c r="I951" s="6">
        <v>44847</v>
      </c>
      <c r="J951" s="5" t="s">
        <v>694</v>
      </c>
      <c r="K951" s="5" t="s">
        <v>724</v>
      </c>
      <c r="L951" s="5"/>
      <c r="M951" s="5"/>
      <c r="N951" s="7"/>
      <c r="O951" s="5" t="s">
        <v>554</v>
      </c>
      <c r="P951" s="8">
        <v>44.24</v>
      </c>
      <c r="Q951" s="8">
        <f t="shared" si="22"/>
        <v>91201.14</v>
      </c>
    </row>
    <row r="952" spans="1:17" x14ac:dyDescent="0.25">
      <c r="A952" s="5"/>
      <c r="B952" s="5"/>
      <c r="C952" s="5"/>
      <c r="D952" s="5"/>
      <c r="E952" s="5"/>
      <c r="F952" s="5"/>
      <c r="G952" s="5"/>
      <c r="H952" s="5" t="s">
        <v>596</v>
      </c>
      <c r="I952" s="6">
        <v>44847</v>
      </c>
      <c r="J952" s="5" t="s">
        <v>694</v>
      </c>
      <c r="K952" s="5" t="s">
        <v>724</v>
      </c>
      <c r="L952" s="5"/>
      <c r="M952" s="5"/>
      <c r="N952" s="7"/>
      <c r="O952" s="5" t="s">
        <v>554</v>
      </c>
      <c r="P952" s="8">
        <v>80</v>
      </c>
      <c r="Q952" s="8">
        <f t="shared" si="22"/>
        <v>91281.14</v>
      </c>
    </row>
    <row r="953" spans="1:17" x14ac:dyDescent="0.25">
      <c r="A953" s="5"/>
      <c r="B953" s="5"/>
      <c r="C953" s="5"/>
      <c r="D953" s="5"/>
      <c r="E953" s="5"/>
      <c r="F953" s="5"/>
      <c r="G953" s="5"/>
      <c r="H953" s="5" t="s">
        <v>596</v>
      </c>
      <c r="I953" s="6">
        <v>44847</v>
      </c>
      <c r="J953" s="5" t="s">
        <v>695</v>
      </c>
      <c r="K953" s="5" t="s">
        <v>739</v>
      </c>
      <c r="L953" s="5"/>
      <c r="M953" s="5"/>
      <c r="N953" s="7"/>
      <c r="O953" s="5" t="s">
        <v>554</v>
      </c>
      <c r="P953" s="8">
        <v>914.1</v>
      </c>
      <c r="Q953" s="8">
        <f t="shared" ref="Q953:Q1016" si="23">ROUND(Q952+P953,5)</f>
        <v>92195.24</v>
      </c>
    </row>
    <row r="954" spans="1:17" x14ac:dyDescent="0.25">
      <c r="A954" s="5"/>
      <c r="B954" s="5"/>
      <c r="C954" s="5"/>
      <c r="D954" s="5"/>
      <c r="E954" s="5"/>
      <c r="F954" s="5"/>
      <c r="G954" s="5"/>
      <c r="H954" s="5" t="s">
        <v>596</v>
      </c>
      <c r="I954" s="6">
        <v>44847</v>
      </c>
      <c r="J954" s="5" t="s">
        <v>695</v>
      </c>
      <c r="K954" s="5" t="s">
        <v>739</v>
      </c>
      <c r="L954" s="5"/>
      <c r="M954" s="5"/>
      <c r="N954" s="7"/>
      <c r="O954" s="5" t="s">
        <v>554</v>
      </c>
      <c r="P954" s="8">
        <v>44.43</v>
      </c>
      <c r="Q954" s="8">
        <f t="shared" si="23"/>
        <v>92239.67</v>
      </c>
    </row>
    <row r="955" spans="1:17" x14ac:dyDescent="0.25">
      <c r="A955" s="5"/>
      <c r="B955" s="5"/>
      <c r="C955" s="5"/>
      <c r="D955" s="5"/>
      <c r="E955" s="5"/>
      <c r="F955" s="5"/>
      <c r="G955" s="5"/>
      <c r="H955" s="5" t="s">
        <v>596</v>
      </c>
      <c r="I955" s="6">
        <v>44847</v>
      </c>
      <c r="J955" s="5" t="s">
        <v>695</v>
      </c>
      <c r="K955" s="5" t="s">
        <v>739</v>
      </c>
      <c r="L955" s="5"/>
      <c r="M955" s="5"/>
      <c r="N955" s="7"/>
      <c r="O955" s="5" t="s">
        <v>554</v>
      </c>
      <c r="P955" s="8">
        <v>20.22</v>
      </c>
      <c r="Q955" s="8">
        <f t="shared" si="23"/>
        <v>92259.89</v>
      </c>
    </row>
    <row r="956" spans="1:17" x14ac:dyDescent="0.25">
      <c r="A956" s="5"/>
      <c r="B956" s="5"/>
      <c r="C956" s="5"/>
      <c r="D956" s="5"/>
      <c r="E956" s="5"/>
      <c r="F956" s="5"/>
      <c r="G956" s="5"/>
      <c r="H956" s="5" t="s">
        <v>596</v>
      </c>
      <c r="I956" s="6">
        <v>44847</v>
      </c>
      <c r="J956" s="5" t="s">
        <v>695</v>
      </c>
      <c r="K956" s="5" t="s">
        <v>739</v>
      </c>
      <c r="L956" s="5"/>
      <c r="M956" s="5"/>
      <c r="N956" s="7"/>
      <c r="O956" s="5" t="s">
        <v>554</v>
      </c>
      <c r="P956" s="8">
        <v>0</v>
      </c>
      <c r="Q956" s="8">
        <f t="shared" si="23"/>
        <v>92259.89</v>
      </c>
    </row>
    <row r="957" spans="1:17" x14ac:dyDescent="0.25">
      <c r="A957" s="5"/>
      <c r="B957" s="5"/>
      <c r="C957" s="5"/>
      <c r="D957" s="5"/>
      <c r="E957" s="5"/>
      <c r="F957" s="5"/>
      <c r="G957" s="5"/>
      <c r="H957" s="5" t="s">
        <v>596</v>
      </c>
      <c r="I957" s="6">
        <v>44847</v>
      </c>
      <c r="J957" s="5" t="s">
        <v>696</v>
      </c>
      <c r="K957" s="5" t="s">
        <v>740</v>
      </c>
      <c r="L957" s="5"/>
      <c r="M957" s="5"/>
      <c r="N957" s="7"/>
      <c r="O957" s="5" t="s">
        <v>554</v>
      </c>
      <c r="P957" s="8">
        <v>1384.62</v>
      </c>
      <c r="Q957" s="8">
        <f t="shared" si="23"/>
        <v>93644.51</v>
      </c>
    </row>
    <row r="958" spans="1:17" x14ac:dyDescent="0.25">
      <c r="A958" s="5"/>
      <c r="B958" s="5"/>
      <c r="C958" s="5"/>
      <c r="D958" s="5"/>
      <c r="E958" s="5"/>
      <c r="F958" s="5"/>
      <c r="G958" s="5"/>
      <c r="H958" s="5" t="s">
        <v>596</v>
      </c>
      <c r="I958" s="6">
        <v>44847</v>
      </c>
      <c r="J958" s="5" t="s">
        <v>696</v>
      </c>
      <c r="K958" s="5" t="s">
        <v>740</v>
      </c>
      <c r="L958" s="5"/>
      <c r="M958" s="5"/>
      <c r="N958" s="7"/>
      <c r="O958" s="5" t="s">
        <v>554</v>
      </c>
      <c r="P958" s="8">
        <v>71.25</v>
      </c>
      <c r="Q958" s="8">
        <f t="shared" si="23"/>
        <v>93715.76</v>
      </c>
    </row>
    <row r="959" spans="1:17" x14ac:dyDescent="0.25">
      <c r="A959" s="5"/>
      <c r="B959" s="5"/>
      <c r="C959" s="5"/>
      <c r="D959" s="5"/>
      <c r="E959" s="5"/>
      <c r="F959" s="5"/>
      <c r="G959" s="5"/>
      <c r="H959" s="5" t="s">
        <v>596</v>
      </c>
      <c r="I959" s="6">
        <v>44847</v>
      </c>
      <c r="J959" s="5" t="s">
        <v>696</v>
      </c>
      <c r="K959" s="5" t="s">
        <v>740</v>
      </c>
      <c r="L959" s="5"/>
      <c r="M959" s="5"/>
      <c r="N959" s="7"/>
      <c r="O959" s="5" t="s">
        <v>554</v>
      </c>
      <c r="P959" s="8">
        <v>30.63</v>
      </c>
      <c r="Q959" s="8">
        <f t="shared" si="23"/>
        <v>93746.39</v>
      </c>
    </row>
    <row r="960" spans="1:17" x14ac:dyDescent="0.25">
      <c r="A960" s="5"/>
      <c r="B960" s="5"/>
      <c r="C960" s="5"/>
      <c r="D960" s="5"/>
      <c r="E960" s="5"/>
      <c r="F960" s="5"/>
      <c r="G960" s="5"/>
      <c r="H960" s="5" t="s">
        <v>596</v>
      </c>
      <c r="I960" s="6">
        <v>44847</v>
      </c>
      <c r="J960" s="5" t="s">
        <v>696</v>
      </c>
      <c r="K960" s="5" t="s">
        <v>740</v>
      </c>
      <c r="L960" s="5"/>
      <c r="M960" s="5"/>
      <c r="N960" s="7"/>
      <c r="O960" s="5" t="s">
        <v>554</v>
      </c>
      <c r="P960" s="8">
        <v>0</v>
      </c>
      <c r="Q960" s="8">
        <f t="shared" si="23"/>
        <v>93746.39</v>
      </c>
    </row>
    <row r="961" spans="1:17" x14ac:dyDescent="0.25">
      <c r="A961" s="5"/>
      <c r="B961" s="5"/>
      <c r="C961" s="5"/>
      <c r="D961" s="5"/>
      <c r="E961" s="5"/>
      <c r="F961" s="5"/>
      <c r="G961" s="5"/>
      <c r="H961" s="5" t="s">
        <v>596</v>
      </c>
      <c r="I961" s="6">
        <v>44847</v>
      </c>
      <c r="J961" s="5" t="s">
        <v>697</v>
      </c>
      <c r="K961" s="5" t="s">
        <v>443</v>
      </c>
      <c r="L961" s="5"/>
      <c r="M961" s="5"/>
      <c r="N961" s="7"/>
      <c r="O961" s="5" t="s">
        <v>554</v>
      </c>
      <c r="P961" s="8">
        <v>1400</v>
      </c>
      <c r="Q961" s="8">
        <f t="shared" si="23"/>
        <v>95146.39</v>
      </c>
    </row>
    <row r="962" spans="1:17" x14ac:dyDescent="0.25">
      <c r="A962" s="5"/>
      <c r="B962" s="5"/>
      <c r="C962" s="5"/>
      <c r="D962" s="5"/>
      <c r="E962" s="5"/>
      <c r="F962" s="5"/>
      <c r="G962" s="5"/>
      <c r="H962" s="5" t="s">
        <v>596</v>
      </c>
      <c r="I962" s="6">
        <v>44847</v>
      </c>
      <c r="J962" s="5" t="s">
        <v>697</v>
      </c>
      <c r="K962" s="5" t="s">
        <v>443</v>
      </c>
      <c r="L962" s="5"/>
      <c r="M962" s="5"/>
      <c r="N962" s="7"/>
      <c r="O962" s="5" t="s">
        <v>554</v>
      </c>
      <c r="P962" s="8">
        <v>72.13</v>
      </c>
      <c r="Q962" s="8">
        <f t="shared" si="23"/>
        <v>95218.52</v>
      </c>
    </row>
    <row r="963" spans="1:17" x14ac:dyDescent="0.25">
      <c r="A963" s="5"/>
      <c r="B963" s="5"/>
      <c r="C963" s="5"/>
      <c r="D963" s="5"/>
      <c r="E963" s="5"/>
      <c r="F963" s="5"/>
      <c r="G963" s="5"/>
      <c r="H963" s="5" t="s">
        <v>596</v>
      </c>
      <c r="I963" s="6">
        <v>44847</v>
      </c>
      <c r="J963" s="5" t="s">
        <v>697</v>
      </c>
      <c r="K963" s="5" t="s">
        <v>443</v>
      </c>
      <c r="L963" s="5"/>
      <c r="M963" s="5"/>
      <c r="N963" s="7"/>
      <c r="O963" s="5" t="s">
        <v>554</v>
      </c>
      <c r="P963" s="8">
        <v>30.97</v>
      </c>
      <c r="Q963" s="8">
        <f t="shared" si="23"/>
        <v>95249.49</v>
      </c>
    </row>
    <row r="964" spans="1:17" x14ac:dyDescent="0.25">
      <c r="A964" s="5"/>
      <c r="B964" s="5"/>
      <c r="C964" s="5"/>
      <c r="D964" s="5"/>
      <c r="E964" s="5"/>
      <c r="F964" s="5"/>
      <c r="G964" s="5"/>
      <c r="H964" s="5" t="s">
        <v>596</v>
      </c>
      <c r="I964" s="6">
        <v>44847</v>
      </c>
      <c r="J964" s="5" t="s">
        <v>697</v>
      </c>
      <c r="K964" s="5" t="s">
        <v>443</v>
      </c>
      <c r="L964" s="5"/>
      <c r="M964" s="5"/>
      <c r="N964" s="7"/>
      <c r="O964" s="5" t="s">
        <v>554</v>
      </c>
      <c r="P964" s="8">
        <v>0</v>
      </c>
      <c r="Q964" s="8">
        <f t="shared" si="23"/>
        <v>95249.49</v>
      </c>
    </row>
    <row r="965" spans="1:17" x14ac:dyDescent="0.25">
      <c r="A965" s="5"/>
      <c r="B965" s="5"/>
      <c r="C965" s="5"/>
      <c r="D965" s="5"/>
      <c r="E965" s="5"/>
      <c r="F965" s="5"/>
      <c r="G965" s="5"/>
      <c r="H965" s="5" t="s">
        <v>596</v>
      </c>
      <c r="I965" s="6">
        <v>44847</v>
      </c>
      <c r="J965" s="5" t="s">
        <v>698</v>
      </c>
      <c r="K965" s="5" t="s">
        <v>736</v>
      </c>
      <c r="L965" s="5"/>
      <c r="M965" s="5"/>
      <c r="N965" s="7"/>
      <c r="O965" s="5" t="s">
        <v>554</v>
      </c>
      <c r="P965" s="8">
        <v>1024.27</v>
      </c>
      <c r="Q965" s="8">
        <f t="shared" si="23"/>
        <v>96273.76</v>
      </c>
    </row>
    <row r="966" spans="1:17" x14ac:dyDescent="0.25">
      <c r="A966" s="5"/>
      <c r="B966" s="5"/>
      <c r="C966" s="5"/>
      <c r="D966" s="5"/>
      <c r="E966" s="5"/>
      <c r="F966" s="5"/>
      <c r="G966" s="5"/>
      <c r="H966" s="5" t="s">
        <v>596</v>
      </c>
      <c r="I966" s="6">
        <v>44847</v>
      </c>
      <c r="J966" s="5" t="s">
        <v>698</v>
      </c>
      <c r="K966" s="5" t="s">
        <v>736</v>
      </c>
      <c r="L966" s="5"/>
      <c r="M966" s="5"/>
      <c r="N966" s="7"/>
      <c r="O966" s="5" t="s">
        <v>554</v>
      </c>
      <c r="P966" s="8">
        <v>50.71</v>
      </c>
      <c r="Q966" s="8">
        <f t="shared" si="23"/>
        <v>96324.47</v>
      </c>
    </row>
    <row r="967" spans="1:17" x14ac:dyDescent="0.25">
      <c r="A967" s="5"/>
      <c r="B967" s="5"/>
      <c r="C967" s="5"/>
      <c r="D967" s="5"/>
      <c r="E967" s="5"/>
      <c r="F967" s="5"/>
      <c r="G967" s="5"/>
      <c r="H967" s="5" t="s">
        <v>596</v>
      </c>
      <c r="I967" s="6">
        <v>44847</v>
      </c>
      <c r="J967" s="5" t="s">
        <v>698</v>
      </c>
      <c r="K967" s="5" t="s">
        <v>736</v>
      </c>
      <c r="L967" s="5"/>
      <c r="M967" s="5"/>
      <c r="N967" s="7"/>
      <c r="O967" s="5" t="s">
        <v>554</v>
      </c>
      <c r="P967" s="8">
        <v>22.65</v>
      </c>
      <c r="Q967" s="8">
        <f t="shared" si="23"/>
        <v>96347.12</v>
      </c>
    </row>
    <row r="968" spans="1:17" x14ac:dyDescent="0.25">
      <c r="A968" s="5"/>
      <c r="B968" s="5"/>
      <c r="C968" s="5"/>
      <c r="D968" s="5"/>
      <c r="E968" s="5"/>
      <c r="F968" s="5"/>
      <c r="G968" s="5"/>
      <c r="H968" s="5" t="s">
        <v>596</v>
      </c>
      <c r="I968" s="6">
        <v>44847</v>
      </c>
      <c r="J968" s="5" t="s">
        <v>698</v>
      </c>
      <c r="K968" s="5" t="s">
        <v>736</v>
      </c>
      <c r="L968" s="5"/>
      <c r="M968" s="5"/>
      <c r="N968" s="7"/>
      <c r="O968" s="5" t="s">
        <v>554</v>
      </c>
      <c r="P968" s="8">
        <v>0</v>
      </c>
      <c r="Q968" s="8">
        <f t="shared" si="23"/>
        <v>96347.12</v>
      </c>
    </row>
    <row r="969" spans="1:17" x14ac:dyDescent="0.25">
      <c r="A969" s="5"/>
      <c r="B969" s="5"/>
      <c r="C969" s="5"/>
      <c r="D969" s="5"/>
      <c r="E969" s="5"/>
      <c r="F969" s="5"/>
      <c r="G969" s="5"/>
      <c r="H969" s="5" t="s">
        <v>596</v>
      </c>
      <c r="I969" s="6">
        <v>44847</v>
      </c>
      <c r="J969" s="5" t="s">
        <v>699</v>
      </c>
      <c r="K969" s="5" t="s">
        <v>741</v>
      </c>
      <c r="L969" s="5"/>
      <c r="M969" s="5"/>
      <c r="N969" s="7"/>
      <c r="O969" s="5" t="s">
        <v>554</v>
      </c>
      <c r="P969" s="8">
        <v>1570.13</v>
      </c>
      <c r="Q969" s="8">
        <f t="shared" si="23"/>
        <v>97917.25</v>
      </c>
    </row>
    <row r="970" spans="1:17" x14ac:dyDescent="0.25">
      <c r="A970" s="5"/>
      <c r="B970" s="5"/>
      <c r="C970" s="5"/>
      <c r="D970" s="5"/>
      <c r="E970" s="5"/>
      <c r="F970" s="5"/>
      <c r="G970" s="5"/>
      <c r="H970" s="5" t="s">
        <v>596</v>
      </c>
      <c r="I970" s="6">
        <v>44847</v>
      </c>
      <c r="J970" s="5" t="s">
        <v>699</v>
      </c>
      <c r="K970" s="5" t="s">
        <v>741</v>
      </c>
      <c r="L970" s="5"/>
      <c r="M970" s="5"/>
      <c r="N970" s="7"/>
      <c r="O970" s="5" t="s">
        <v>554</v>
      </c>
      <c r="P970" s="8">
        <v>81.819999999999993</v>
      </c>
      <c r="Q970" s="8">
        <f t="shared" si="23"/>
        <v>97999.07</v>
      </c>
    </row>
    <row r="971" spans="1:17" x14ac:dyDescent="0.25">
      <c r="A971" s="5"/>
      <c r="B971" s="5"/>
      <c r="C971" s="5"/>
      <c r="D971" s="5"/>
      <c r="E971" s="5"/>
      <c r="F971" s="5"/>
      <c r="G971" s="5"/>
      <c r="H971" s="5" t="s">
        <v>596</v>
      </c>
      <c r="I971" s="6">
        <v>44847</v>
      </c>
      <c r="J971" s="5" t="s">
        <v>699</v>
      </c>
      <c r="K971" s="5" t="s">
        <v>741</v>
      </c>
      <c r="L971" s="5"/>
      <c r="M971" s="5"/>
      <c r="N971" s="7"/>
      <c r="O971" s="5" t="s">
        <v>554</v>
      </c>
      <c r="P971" s="8">
        <v>34.729999999999997</v>
      </c>
      <c r="Q971" s="8">
        <f t="shared" si="23"/>
        <v>98033.8</v>
      </c>
    </row>
    <row r="972" spans="1:17" x14ac:dyDescent="0.25">
      <c r="A972" s="5"/>
      <c r="B972" s="5"/>
      <c r="C972" s="5"/>
      <c r="D972" s="5"/>
      <c r="E972" s="5"/>
      <c r="F972" s="5"/>
      <c r="G972" s="5"/>
      <c r="H972" s="5" t="s">
        <v>596</v>
      </c>
      <c r="I972" s="6">
        <v>44847</v>
      </c>
      <c r="J972" s="5" t="s">
        <v>699</v>
      </c>
      <c r="K972" s="5" t="s">
        <v>741</v>
      </c>
      <c r="L972" s="5"/>
      <c r="M972" s="5"/>
      <c r="N972" s="7"/>
      <c r="O972" s="5" t="s">
        <v>554</v>
      </c>
      <c r="P972" s="8">
        <v>0</v>
      </c>
      <c r="Q972" s="8">
        <f t="shared" si="23"/>
        <v>98033.8</v>
      </c>
    </row>
    <row r="973" spans="1:17" x14ac:dyDescent="0.25">
      <c r="A973" s="5"/>
      <c r="B973" s="5"/>
      <c r="C973" s="5"/>
      <c r="D973" s="5"/>
      <c r="E973" s="5"/>
      <c r="F973" s="5"/>
      <c r="G973" s="5"/>
      <c r="H973" s="5" t="s">
        <v>596</v>
      </c>
      <c r="I973" s="6">
        <v>44847</v>
      </c>
      <c r="J973" s="5" t="s">
        <v>700</v>
      </c>
      <c r="K973" s="5" t="s">
        <v>742</v>
      </c>
      <c r="L973" s="5"/>
      <c r="M973" s="5"/>
      <c r="N973" s="7"/>
      <c r="O973" s="5" t="s">
        <v>554</v>
      </c>
      <c r="P973" s="8">
        <v>276.25</v>
      </c>
      <c r="Q973" s="8">
        <f t="shared" si="23"/>
        <v>98310.05</v>
      </c>
    </row>
    <row r="974" spans="1:17" x14ac:dyDescent="0.25">
      <c r="A974" s="5"/>
      <c r="B974" s="5"/>
      <c r="C974" s="5"/>
      <c r="D974" s="5"/>
      <c r="E974" s="5"/>
      <c r="F974" s="5"/>
      <c r="G974" s="5"/>
      <c r="H974" s="5" t="s">
        <v>596</v>
      </c>
      <c r="I974" s="6">
        <v>44847</v>
      </c>
      <c r="J974" s="5" t="s">
        <v>700</v>
      </c>
      <c r="K974" s="5" t="s">
        <v>742</v>
      </c>
      <c r="L974" s="5"/>
      <c r="M974" s="5"/>
      <c r="N974" s="7"/>
      <c r="O974" s="5" t="s">
        <v>554</v>
      </c>
      <c r="P974" s="8">
        <v>8.07</v>
      </c>
      <c r="Q974" s="8">
        <f t="shared" si="23"/>
        <v>98318.12</v>
      </c>
    </row>
    <row r="975" spans="1:17" x14ac:dyDescent="0.25">
      <c r="A975" s="5"/>
      <c r="B975" s="5"/>
      <c r="C975" s="5"/>
      <c r="D975" s="5"/>
      <c r="E975" s="5"/>
      <c r="F975" s="5"/>
      <c r="G975" s="5"/>
      <c r="H975" s="5" t="s">
        <v>596</v>
      </c>
      <c r="I975" s="6">
        <v>44847</v>
      </c>
      <c r="J975" s="5" t="s">
        <v>700</v>
      </c>
      <c r="K975" s="5" t="s">
        <v>742</v>
      </c>
      <c r="L975" s="5"/>
      <c r="M975" s="5"/>
      <c r="N975" s="7"/>
      <c r="O975" s="5" t="s">
        <v>554</v>
      </c>
      <c r="P975" s="8">
        <v>6.1</v>
      </c>
      <c r="Q975" s="8">
        <f t="shared" si="23"/>
        <v>98324.22</v>
      </c>
    </row>
    <row r="976" spans="1:17" x14ac:dyDescent="0.25">
      <c r="A976" s="5"/>
      <c r="B976" s="5"/>
      <c r="C976" s="5"/>
      <c r="D976" s="5"/>
      <c r="E976" s="5"/>
      <c r="F976" s="5"/>
      <c r="G976" s="5"/>
      <c r="H976" s="5" t="s">
        <v>596</v>
      </c>
      <c r="I976" s="6">
        <v>44847</v>
      </c>
      <c r="J976" s="5" t="s">
        <v>700</v>
      </c>
      <c r="K976" s="5" t="s">
        <v>742</v>
      </c>
      <c r="L976" s="5"/>
      <c r="M976" s="5"/>
      <c r="N976" s="7"/>
      <c r="O976" s="5" t="s">
        <v>554</v>
      </c>
      <c r="P976" s="8">
        <v>0</v>
      </c>
      <c r="Q976" s="8">
        <f t="shared" si="23"/>
        <v>98324.22</v>
      </c>
    </row>
    <row r="977" spans="1:17" x14ac:dyDescent="0.25">
      <c r="A977" s="5"/>
      <c r="B977" s="5"/>
      <c r="C977" s="5"/>
      <c r="D977" s="5"/>
      <c r="E977" s="5"/>
      <c r="F977" s="5"/>
      <c r="G977" s="5"/>
      <c r="H977" s="5" t="s">
        <v>596</v>
      </c>
      <c r="I977" s="6">
        <v>44860</v>
      </c>
      <c r="J977" s="5" t="s">
        <v>701</v>
      </c>
      <c r="K977" s="5" t="s">
        <v>441</v>
      </c>
      <c r="L977" s="5"/>
      <c r="M977" s="5"/>
      <c r="N977" s="7"/>
      <c r="O977" s="5" t="s">
        <v>554</v>
      </c>
      <c r="P977" s="8">
        <v>1600</v>
      </c>
      <c r="Q977" s="8">
        <f t="shared" si="23"/>
        <v>99924.22</v>
      </c>
    </row>
    <row r="978" spans="1:17" x14ac:dyDescent="0.25">
      <c r="A978" s="5"/>
      <c r="B978" s="5"/>
      <c r="C978" s="5"/>
      <c r="D978" s="5"/>
      <c r="E978" s="5"/>
      <c r="F978" s="5"/>
      <c r="G978" s="5"/>
      <c r="H978" s="5" t="s">
        <v>596</v>
      </c>
      <c r="I978" s="6">
        <v>44860</v>
      </c>
      <c r="J978" s="5" t="s">
        <v>701</v>
      </c>
      <c r="K978" s="5" t="s">
        <v>441</v>
      </c>
      <c r="L978" s="5"/>
      <c r="M978" s="5"/>
      <c r="N978" s="7"/>
      <c r="O978" s="5" t="s">
        <v>554</v>
      </c>
      <c r="P978" s="8">
        <v>83.53</v>
      </c>
      <c r="Q978" s="8">
        <f t="shared" si="23"/>
        <v>100007.75</v>
      </c>
    </row>
    <row r="979" spans="1:17" x14ac:dyDescent="0.25">
      <c r="A979" s="5"/>
      <c r="B979" s="5"/>
      <c r="C979" s="5"/>
      <c r="D979" s="5"/>
      <c r="E979" s="5"/>
      <c r="F979" s="5"/>
      <c r="G979" s="5"/>
      <c r="H979" s="5" t="s">
        <v>596</v>
      </c>
      <c r="I979" s="6">
        <v>44860</v>
      </c>
      <c r="J979" s="5" t="s">
        <v>701</v>
      </c>
      <c r="K979" s="5" t="s">
        <v>441</v>
      </c>
      <c r="L979" s="5"/>
      <c r="M979" s="5"/>
      <c r="N979" s="7"/>
      <c r="O979" s="5" t="s">
        <v>554</v>
      </c>
      <c r="P979" s="8">
        <v>35.39</v>
      </c>
      <c r="Q979" s="8">
        <f t="shared" si="23"/>
        <v>100043.14</v>
      </c>
    </row>
    <row r="980" spans="1:17" x14ac:dyDescent="0.25">
      <c r="A980" s="5"/>
      <c r="B980" s="5"/>
      <c r="C980" s="5"/>
      <c r="D980" s="5"/>
      <c r="E980" s="5"/>
      <c r="F980" s="5"/>
      <c r="G980" s="5"/>
      <c r="H980" s="5" t="s">
        <v>596</v>
      </c>
      <c r="I980" s="6">
        <v>44860</v>
      </c>
      <c r="J980" s="5" t="s">
        <v>701</v>
      </c>
      <c r="K980" s="5" t="s">
        <v>441</v>
      </c>
      <c r="L980" s="5"/>
      <c r="M980" s="5"/>
      <c r="N980" s="7"/>
      <c r="O980" s="5" t="s">
        <v>554</v>
      </c>
      <c r="P980" s="8">
        <v>64</v>
      </c>
      <c r="Q980" s="8">
        <f t="shared" si="23"/>
        <v>100107.14</v>
      </c>
    </row>
    <row r="981" spans="1:17" x14ac:dyDescent="0.25">
      <c r="A981" s="5"/>
      <c r="B981" s="5"/>
      <c r="C981" s="5"/>
      <c r="D981" s="5"/>
      <c r="E981" s="5"/>
      <c r="F981" s="5"/>
      <c r="G981" s="5"/>
      <c r="H981" s="5" t="s">
        <v>596</v>
      </c>
      <c r="I981" s="6">
        <v>44860</v>
      </c>
      <c r="J981" s="5" t="s">
        <v>702</v>
      </c>
      <c r="K981" s="5" t="s">
        <v>724</v>
      </c>
      <c r="L981" s="5"/>
      <c r="M981" s="5"/>
      <c r="N981" s="7"/>
      <c r="O981" s="5" t="s">
        <v>554</v>
      </c>
      <c r="P981" s="8">
        <v>2000</v>
      </c>
      <c r="Q981" s="8">
        <f t="shared" si="23"/>
        <v>102107.14</v>
      </c>
    </row>
    <row r="982" spans="1:17" x14ac:dyDescent="0.25">
      <c r="A982" s="5"/>
      <c r="B982" s="5"/>
      <c r="C982" s="5"/>
      <c r="D982" s="5"/>
      <c r="E982" s="5"/>
      <c r="F982" s="5"/>
      <c r="G982" s="5"/>
      <c r="H982" s="5" t="s">
        <v>596</v>
      </c>
      <c r="I982" s="6">
        <v>44860</v>
      </c>
      <c r="J982" s="5" t="s">
        <v>702</v>
      </c>
      <c r="K982" s="5" t="s">
        <v>724</v>
      </c>
      <c r="L982" s="5"/>
      <c r="M982" s="5"/>
      <c r="N982" s="7"/>
      <c r="O982" s="5" t="s">
        <v>554</v>
      </c>
      <c r="P982" s="8">
        <v>106.33</v>
      </c>
      <c r="Q982" s="8">
        <f t="shared" si="23"/>
        <v>102213.47</v>
      </c>
    </row>
    <row r="983" spans="1:17" x14ac:dyDescent="0.25">
      <c r="A983" s="5"/>
      <c r="B983" s="5"/>
      <c r="C983" s="5"/>
      <c r="D983" s="5"/>
      <c r="E983" s="5"/>
      <c r="F983" s="5"/>
      <c r="G983" s="5"/>
      <c r="H983" s="5" t="s">
        <v>596</v>
      </c>
      <c r="I983" s="6">
        <v>44860</v>
      </c>
      <c r="J983" s="5" t="s">
        <v>702</v>
      </c>
      <c r="K983" s="5" t="s">
        <v>724</v>
      </c>
      <c r="L983" s="5"/>
      <c r="M983" s="5"/>
      <c r="N983" s="7"/>
      <c r="O983" s="5" t="s">
        <v>554</v>
      </c>
      <c r="P983" s="8">
        <v>44.24</v>
      </c>
      <c r="Q983" s="8">
        <f t="shared" si="23"/>
        <v>102257.71</v>
      </c>
    </row>
    <row r="984" spans="1:17" x14ac:dyDescent="0.25">
      <c r="A984" s="5"/>
      <c r="B984" s="5"/>
      <c r="C984" s="5"/>
      <c r="D984" s="5"/>
      <c r="E984" s="5"/>
      <c r="F984" s="5"/>
      <c r="G984" s="5"/>
      <c r="H984" s="5" t="s">
        <v>596</v>
      </c>
      <c r="I984" s="6">
        <v>44860</v>
      </c>
      <c r="J984" s="5" t="s">
        <v>702</v>
      </c>
      <c r="K984" s="5" t="s">
        <v>724</v>
      </c>
      <c r="L984" s="5"/>
      <c r="M984" s="5"/>
      <c r="N984" s="7"/>
      <c r="O984" s="5" t="s">
        <v>554</v>
      </c>
      <c r="P984" s="8">
        <v>80</v>
      </c>
      <c r="Q984" s="8">
        <f t="shared" si="23"/>
        <v>102337.71</v>
      </c>
    </row>
    <row r="985" spans="1:17" x14ac:dyDescent="0.25">
      <c r="A985" s="5"/>
      <c r="B985" s="5"/>
      <c r="C985" s="5"/>
      <c r="D985" s="5"/>
      <c r="E985" s="5"/>
      <c r="F985" s="5"/>
      <c r="G985" s="5"/>
      <c r="H985" s="5" t="s">
        <v>596</v>
      </c>
      <c r="I985" s="6">
        <v>44860</v>
      </c>
      <c r="J985" s="5" t="s">
        <v>703</v>
      </c>
      <c r="K985" s="5" t="s">
        <v>739</v>
      </c>
      <c r="L985" s="5"/>
      <c r="M985" s="5"/>
      <c r="N985" s="7"/>
      <c r="O985" s="5" t="s">
        <v>554</v>
      </c>
      <c r="P985" s="8">
        <v>915.3</v>
      </c>
      <c r="Q985" s="8">
        <f t="shared" si="23"/>
        <v>103253.01</v>
      </c>
    </row>
    <row r="986" spans="1:17" x14ac:dyDescent="0.25">
      <c r="A986" s="5"/>
      <c r="B986" s="5"/>
      <c r="C986" s="5"/>
      <c r="D986" s="5"/>
      <c r="E986" s="5"/>
      <c r="F986" s="5"/>
      <c r="G986" s="5"/>
      <c r="H986" s="5" t="s">
        <v>596</v>
      </c>
      <c r="I986" s="6">
        <v>44860</v>
      </c>
      <c r="J986" s="5" t="s">
        <v>703</v>
      </c>
      <c r="K986" s="5" t="s">
        <v>739</v>
      </c>
      <c r="L986" s="5"/>
      <c r="M986" s="5"/>
      <c r="N986" s="7"/>
      <c r="O986" s="5" t="s">
        <v>554</v>
      </c>
      <c r="P986" s="8">
        <v>44.5</v>
      </c>
      <c r="Q986" s="8">
        <f t="shared" si="23"/>
        <v>103297.51</v>
      </c>
    </row>
    <row r="987" spans="1:17" x14ac:dyDescent="0.25">
      <c r="A987" s="5"/>
      <c r="B987" s="5"/>
      <c r="C987" s="5"/>
      <c r="D987" s="5"/>
      <c r="E987" s="5"/>
      <c r="F987" s="5"/>
      <c r="G987" s="5"/>
      <c r="H987" s="5" t="s">
        <v>596</v>
      </c>
      <c r="I987" s="6">
        <v>44860</v>
      </c>
      <c r="J987" s="5" t="s">
        <v>703</v>
      </c>
      <c r="K987" s="5" t="s">
        <v>739</v>
      </c>
      <c r="L987" s="5"/>
      <c r="M987" s="5"/>
      <c r="N987" s="7"/>
      <c r="O987" s="5" t="s">
        <v>554</v>
      </c>
      <c r="P987" s="8">
        <v>20.239999999999998</v>
      </c>
      <c r="Q987" s="8">
        <f t="shared" si="23"/>
        <v>103317.75</v>
      </c>
    </row>
    <row r="988" spans="1:17" x14ac:dyDescent="0.25">
      <c r="A988" s="5"/>
      <c r="B988" s="5"/>
      <c r="C988" s="5"/>
      <c r="D988" s="5"/>
      <c r="E988" s="5"/>
      <c r="F988" s="5"/>
      <c r="G988" s="5"/>
      <c r="H988" s="5" t="s">
        <v>596</v>
      </c>
      <c r="I988" s="6">
        <v>44860</v>
      </c>
      <c r="J988" s="5" t="s">
        <v>703</v>
      </c>
      <c r="K988" s="5" t="s">
        <v>739</v>
      </c>
      <c r="L988" s="5"/>
      <c r="M988" s="5"/>
      <c r="N988" s="7"/>
      <c r="O988" s="5" t="s">
        <v>554</v>
      </c>
      <c r="P988" s="8">
        <v>0</v>
      </c>
      <c r="Q988" s="8">
        <f t="shared" si="23"/>
        <v>103317.75</v>
      </c>
    </row>
    <row r="989" spans="1:17" x14ac:dyDescent="0.25">
      <c r="A989" s="5"/>
      <c r="B989" s="5"/>
      <c r="C989" s="5"/>
      <c r="D989" s="5"/>
      <c r="E989" s="5"/>
      <c r="F989" s="5"/>
      <c r="G989" s="5"/>
      <c r="H989" s="5" t="s">
        <v>596</v>
      </c>
      <c r="I989" s="6">
        <v>44860</v>
      </c>
      <c r="J989" s="5" t="s">
        <v>704</v>
      </c>
      <c r="K989" s="5" t="s">
        <v>740</v>
      </c>
      <c r="L989" s="5"/>
      <c r="M989" s="5"/>
      <c r="N989" s="7"/>
      <c r="O989" s="5" t="s">
        <v>554</v>
      </c>
      <c r="P989" s="8">
        <v>1500</v>
      </c>
      <c r="Q989" s="8">
        <f t="shared" si="23"/>
        <v>104817.75</v>
      </c>
    </row>
    <row r="990" spans="1:17" x14ac:dyDescent="0.25">
      <c r="A990" s="5"/>
      <c r="B990" s="5"/>
      <c r="C990" s="5"/>
      <c r="D990" s="5"/>
      <c r="E990" s="5"/>
      <c r="F990" s="5"/>
      <c r="G990" s="5"/>
      <c r="H990" s="5" t="s">
        <v>596</v>
      </c>
      <c r="I990" s="6">
        <v>44860</v>
      </c>
      <c r="J990" s="5" t="s">
        <v>704</v>
      </c>
      <c r="K990" s="5" t="s">
        <v>740</v>
      </c>
      <c r="L990" s="5"/>
      <c r="M990" s="5"/>
      <c r="N990" s="7"/>
      <c r="O990" s="5" t="s">
        <v>554</v>
      </c>
      <c r="P990" s="8">
        <v>77.83</v>
      </c>
      <c r="Q990" s="8">
        <f t="shared" si="23"/>
        <v>104895.58</v>
      </c>
    </row>
    <row r="991" spans="1:17" x14ac:dyDescent="0.25">
      <c r="A991" s="5"/>
      <c r="B991" s="5"/>
      <c r="C991" s="5"/>
      <c r="D991" s="5"/>
      <c r="E991" s="5"/>
      <c r="F991" s="5"/>
      <c r="G991" s="5"/>
      <c r="H991" s="5" t="s">
        <v>596</v>
      </c>
      <c r="I991" s="6">
        <v>44860</v>
      </c>
      <c r="J991" s="5" t="s">
        <v>704</v>
      </c>
      <c r="K991" s="5" t="s">
        <v>740</v>
      </c>
      <c r="L991" s="5"/>
      <c r="M991" s="5"/>
      <c r="N991" s="7"/>
      <c r="O991" s="5" t="s">
        <v>554</v>
      </c>
      <c r="P991" s="8">
        <v>33.18</v>
      </c>
      <c r="Q991" s="8">
        <f t="shared" si="23"/>
        <v>104928.76</v>
      </c>
    </row>
    <row r="992" spans="1:17" x14ac:dyDescent="0.25">
      <c r="A992" s="5"/>
      <c r="B992" s="5"/>
      <c r="C992" s="5"/>
      <c r="D992" s="5"/>
      <c r="E992" s="5"/>
      <c r="F992" s="5"/>
      <c r="G992" s="5"/>
      <c r="H992" s="5" t="s">
        <v>596</v>
      </c>
      <c r="I992" s="6">
        <v>44860</v>
      </c>
      <c r="J992" s="5" t="s">
        <v>704</v>
      </c>
      <c r="K992" s="5" t="s">
        <v>740</v>
      </c>
      <c r="L992" s="5"/>
      <c r="M992" s="5"/>
      <c r="N992" s="7"/>
      <c r="O992" s="5" t="s">
        <v>554</v>
      </c>
      <c r="P992" s="8">
        <v>0</v>
      </c>
      <c r="Q992" s="8">
        <f t="shared" si="23"/>
        <v>104928.76</v>
      </c>
    </row>
    <row r="993" spans="1:17" x14ac:dyDescent="0.25">
      <c r="A993" s="5"/>
      <c r="B993" s="5"/>
      <c r="C993" s="5"/>
      <c r="D993" s="5"/>
      <c r="E993" s="5"/>
      <c r="F993" s="5"/>
      <c r="G993" s="5"/>
      <c r="H993" s="5" t="s">
        <v>596</v>
      </c>
      <c r="I993" s="6">
        <v>44860</v>
      </c>
      <c r="J993" s="5" t="s">
        <v>705</v>
      </c>
      <c r="K993" s="5" t="s">
        <v>443</v>
      </c>
      <c r="L993" s="5"/>
      <c r="M993" s="5"/>
      <c r="N993" s="7"/>
      <c r="O993" s="5" t="s">
        <v>554</v>
      </c>
      <c r="P993" s="8">
        <v>1400</v>
      </c>
      <c r="Q993" s="8">
        <f t="shared" si="23"/>
        <v>106328.76</v>
      </c>
    </row>
    <row r="994" spans="1:17" x14ac:dyDescent="0.25">
      <c r="A994" s="5"/>
      <c r="B994" s="5"/>
      <c r="C994" s="5"/>
      <c r="D994" s="5"/>
      <c r="E994" s="5"/>
      <c r="F994" s="5"/>
      <c r="G994" s="5"/>
      <c r="H994" s="5" t="s">
        <v>596</v>
      </c>
      <c r="I994" s="6">
        <v>44860</v>
      </c>
      <c r="J994" s="5" t="s">
        <v>705</v>
      </c>
      <c r="K994" s="5" t="s">
        <v>443</v>
      </c>
      <c r="L994" s="5"/>
      <c r="M994" s="5"/>
      <c r="N994" s="7"/>
      <c r="O994" s="5" t="s">
        <v>554</v>
      </c>
      <c r="P994" s="8">
        <v>72.13</v>
      </c>
      <c r="Q994" s="8">
        <f t="shared" si="23"/>
        <v>106400.89</v>
      </c>
    </row>
    <row r="995" spans="1:17" x14ac:dyDescent="0.25">
      <c r="A995" s="5"/>
      <c r="B995" s="5"/>
      <c r="C995" s="5"/>
      <c r="D995" s="5"/>
      <c r="E995" s="5"/>
      <c r="F995" s="5"/>
      <c r="G995" s="5"/>
      <c r="H995" s="5" t="s">
        <v>596</v>
      </c>
      <c r="I995" s="6">
        <v>44860</v>
      </c>
      <c r="J995" s="5" t="s">
        <v>705</v>
      </c>
      <c r="K995" s="5" t="s">
        <v>443</v>
      </c>
      <c r="L995" s="5"/>
      <c r="M995" s="5"/>
      <c r="N995" s="7"/>
      <c r="O995" s="5" t="s">
        <v>554</v>
      </c>
      <c r="P995" s="8">
        <v>30.97</v>
      </c>
      <c r="Q995" s="8">
        <f t="shared" si="23"/>
        <v>106431.86</v>
      </c>
    </row>
    <row r="996" spans="1:17" x14ac:dyDescent="0.25">
      <c r="A996" s="5"/>
      <c r="B996" s="5"/>
      <c r="C996" s="5"/>
      <c r="D996" s="5"/>
      <c r="E996" s="5"/>
      <c r="F996" s="5"/>
      <c r="G996" s="5"/>
      <c r="H996" s="5" t="s">
        <v>596</v>
      </c>
      <c r="I996" s="6">
        <v>44860</v>
      </c>
      <c r="J996" s="5" t="s">
        <v>705</v>
      </c>
      <c r="K996" s="5" t="s">
        <v>443</v>
      </c>
      <c r="L996" s="5"/>
      <c r="M996" s="5"/>
      <c r="N996" s="7"/>
      <c r="O996" s="5" t="s">
        <v>554</v>
      </c>
      <c r="P996" s="8">
        <v>0</v>
      </c>
      <c r="Q996" s="8">
        <f t="shared" si="23"/>
        <v>106431.86</v>
      </c>
    </row>
    <row r="997" spans="1:17" x14ac:dyDescent="0.25">
      <c r="A997" s="5"/>
      <c r="B997" s="5"/>
      <c r="C997" s="5"/>
      <c r="D997" s="5"/>
      <c r="E997" s="5"/>
      <c r="F997" s="5"/>
      <c r="G997" s="5"/>
      <c r="H997" s="5" t="s">
        <v>596</v>
      </c>
      <c r="I997" s="6">
        <v>44860</v>
      </c>
      <c r="J997" s="5" t="s">
        <v>706</v>
      </c>
      <c r="K997" s="5" t="s">
        <v>736</v>
      </c>
      <c r="L997" s="5"/>
      <c r="M997" s="5"/>
      <c r="N997" s="7"/>
      <c r="O997" s="5" t="s">
        <v>554</v>
      </c>
      <c r="P997" s="8">
        <v>845.6</v>
      </c>
      <c r="Q997" s="8">
        <f t="shared" si="23"/>
        <v>107277.46</v>
      </c>
    </row>
    <row r="998" spans="1:17" x14ac:dyDescent="0.25">
      <c r="A998" s="5"/>
      <c r="B998" s="5"/>
      <c r="C998" s="5"/>
      <c r="D998" s="5"/>
      <c r="E998" s="5"/>
      <c r="F998" s="5"/>
      <c r="G998" s="5"/>
      <c r="H998" s="5" t="s">
        <v>596</v>
      </c>
      <c r="I998" s="6">
        <v>44860</v>
      </c>
      <c r="J998" s="5" t="s">
        <v>706</v>
      </c>
      <c r="K998" s="5" t="s">
        <v>736</v>
      </c>
      <c r="L998" s="5"/>
      <c r="M998" s="5"/>
      <c r="N998" s="7"/>
      <c r="O998" s="5" t="s">
        <v>554</v>
      </c>
      <c r="P998" s="8">
        <v>40.53</v>
      </c>
      <c r="Q998" s="8">
        <f t="shared" si="23"/>
        <v>107317.99</v>
      </c>
    </row>
    <row r="999" spans="1:17" x14ac:dyDescent="0.25">
      <c r="A999" s="5"/>
      <c r="B999" s="5"/>
      <c r="C999" s="5"/>
      <c r="D999" s="5"/>
      <c r="E999" s="5"/>
      <c r="F999" s="5"/>
      <c r="G999" s="5"/>
      <c r="H999" s="5" t="s">
        <v>596</v>
      </c>
      <c r="I999" s="6">
        <v>44860</v>
      </c>
      <c r="J999" s="5" t="s">
        <v>706</v>
      </c>
      <c r="K999" s="5" t="s">
        <v>736</v>
      </c>
      <c r="L999" s="5"/>
      <c r="M999" s="5"/>
      <c r="N999" s="7"/>
      <c r="O999" s="5" t="s">
        <v>554</v>
      </c>
      <c r="P999" s="8">
        <v>18.7</v>
      </c>
      <c r="Q999" s="8">
        <f t="shared" si="23"/>
        <v>107336.69</v>
      </c>
    </row>
    <row r="1000" spans="1:17" x14ac:dyDescent="0.25">
      <c r="A1000" s="5"/>
      <c r="B1000" s="5"/>
      <c r="C1000" s="5"/>
      <c r="D1000" s="5"/>
      <c r="E1000" s="5"/>
      <c r="F1000" s="5"/>
      <c r="G1000" s="5"/>
      <c r="H1000" s="5" t="s">
        <v>596</v>
      </c>
      <c r="I1000" s="6">
        <v>44860</v>
      </c>
      <c r="J1000" s="5" t="s">
        <v>706</v>
      </c>
      <c r="K1000" s="5" t="s">
        <v>736</v>
      </c>
      <c r="L1000" s="5"/>
      <c r="M1000" s="5"/>
      <c r="N1000" s="7"/>
      <c r="O1000" s="5" t="s">
        <v>554</v>
      </c>
      <c r="P1000" s="8">
        <v>0</v>
      </c>
      <c r="Q1000" s="8">
        <f t="shared" si="23"/>
        <v>107336.69</v>
      </c>
    </row>
    <row r="1001" spans="1:17" x14ac:dyDescent="0.25">
      <c r="A1001" s="5"/>
      <c r="B1001" s="5"/>
      <c r="C1001" s="5"/>
      <c r="D1001" s="5"/>
      <c r="E1001" s="5"/>
      <c r="F1001" s="5"/>
      <c r="G1001" s="5"/>
      <c r="H1001" s="5" t="s">
        <v>596</v>
      </c>
      <c r="I1001" s="6">
        <v>44860</v>
      </c>
      <c r="J1001" s="5" t="s">
        <v>707</v>
      </c>
      <c r="K1001" s="5" t="s">
        <v>741</v>
      </c>
      <c r="L1001" s="5"/>
      <c r="M1001" s="5"/>
      <c r="N1001" s="7"/>
      <c r="O1001" s="5" t="s">
        <v>554</v>
      </c>
      <c r="P1001" s="8">
        <v>1041.33</v>
      </c>
      <c r="Q1001" s="8">
        <f t="shared" si="23"/>
        <v>108378.02</v>
      </c>
    </row>
    <row r="1002" spans="1:17" x14ac:dyDescent="0.25">
      <c r="A1002" s="5"/>
      <c r="B1002" s="5"/>
      <c r="C1002" s="5"/>
      <c r="D1002" s="5"/>
      <c r="E1002" s="5"/>
      <c r="F1002" s="5"/>
      <c r="G1002" s="5"/>
      <c r="H1002" s="5" t="s">
        <v>596</v>
      </c>
      <c r="I1002" s="6">
        <v>44860</v>
      </c>
      <c r="J1002" s="5" t="s">
        <v>707</v>
      </c>
      <c r="K1002" s="5" t="s">
        <v>741</v>
      </c>
      <c r="L1002" s="5"/>
      <c r="M1002" s="5"/>
      <c r="N1002" s="7"/>
      <c r="O1002" s="5" t="s">
        <v>554</v>
      </c>
      <c r="P1002" s="8">
        <v>51.68</v>
      </c>
      <c r="Q1002" s="8">
        <f t="shared" si="23"/>
        <v>108429.7</v>
      </c>
    </row>
    <row r="1003" spans="1:17" x14ac:dyDescent="0.25">
      <c r="A1003" s="5"/>
      <c r="B1003" s="5"/>
      <c r="C1003" s="5"/>
      <c r="D1003" s="5"/>
      <c r="E1003" s="5"/>
      <c r="F1003" s="5"/>
      <c r="G1003" s="5"/>
      <c r="H1003" s="5" t="s">
        <v>596</v>
      </c>
      <c r="I1003" s="6">
        <v>44860</v>
      </c>
      <c r="J1003" s="5" t="s">
        <v>707</v>
      </c>
      <c r="K1003" s="5" t="s">
        <v>741</v>
      </c>
      <c r="L1003" s="5"/>
      <c r="M1003" s="5"/>
      <c r="N1003" s="7"/>
      <c r="O1003" s="5" t="s">
        <v>554</v>
      </c>
      <c r="P1003" s="8">
        <v>23.03</v>
      </c>
      <c r="Q1003" s="8">
        <f t="shared" si="23"/>
        <v>108452.73</v>
      </c>
    </row>
    <row r="1004" spans="1:17" x14ac:dyDescent="0.25">
      <c r="A1004" s="5"/>
      <c r="B1004" s="5"/>
      <c r="C1004" s="5"/>
      <c r="D1004" s="5"/>
      <c r="E1004" s="5"/>
      <c r="F1004" s="5"/>
      <c r="G1004" s="5"/>
      <c r="H1004" s="5" t="s">
        <v>596</v>
      </c>
      <c r="I1004" s="6">
        <v>44860</v>
      </c>
      <c r="J1004" s="5" t="s">
        <v>707</v>
      </c>
      <c r="K1004" s="5" t="s">
        <v>741</v>
      </c>
      <c r="L1004" s="5"/>
      <c r="M1004" s="5"/>
      <c r="N1004" s="7"/>
      <c r="O1004" s="5" t="s">
        <v>554</v>
      </c>
      <c r="P1004" s="8">
        <v>0</v>
      </c>
      <c r="Q1004" s="8">
        <f t="shared" si="23"/>
        <v>108452.73</v>
      </c>
    </row>
    <row r="1005" spans="1:17" x14ac:dyDescent="0.25">
      <c r="A1005" s="5"/>
      <c r="B1005" s="5"/>
      <c r="C1005" s="5"/>
      <c r="D1005" s="5"/>
      <c r="E1005" s="5"/>
      <c r="F1005" s="5"/>
      <c r="G1005" s="5"/>
      <c r="H1005" s="5" t="s">
        <v>596</v>
      </c>
      <c r="I1005" s="6">
        <v>44860</v>
      </c>
      <c r="J1005" s="5" t="s">
        <v>783</v>
      </c>
      <c r="K1005" s="5" t="s">
        <v>742</v>
      </c>
      <c r="L1005" s="5"/>
      <c r="M1005" s="5"/>
      <c r="N1005" s="7"/>
      <c r="O1005" s="5" t="s">
        <v>554</v>
      </c>
      <c r="P1005" s="8">
        <v>744.25</v>
      </c>
      <c r="Q1005" s="8">
        <f t="shared" si="23"/>
        <v>109196.98</v>
      </c>
    </row>
    <row r="1006" spans="1:17" x14ac:dyDescent="0.25">
      <c r="A1006" s="5"/>
      <c r="B1006" s="5"/>
      <c r="C1006" s="5"/>
      <c r="D1006" s="5"/>
      <c r="E1006" s="5"/>
      <c r="F1006" s="5"/>
      <c r="G1006" s="5"/>
      <c r="H1006" s="5" t="s">
        <v>596</v>
      </c>
      <c r="I1006" s="6">
        <v>44860</v>
      </c>
      <c r="J1006" s="5" t="s">
        <v>783</v>
      </c>
      <c r="K1006" s="5" t="s">
        <v>742</v>
      </c>
      <c r="L1006" s="5"/>
      <c r="M1006" s="5"/>
      <c r="N1006" s="7"/>
      <c r="O1006" s="5" t="s">
        <v>554</v>
      </c>
      <c r="P1006" s="8">
        <v>34.75</v>
      </c>
      <c r="Q1006" s="8">
        <f t="shared" si="23"/>
        <v>109231.73</v>
      </c>
    </row>
    <row r="1007" spans="1:17" x14ac:dyDescent="0.25">
      <c r="A1007" s="5"/>
      <c r="B1007" s="5"/>
      <c r="C1007" s="5"/>
      <c r="D1007" s="5"/>
      <c r="E1007" s="5"/>
      <c r="F1007" s="5"/>
      <c r="G1007" s="5"/>
      <c r="H1007" s="5" t="s">
        <v>596</v>
      </c>
      <c r="I1007" s="6">
        <v>44860</v>
      </c>
      <c r="J1007" s="5" t="s">
        <v>783</v>
      </c>
      <c r="K1007" s="5" t="s">
        <v>742</v>
      </c>
      <c r="L1007" s="5"/>
      <c r="M1007" s="5"/>
      <c r="N1007" s="7"/>
      <c r="O1007" s="5" t="s">
        <v>554</v>
      </c>
      <c r="P1007" s="8">
        <v>16.46</v>
      </c>
      <c r="Q1007" s="8">
        <f t="shared" si="23"/>
        <v>109248.19</v>
      </c>
    </row>
    <row r="1008" spans="1:17" x14ac:dyDescent="0.25">
      <c r="A1008" s="5"/>
      <c r="B1008" s="5"/>
      <c r="C1008" s="5"/>
      <c r="D1008" s="5"/>
      <c r="E1008" s="5"/>
      <c r="F1008" s="5"/>
      <c r="G1008" s="5"/>
      <c r="H1008" s="5" t="s">
        <v>596</v>
      </c>
      <c r="I1008" s="6">
        <v>44860</v>
      </c>
      <c r="J1008" s="5" t="s">
        <v>783</v>
      </c>
      <c r="K1008" s="5" t="s">
        <v>742</v>
      </c>
      <c r="L1008" s="5"/>
      <c r="M1008" s="5"/>
      <c r="N1008" s="7"/>
      <c r="O1008" s="5" t="s">
        <v>554</v>
      </c>
      <c r="P1008" s="8">
        <v>0</v>
      </c>
      <c r="Q1008" s="8">
        <f t="shared" si="23"/>
        <v>109248.19</v>
      </c>
    </row>
    <row r="1009" spans="1:17" x14ac:dyDescent="0.25">
      <c r="A1009" s="5"/>
      <c r="B1009" s="5"/>
      <c r="C1009" s="5"/>
      <c r="D1009" s="5"/>
      <c r="E1009" s="5"/>
      <c r="F1009" s="5"/>
      <c r="G1009" s="5"/>
      <c r="H1009" s="5" t="s">
        <v>596</v>
      </c>
      <c r="I1009" s="6">
        <v>44862</v>
      </c>
      <c r="J1009" s="5" t="s">
        <v>784</v>
      </c>
      <c r="K1009" s="5" t="s">
        <v>741</v>
      </c>
      <c r="L1009" s="5"/>
      <c r="M1009" s="5"/>
      <c r="N1009" s="7"/>
      <c r="O1009" s="5" t="s">
        <v>554</v>
      </c>
      <c r="P1009" s="8">
        <v>1197.53</v>
      </c>
      <c r="Q1009" s="8">
        <f t="shared" si="23"/>
        <v>110445.72</v>
      </c>
    </row>
    <row r="1010" spans="1:17" x14ac:dyDescent="0.25">
      <c r="A1010" s="5"/>
      <c r="B1010" s="5"/>
      <c r="C1010" s="5"/>
      <c r="D1010" s="5"/>
      <c r="E1010" s="5"/>
      <c r="F1010" s="5"/>
      <c r="G1010" s="5"/>
      <c r="H1010" s="5" t="s">
        <v>596</v>
      </c>
      <c r="I1010" s="6">
        <v>44862</v>
      </c>
      <c r="J1010" s="5" t="s">
        <v>784</v>
      </c>
      <c r="K1010" s="5" t="s">
        <v>741</v>
      </c>
      <c r="L1010" s="5"/>
      <c r="M1010" s="5"/>
      <c r="N1010" s="7"/>
      <c r="O1010" s="5" t="s">
        <v>554</v>
      </c>
      <c r="P1010" s="8">
        <v>60.59</v>
      </c>
      <c r="Q1010" s="8">
        <f t="shared" si="23"/>
        <v>110506.31</v>
      </c>
    </row>
    <row r="1011" spans="1:17" x14ac:dyDescent="0.25">
      <c r="A1011" s="5"/>
      <c r="B1011" s="5"/>
      <c r="C1011" s="5"/>
      <c r="D1011" s="5"/>
      <c r="E1011" s="5"/>
      <c r="F1011" s="5"/>
      <c r="G1011" s="5"/>
      <c r="H1011" s="5" t="s">
        <v>596</v>
      </c>
      <c r="I1011" s="6">
        <v>44862</v>
      </c>
      <c r="J1011" s="5" t="s">
        <v>784</v>
      </c>
      <c r="K1011" s="5" t="s">
        <v>741</v>
      </c>
      <c r="L1011" s="5"/>
      <c r="M1011" s="5"/>
      <c r="N1011" s="7"/>
      <c r="O1011" s="5" t="s">
        <v>554</v>
      </c>
      <c r="P1011" s="8">
        <v>26.49</v>
      </c>
      <c r="Q1011" s="8">
        <f t="shared" si="23"/>
        <v>110532.8</v>
      </c>
    </row>
    <row r="1012" spans="1:17" x14ac:dyDescent="0.25">
      <c r="A1012" s="5"/>
      <c r="B1012" s="5"/>
      <c r="C1012" s="5"/>
      <c r="D1012" s="5"/>
      <c r="E1012" s="5"/>
      <c r="F1012" s="5"/>
      <c r="G1012" s="5"/>
      <c r="H1012" s="5" t="s">
        <v>596</v>
      </c>
      <c r="I1012" s="6">
        <v>44862</v>
      </c>
      <c r="J1012" s="5" t="s">
        <v>784</v>
      </c>
      <c r="K1012" s="5" t="s">
        <v>741</v>
      </c>
      <c r="L1012" s="5"/>
      <c r="M1012" s="5"/>
      <c r="N1012" s="7"/>
      <c r="O1012" s="5" t="s">
        <v>554</v>
      </c>
      <c r="P1012" s="8">
        <v>0</v>
      </c>
      <c r="Q1012" s="8">
        <f t="shared" si="23"/>
        <v>110532.8</v>
      </c>
    </row>
    <row r="1013" spans="1:17" x14ac:dyDescent="0.25">
      <c r="A1013" s="5"/>
      <c r="B1013" s="5"/>
      <c r="C1013" s="5"/>
      <c r="D1013" s="5"/>
      <c r="E1013" s="5"/>
      <c r="F1013" s="5"/>
      <c r="G1013" s="5"/>
      <c r="H1013" s="5" t="s">
        <v>596</v>
      </c>
      <c r="I1013" s="6">
        <v>44874</v>
      </c>
      <c r="J1013" s="5" t="s">
        <v>785</v>
      </c>
      <c r="K1013" s="5" t="s">
        <v>441</v>
      </c>
      <c r="L1013" s="5"/>
      <c r="M1013" s="5"/>
      <c r="N1013" s="7"/>
      <c r="O1013" s="5" t="s">
        <v>554</v>
      </c>
      <c r="P1013" s="8">
        <v>1600</v>
      </c>
      <c r="Q1013" s="8">
        <f t="shared" si="23"/>
        <v>112132.8</v>
      </c>
    </row>
    <row r="1014" spans="1:17" x14ac:dyDescent="0.25">
      <c r="A1014" s="5"/>
      <c r="B1014" s="5"/>
      <c r="C1014" s="5"/>
      <c r="D1014" s="5"/>
      <c r="E1014" s="5"/>
      <c r="F1014" s="5"/>
      <c r="G1014" s="5"/>
      <c r="H1014" s="5" t="s">
        <v>596</v>
      </c>
      <c r="I1014" s="6">
        <v>44874</v>
      </c>
      <c r="J1014" s="5" t="s">
        <v>785</v>
      </c>
      <c r="K1014" s="5" t="s">
        <v>441</v>
      </c>
      <c r="L1014" s="5"/>
      <c r="M1014" s="5"/>
      <c r="N1014" s="7"/>
      <c r="O1014" s="5" t="s">
        <v>554</v>
      </c>
      <c r="P1014" s="8">
        <v>83.53</v>
      </c>
      <c r="Q1014" s="8">
        <f t="shared" si="23"/>
        <v>112216.33</v>
      </c>
    </row>
    <row r="1015" spans="1:17" x14ac:dyDescent="0.25">
      <c r="A1015" s="5"/>
      <c r="B1015" s="5"/>
      <c r="C1015" s="5"/>
      <c r="D1015" s="5"/>
      <c r="E1015" s="5"/>
      <c r="F1015" s="5"/>
      <c r="G1015" s="5"/>
      <c r="H1015" s="5" t="s">
        <v>596</v>
      </c>
      <c r="I1015" s="6">
        <v>44874</v>
      </c>
      <c r="J1015" s="5" t="s">
        <v>785</v>
      </c>
      <c r="K1015" s="5" t="s">
        <v>441</v>
      </c>
      <c r="L1015" s="5"/>
      <c r="M1015" s="5"/>
      <c r="N1015" s="7"/>
      <c r="O1015" s="5" t="s">
        <v>554</v>
      </c>
      <c r="P1015" s="8">
        <v>35.39</v>
      </c>
      <c r="Q1015" s="8">
        <f t="shared" si="23"/>
        <v>112251.72</v>
      </c>
    </row>
    <row r="1016" spans="1:17" x14ac:dyDescent="0.25">
      <c r="A1016" s="5"/>
      <c r="B1016" s="5"/>
      <c r="C1016" s="5"/>
      <c r="D1016" s="5"/>
      <c r="E1016" s="5"/>
      <c r="F1016" s="5"/>
      <c r="G1016" s="5"/>
      <c r="H1016" s="5" t="s">
        <v>596</v>
      </c>
      <c r="I1016" s="6">
        <v>44874</v>
      </c>
      <c r="J1016" s="5" t="s">
        <v>785</v>
      </c>
      <c r="K1016" s="5" t="s">
        <v>441</v>
      </c>
      <c r="L1016" s="5"/>
      <c r="M1016" s="5"/>
      <c r="N1016" s="7"/>
      <c r="O1016" s="5" t="s">
        <v>554</v>
      </c>
      <c r="P1016" s="8">
        <v>64</v>
      </c>
      <c r="Q1016" s="8">
        <f t="shared" si="23"/>
        <v>112315.72</v>
      </c>
    </row>
    <row r="1017" spans="1:17" x14ac:dyDescent="0.25">
      <c r="A1017" s="5"/>
      <c r="B1017" s="5"/>
      <c r="C1017" s="5"/>
      <c r="D1017" s="5"/>
      <c r="E1017" s="5"/>
      <c r="F1017" s="5"/>
      <c r="G1017" s="5"/>
      <c r="H1017" s="5" t="s">
        <v>596</v>
      </c>
      <c r="I1017" s="6">
        <v>44874</v>
      </c>
      <c r="J1017" s="5" t="s">
        <v>786</v>
      </c>
      <c r="K1017" s="5" t="s">
        <v>724</v>
      </c>
      <c r="L1017" s="5"/>
      <c r="M1017" s="5"/>
      <c r="N1017" s="7"/>
      <c r="O1017" s="5" t="s">
        <v>554</v>
      </c>
      <c r="P1017" s="8">
        <v>2000</v>
      </c>
      <c r="Q1017" s="8">
        <f t="shared" ref="Q1017:Q1080" si="24">ROUND(Q1016+P1017,5)</f>
        <v>114315.72</v>
      </c>
    </row>
    <row r="1018" spans="1:17" x14ac:dyDescent="0.25">
      <c r="A1018" s="5"/>
      <c r="B1018" s="5"/>
      <c r="C1018" s="5"/>
      <c r="D1018" s="5"/>
      <c r="E1018" s="5"/>
      <c r="F1018" s="5"/>
      <c r="G1018" s="5"/>
      <c r="H1018" s="5" t="s">
        <v>596</v>
      </c>
      <c r="I1018" s="6">
        <v>44874</v>
      </c>
      <c r="J1018" s="5" t="s">
        <v>786</v>
      </c>
      <c r="K1018" s="5" t="s">
        <v>724</v>
      </c>
      <c r="L1018" s="5"/>
      <c r="M1018" s="5"/>
      <c r="N1018" s="7"/>
      <c r="O1018" s="5" t="s">
        <v>554</v>
      </c>
      <c r="P1018" s="8">
        <v>106.33</v>
      </c>
      <c r="Q1018" s="8">
        <f t="shared" si="24"/>
        <v>114422.05</v>
      </c>
    </row>
    <row r="1019" spans="1:17" x14ac:dyDescent="0.25">
      <c r="A1019" s="5"/>
      <c r="B1019" s="5"/>
      <c r="C1019" s="5"/>
      <c r="D1019" s="5"/>
      <c r="E1019" s="5"/>
      <c r="F1019" s="5"/>
      <c r="G1019" s="5"/>
      <c r="H1019" s="5" t="s">
        <v>596</v>
      </c>
      <c r="I1019" s="6">
        <v>44874</v>
      </c>
      <c r="J1019" s="5" t="s">
        <v>786</v>
      </c>
      <c r="K1019" s="5" t="s">
        <v>724</v>
      </c>
      <c r="L1019" s="5"/>
      <c r="M1019" s="5"/>
      <c r="N1019" s="7"/>
      <c r="O1019" s="5" t="s">
        <v>554</v>
      </c>
      <c r="P1019" s="8">
        <v>44.24</v>
      </c>
      <c r="Q1019" s="8">
        <f t="shared" si="24"/>
        <v>114466.29</v>
      </c>
    </row>
    <row r="1020" spans="1:17" x14ac:dyDescent="0.25">
      <c r="A1020" s="5"/>
      <c r="B1020" s="5"/>
      <c r="C1020" s="5"/>
      <c r="D1020" s="5"/>
      <c r="E1020" s="5"/>
      <c r="F1020" s="5"/>
      <c r="G1020" s="5"/>
      <c r="H1020" s="5" t="s">
        <v>596</v>
      </c>
      <c r="I1020" s="6">
        <v>44874</v>
      </c>
      <c r="J1020" s="5" t="s">
        <v>786</v>
      </c>
      <c r="K1020" s="5" t="s">
        <v>724</v>
      </c>
      <c r="L1020" s="5"/>
      <c r="M1020" s="5"/>
      <c r="N1020" s="7"/>
      <c r="O1020" s="5" t="s">
        <v>554</v>
      </c>
      <c r="P1020" s="8">
        <v>80</v>
      </c>
      <c r="Q1020" s="8">
        <f t="shared" si="24"/>
        <v>114546.29</v>
      </c>
    </row>
    <row r="1021" spans="1:17" x14ac:dyDescent="0.25">
      <c r="A1021" s="5"/>
      <c r="B1021" s="5"/>
      <c r="C1021" s="5"/>
      <c r="D1021" s="5"/>
      <c r="E1021" s="5"/>
      <c r="F1021" s="5"/>
      <c r="G1021" s="5"/>
      <c r="H1021" s="5" t="s">
        <v>596</v>
      </c>
      <c r="I1021" s="6">
        <v>44874</v>
      </c>
      <c r="J1021" s="5" t="s">
        <v>787</v>
      </c>
      <c r="K1021" s="5" t="s">
        <v>740</v>
      </c>
      <c r="L1021" s="5"/>
      <c r="M1021" s="5"/>
      <c r="N1021" s="7"/>
      <c r="O1021" s="5" t="s">
        <v>554</v>
      </c>
      <c r="P1021" s="8">
        <v>1500</v>
      </c>
      <c r="Q1021" s="8">
        <f t="shared" si="24"/>
        <v>116046.29</v>
      </c>
    </row>
    <row r="1022" spans="1:17" x14ac:dyDescent="0.25">
      <c r="A1022" s="5"/>
      <c r="B1022" s="5"/>
      <c r="C1022" s="5"/>
      <c r="D1022" s="5"/>
      <c r="E1022" s="5"/>
      <c r="F1022" s="5"/>
      <c r="G1022" s="5"/>
      <c r="H1022" s="5" t="s">
        <v>596</v>
      </c>
      <c r="I1022" s="6">
        <v>44874</v>
      </c>
      <c r="J1022" s="5" t="s">
        <v>787</v>
      </c>
      <c r="K1022" s="5" t="s">
        <v>740</v>
      </c>
      <c r="L1022" s="5"/>
      <c r="M1022" s="5"/>
      <c r="N1022" s="7"/>
      <c r="O1022" s="5" t="s">
        <v>554</v>
      </c>
      <c r="P1022" s="8">
        <v>77.83</v>
      </c>
      <c r="Q1022" s="8">
        <f t="shared" si="24"/>
        <v>116124.12</v>
      </c>
    </row>
    <row r="1023" spans="1:17" x14ac:dyDescent="0.25">
      <c r="A1023" s="5"/>
      <c r="B1023" s="5"/>
      <c r="C1023" s="5"/>
      <c r="D1023" s="5"/>
      <c r="E1023" s="5"/>
      <c r="F1023" s="5"/>
      <c r="G1023" s="5"/>
      <c r="H1023" s="5" t="s">
        <v>596</v>
      </c>
      <c r="I1023" s="6">
        <v>44874</v>
      </c>
      <c r="J1023" s="5" t="s">
        <v>787</v>
      </c>
      <c r="K1023" s="5" t="s">
        <v>740</v>
      </c>
      <c r="L1023" s="5"/>
      <c r="M1023" s="5"/>
      <c r="N1023" s="7"/>
      <c r="O1023" s="5" t="s">
        <v>554</v>
      </c>
      <c r="P1023" s="8">
        <v>33.18</v>
      </c>
      <c r="Q1023" s="8">
        <f t="shared" si="24"/>
        <v>116157.3</v>
      </c>
    </row>
    <row r="1024" spans="1:17" x14ac:dyDescent="0.25">
      <c r="A1024" s="5"/>
      <c r="B1024" s="5"/>
      <c r="C1024" s="5"/>
      <c r="D1024" s="5"/>
      <c r="E1024" s="5"/>
      <c r="F1024" s="5"/>
      <c r="G1024" s="5"/>
      <c r="H1024" s="5" t="s">
        <v>596</v>
      </c>
      <c r="I1024" s="6">
        <v>44874</v>
      </c>
      <c r="J1024" s="5" t="s">
        <v>787</v>
      </c>
      <c r="K1024" s="5" t="s">
        <v>740</v>
      </c>
      <c r="L1024" s="5"/>
      <c r="M1024" s="5"/>
      <c r="N1024" s="7"/>
      <c r="O1024" s="5" t="s">
        <v>554</v>
      </c>
      <c r="P1024" s="8">
        <v>0</v>
      </c>
      <c r="Q1024" s="8">
        <f t="shared" si="24"/>
        <v>116157.3</v>
      </c>
    </row>
    <row r="1025" spans="1:17" x14ac:dyDescent="0.25">
      <c r="A1025" s="5"/>
      <c r="B1025" s="5"/>
      <c r="C1025" s="5"/>
      <c r="D1025" s="5"/>
      <c r="E1025" s="5"/>
      <c r="F1025" s="5"/>
      <c r="G1025" s="5"/>
      <c r="H1025" s="5" t="s">
        <v>596</v>
      </c>
      <c r="I1025" s="6">
        <v>44874</v>
      </c>
      <c r="J1025" s="5" t="s">
        <v>788</v>
      </c>
      <c r="K1025" s="5" t="s">
        <v>443</v>
      </c>
      <c r="L1025" s="5"/>
      <c r="M1025" s="5"/>
      <c r="N1025" s="7"/>
      <c r="O1025" s="5" t="s">
        <v>554</v>
      </c>
      <c r="P1025" s="8">
        <v>1400</v>
      </c>
      <c r="Q1025" s="8">
        <f t="shared" si="24"/>
        <v>117557.3</v>
      </c>
    </row>
    <row r="1026" spans="1:17" x14ac:dyDescent="0.25">
      <c r="A1026" s="5"/>
      <c r="B1026" s="5"/>
      <c r="C1026" s="5"/>
      <c r="D1026" s="5"/>
      <c r="E1026" s="5"/>
      <c r="F1026" s="5"/>
      <c r="G1026" s="5"/>
      <c r="H1026" s="5" t="s">
        <v>596</v>
      </c>
      <c r="I1026" s="6">
        <v>44874</v>
      </c>
      <c r="J1026" s="5" t="s">
        <v>788</v>
      </c>
      <c r="K1026" s="5" t="s">
        <v>443</v>
      </c>
      <c r="L1026" s="5"/>
      <c r="M1026" s="5"/>
      <c r="N1026" s="7"/>
      <c r="O1026" s="5" t="s">
        <v>554</v>
      </c>
      <c r="P1026" s="8">
        <v>72.13</v>
      </c>
      <c r="Q1026" s="8">
        <f t="shared" si="24"/>
        <v>117629.43</v>
      </c>
    </row>
    <row r="1027" spans="1:17" x14ac:dyDescent="0.25">
      <c r="A1027" s="5"/>
      <c r="B1027" s="5"/>
      <c r="C1027" s="5"/>
      <c r="D1027" s="5"/>
      <c r="E1027" s="5"/>
      <c r="F1027" s="5"/>
      <c r="G1027" s="5"/>
      <c r="H1027" s="5" t="s">
        <v>596</v>
      </c>
      <c r="I1027" s="6">
        <v>44874</v>
      </c>
      <c r="J1027" s="5" t="s">
        <v>788</v>
      </c>
      <c r="K1027" s="5" t="s">
        <v>443</v>
      </c>
      <c r="L1027" s="5"/>
      <c r="M1027" s="5"/>
      <c r="N1027" s="7"/>
      <c r="O1027" s="5" t="s">
        <v>554</v>
      </c>
      <c r="P1027" s="8">
        <v>30.97</v>
      </c>
      <c r="Q1027" s="8">
        <f t="shared" si="24"/>
        <v>117660.4</v>
      </c>
    </row>
    <row r="1028" spans="1:17" x14ac:dyDescent="0.25">
      <c r="A1028" s="5"/>
      <c r="B1028" s="5"/>
      <c r="C1028" s="5"/>
      <c r="D1028" s="5"/>
      <c r="E1028" s="5"/>
      <c r="F1028" s="5"/>
      <c r="G1028" s="5"/>
      <c r="H1028" s="5" t="s">
        <v>596</v>
      </c>
      <c r="I1028" s="6">
        <v>44874</v>
      </c>
      <c r="J1028" s="5" t="s">
        <v>788</v>
      </c>
      <c r="K1028" s="5" t="s">
        <v>443</v>
      </c>
      <c r="L1028" s="5"/>
      <c r="M1028" s="5"/>
      <c r="N1028" s="7"/>
      <c r="O1028" s="5" t="s">
        <v>554</v>
      </c>
      <c r="P1028" s="8">
        <v>0</v>
      </c>
      <c r="Q1028" s="8">
        <f t="shared" si="24"/>
        <v>117660.4</v>
      </c>
    </row>
    <row r="1029" spans="1:17" x14ac:dyDescent="0.25">
      <c r="A1029" s="5"/>
      <c r="B1029" s="5"/>
      <c r="C1029" s="5"/>
      <c r="D1029" s="5"/>
      <c r="E1029" s="5"/>
      <c r="F1029" s="5"/>
      <c r="G1029" s="5"/>
      <c r="H1029" s="5" t="s">
        <v>596</v>
      </c>
      <c r="I1029" s="6">
        <v>44874</v>
      </c>
      <c r="J1029" s="5" t="s">
        <v>789</v>
      </c>
      <c r="K1029" s="5" t="s">
        <v>736</v>
      </c>
      <c r="L1029" s="5"/>
      <c r="M1029" s="5"/>
      <c r="N1029" s="7"/>
      <c r="O1029" s="5" t="s">
        <v>554</v>
      </c>
      <c r="P1029" s="8">
        <v>605.87</v>
      </c>
      <c r="Q1029" s="8">
        <f t="shared" si="24"/>
        <v>118266.27</v>
      </c>
    </row>
    <row r="1030" spans="1:17" x14ac:dyDescent="0.25">
      <c r="A1030" s="5"/>
      <c r="B1030" s="5"/>
      <c r="C1030" s="5"/>
      <c r="D1030" s="5"/>
      <c r="E1030" s="5"/>
      <c r="F1030" s="5"/>
      <c r="G1030" s="5"/>
      <c r="H1030" s="5" t="s">
        <v>596</v>
      </c>
      <c r="I1030" s="6">
        <v>44874</v>
      </c>
      <c r="J1030" s="5" t="s">
        <v>789</v>
      </c>
      <c r="K1030" s="5" t="s">
        <v>736</v>
      </c>
      <c r="L1030" s="5"/>
      <c r="M1030" s="5"/>
      <c r="N1030" s="7"/>
      <c r="O1030" s="5" t="s">
        <v>554</v>
      </c>
      <c r="P1030" s="8">
        <v>26.86</v>
      </c>
      <c r="Q1030" s="8">
        <f t="shared" si="24"/>
        <v>118293.13</v>
      </c>
    </row>
    <row r="1031" spans="1:17" x14ac:dyDescent="0.25">
      <c r="A1031" s="5"/>
      <c r="B1031" s="5"/>
      <c r="C1031" s="5"/>
      <c r="D1031" s="5"/>
      <c r="E1031" s="5"/>
      <c r="F1031" s="5"/>
      <c r="G1031" s="5"/>
      <c r="H1031" s="5" t="s">
        <v>596</v>
      </c>
      <c r="I1031" s="6">
        <v>44874</v>
      </c>
      <c r="J1031" s="5" t="s">
        <v>789</v>
      </c>
      <c r="K1031" s="5" t="s">
        <v>736</v>
      </c>
      <c r="L1031" s="5"/>
      <c r="M1031" s="5"/>
      <c r="N1031" s="7"/>
      <c r="O1031" s="5" t="s">
        <v>554</v>
      </c>
      <c r="P1031" s="8">
        <v>13.4</v>
      </c>
      <c r="Q1031" s="8">
        <f t="shared" si="24"/>
        <v>118306.53</v>
      </c>
    </row>
    <row r="1032" spans="1:17" x14ac:dyDescent="0.25">
      <c r="A1032" s="5"/>
      <c r="B1032" s="5"/>
      <c r="C1032" s="5"/>
      <c r="D1032" s="5"/>
      <c r="E1032" s="5"/>
      <c r="F1032" s="5"/>
      <c r="G1032" s="5"/>
      <c r="H1032" s="5" t="s">
        <v>596</v>
      </c>
      <c r="I1032" s="6">
        <v>44874</v>
      </c>
      <c r="J1032" s="5" t="s">
        <v>789</v>
      </c>
      <c r="K1032" s="5" t="s">
        <v>736</v>
      </c>
      <c r="L1032" s="5"/>
      <c r="M1032" s="5"/>
      <c r="N1032" s="7"/>
      <c r="O1032" s="5" t="s">
        <v>554</v>
      </c>
      <c r="P1032" s="8">
        <v>0</v>
      </c>
      <c r="Q1032" s="8">
        <f t="shared" si="24"/>
        <v>118306.53</v>
      </c>
    </row>
    <row r="1033" spans="1:17" x14ac:dyDescent="0.25">
      <c r="A1033" s="5"/>
      <c r="B1033" s="5"/>
      <c r="C1033" s="5"/>
      <c r="D1033" s="5"/>
      <c r="E1033" s="5"/>
      <c r="F1033" s="5"/>
      <c r="G1033" s="5"/>
      <c r="H1033" s="5" t="s">
        <v>596</v>
      </c>
      <c r="I1033" s="6">
        <v>44874</v>
      </c>
      <c r="J1033" s="5" t="s">
        <v>790</v>
      </c>
      <c r="K1033" s="5" t="s">
        <v>741</v>
      </c>
      <c r="L1033" s="5"/>
      <c r="M1033" s="5"/>
      <c r="N1033" s="7"/>
      <c r="O1033" s="5" t="s">
        <v>554</v>
      </c>
      <c r="P1033" s="8">
        <v>1245.45</v>
      </c>
      <c r="Q1033" s="8">
        <f t="shared" si="24"/>
        <v>119551.98</v>
      </c>
    </row>
    <row r="1034" spans="1:17" x14ac:dyDescent="0.25">
      <c r="A1034" s="5"/>
      <c r="B1034" s="5"/>
      <c r="C1034" s="5"/>
      <c r="D1034" s="5"/>
      <c r="E1034" s="5"/>
      <c r="F1034" s="5"/>
      <c r="G1034" s="5"/>
      <c r="H1034" s="5" t="s">
        <v>596</v>
      </c>
      <c r="I1034" s="6">
        <v>44874</v>
      </c>
      <c r="J1034" s="5" t="s">
        <v>790</v>
      </c>
      <c r="K1034" s="5" t="s">
        <v>741</v>
      </c>
      <c r="L1034" s="5"/>
      <c r="M1034" s="5"/>
      <c r="N1034" s="7"/>
      <c r="O1034" s="5" t="s">
        <v>554</v>
      </c>
      <c r="P1034" s="8">
        <v>63.32</v>
      </c>
      <c r="Q1034" s="8">
        <f t="shared" si="24"/>
        <v>119615.3</v>
      </c>
    </row>
    <row r="1035" spans="1:17" x14ac:dyDescent="0.25">
      <c r="A1035" s="5"/>
      <c r="B1035" s="5"/>
      <c r="C1035" s="5"/>
      <c r="D1035" s="5"/>
      <c r="E1035" s="5"/>
      <c r="F1035" s="5"/>
      <c r="G1035" s="5"/>
      <c r="H1035" s="5" t="s">
        <v>596</v>
      </c>
      <c r="I1035" s="6">
        <v>44874</v>
      </c>
      <c r="J1035" s="5" t="s">
        <v>790</v>
      </c>
      <c r="K1035" s="5" t="s">
        <v>741</v>
      </c>
      <c r="L1035" s="5"/>
      <c r="M1035" s="5"/>
      <c r="N1035" s="7"/>
      <c r="O1035" s="5" t="s">
        <v>554</v>
      </c>
      <c r="P1035" s="8">
        <v>27.55</v>
      </c>
      <c r="Q1035" s="8">
        <f t="shared" si="24"/>
        <v>119642.85</v>
      </c>
    </row>
    <row r="1036" spans="1:17" x14ac:dyDescent="0.25">
      <c r="A1036" s="5"/>
      <c r="B1036" s="5"/>
      <c r="C1036" s="5"/>
      <c r="D1036" s="5"/>
      <c r="E1036" s="5"/>
      <c r="F1036" s="5"/>
      <c r="G1036" s="5"/>
      <c r="H1036" s="5" t="s">
        <v>596</v>
      </c>
      <c r="I1036" s="6">
        <v>44874</v>
      </c>
      <c r="J1036" s="5" t="s">
        <v>790</v>
      </c>
      <c r="K1036" s="5" t="s">
        <v>741</v>
      </c>
      <c r="L1036" s="5"/>
      <c r="M1036" s="5"/>
      <c r="N1036" s="7"/>
      <c r="O1036" s="5" t="s">
        <v>554</v>
      </c>
      <c r="P1036" s="8">
        <v>0</v>
      </c>
      <c r="Q1036" s="8">
        <f t="shared" si="24"/>
        <v>119642.85</v>
      </c>
    </row>
    <row r="1037" spans="1:17" x14ac:dyDescent="0.25">
      <c r="A1037" s="5"/>
      <c r="B1037" s="5"/>
      <c r="C1037" s="5"/>
      <c r="D1037" s="5"/>
      <c r="E1037" s="5"/>
      <c r="F1037" s="5"/>
      <c r="G1037" s="5"/>
      <c r="H1037" s="5" t="s">
        <v>596</v>
      </c>
      <c r="I1037" s="6">
        <v>44874</v>
      </c>
      <c r="J1037" s="5" t="s">
        <v>791</v>
      </c>
      <c r="K1037" s="5" t="s">
        <v>742</v>
      </c>
      <c r="L1037" s="5"/>
      <c r="M1037" s="5"/>
      <c r="N1037" s="7"/>
      <c r="O1037" s="5" t="s">
        <v>554</v>
      </c>
      <c r="P1037" s="8">
        <v>476.94</v>
      </c>
      <c r="Q1037" s="8">
        <f t="shared" si="24"/>
        <v>120119.79</v>
      </c>
    </row>
    <row r="1038" spans="1:17" x14ac:dyDescent="0.25">
      <c r="A1038" s="5"/>
      <c r="B1038" s="5"/>
      <c r="C1038" s="5"/>
      <c r="D1038" s="5"/>
      <c r="E1038" s="5"/>
      <c r="F1038" s="5"/>
      <c r="G1038" s="5"/>
      <c r="H1038" s="5" t="s">
        <v>596</v>
      </c>
      <c r="I1038" s="6">
        <v>44874</v>
      </c>
      <c r="J1038" s="5" t="s">
        <v>791</v>
      </c>
      <c r="K1038" s="5" t="s">
        <v>742</v>
      </c>
      <c r="L1038" s="5"/>
      <c r="M1038" s="5"/>
      <c r="N1038" s="7"/>
      <c r="O1038" s="5" t="s">
        <v>554</v>
      </c>
      <c r="P1038" s="8">
        <v>19.510000000000002</v>
      </c>
      <c r="Q1038" s="8">
        <f t="shared" si="24"/>
        <v>120139.3</v>
      </c>
    </row>
    <row r="1039" spans="1:17" x14ac:dyDescent="0.25">
      <c r="A1039" s="5"/>
      <c r="B1039" s="5"/>
      <c r="C1039" s="5"/>
      <c r="D1039" s="5"/>
      <c r="E1039" s="5"/>
      <c r="F1039" s="5"/>
      <c r="G1039" s="5"/>
      <c r="H1039" s="5" t="s">
        <v>596</v>
      </c>
      <c r="I1039" s="6">
        <v>44874</v>
      </c>
      <c r="J1039" s="5" t="s">
        <v>791</v>
      </c>
      <c r="K1039" s="5" t="s">
        <v>742</v>
      </c>
      <c r="L1039" s="5"/>
      <c r="M1039" s="5"/>
      <c r="N1039" s="7"/>
      <c r="O1039" s="5" t="s">
        <v>554</v>
      </c>
      <c r="P1039" s="8">
        <v>10.56</v>
      </c>
      <c r="Q1039" s="8">
        <f t="shared" si="24"/>
        <v>120149.86</v>
      </c>
    </row>
    <row r="1040" spans="1:17" x14ac:dyDescent="0.25">
      <c r="A1040" s="5"/>
      <c r="B1040" s="5"/>
      <c r="C1040" s="5"/>
      <c r="D1040" s="5"/>
      <c r="E1040" s="5"/>
      <c r="F1040" s="5"/>
      <c r="G1040" s="5"/>
      <c r="H1040" s="5" t="s">
        <v>596</v>
      </c>
      <c r="I1040" s="6">
        <v>44874</v>
      </c>
      <c r="J1040" s="5" t="s">
        <v>791</v>
      </c>
      <c r="K1040" s="5" t="s">
        <v>742</v>
      </c>
      <c r="L1040" s="5"/>
      <c r="M1040" s="5"/>
      <c r="N1040" s="7"/>
      <c r="O1040" s="5" t="s">
        <v>554</v>
      </c>
      <c r="P1040" s="8">
        <v>0</v>
      </c>
      <c r="Q1040" s="8">
        <f t="shared" si="24"/>
        <v>120149.86</v>
      </c>
    </row>
    <row r="1041" spans="1:17" x14ac:dyDescent="0.25">
      <c r="A1041" s="5"/>
      <c r="B1041" s="5"/>
      <c r="C1041" s="5"/>
      <c r="D1041" s="5"/>
      <c r="E1041" s="5"/>
      <c r="F1041" s="5"/>
      <c r="G1041" s="5"/>
      <c r="H1041" s="5" t="s">
        <v>596</v>
      </c>
      <c r="I1041" s="6">
        <v>44888</v>
      </c>
      <c r="J1041" s="5"/>
      <c r="K1041" s="5" t="s">
        <v>443</v>
      </c>
      <c r="L1041" s="5"/>
      <c r="M1041" s="5"/>
      <c r="N1041" s="7"/>
      <c r="O1041" s="5" t="s">
        <v>554</v>
      </c>
      <c r="P1041" s="8">
        <v>1400</v>
      </c>
      <c r="Q1041" s="8">
        <f t="shared" si="24"/>
        <v>121549.86</v>
      </c>
    </row>
    <row r="1042" spans="1:17" x14ac:dyDescent="0.25">
      <c r="A1042" s="5"/>
      <c r="B1042" s="5"/>
      <c r="C1042" s="5"/>
      <c r="D1042" s="5"/>
      <c r="E1042" s="5"/>
      <c r="F1042" s="5"/>
      <c r="G1042" s="5"/>
      <c r="H1042" s="5" t="s">
        <v>596</v>
      </c>
      <c r="I1042" s="6">
        <v>44888</v>
      </c>
      <c r="J1042" s="5"/>
      <c r="K1042" s="5" t="s">
        <v>443</v>
      </c>
      <c r="L1042" s="5"/>
      <c r="M1042" s="5"/>
      <c r="N1042" s="7"/>
      <c r="O1042" s="5" t="s">
        <v>554</v>
      </c>
      <c r="P1042" s="8">
        <v>72.13</v>
      </c>
      <c r="Q1042" s="8">
        <f t="shared" si="24"/>
        <v>121621.99</v>
      </c>
    </row>
    <row r="1043" spans="1:17" x14ac:dyDescent="0.25">
      <c r="A1043" s="5"/>
      <c r="B1043" s="5"/>
      <c r="C1043" s="5"/>
      <c r="D1043" s="5"/>
      <c r="E1043" s="5"/>
      <c r="F1043" s="5"/>
      <c r="G1043" s="5"/>
      <c r="H1043" s="5" t="s">
        <v>596</v>
      </c>
      <c r="I1043" s="6">
        <v>44888</v>
      </c>
      <c r="J1043" s="5"/>
      <c r="K1043" s="5" t="s">
        <v>443</v>
      </c>
      <c r="L1043" s="5"/>
      <c r="M1043" s="5"/>
      <c r="N1043" s="7"/>
      <c r="O1043" s="5" t="s">
        <v>554</v>
      </c>
      <c r="P1043" s="8">
        <v>30.97</v>
      </c>
      <c r="Q1043" s="8">
        <f t="shared" si="24"/>
        <v>121652.96</v>
      </c>
    </row>
    <row r="1044" spans="1:17" x14ac:dyDescent="0.25">
      <c r="A1044" s="5"/>
      <c r="B1044" s="5"/>
      <c r="C1044" s="5"/>
      <c r="D1044" s="5"/>
      <c r="E1044" s="5"/>
      <c r="F1044" s="5"/>
      <c r="G1044" s="5"/>
      <c r="H1044" s="5" t="s">
        <v>596</v>
      </c>
      <c r="I1044" s="6">
        <v>44888</v>
      </c>
      <c r="J1044" s="5"/>
      <c r="K1044" s="5" t="s">
        <v>443</v>
      </c>
      <c r="L1044" s="5"/>
      <c r="M1044" s="5"/>
      <c r="N1044" s="7"/>
      <c r="O1044" s="5" t="s">
        <v>554</v>
      </c>
      <c r="P1044" s="8">
        <v>0</v>
      </c>
      <c r="Q1044" s="8">
        <f t="shared" si="24"/>
        <v>121652.96</v>
      </c>
    </row>
    <row r="1045" spans="1:17" x14ac:dyDescent="0.25">
      <c r="A1045" s="5"/>
      <c r="B1045" s="5"/>
      <c r="C1045" s="5"/>
      <c r="D1045" s="5"/>
      <c r="E1045" s="5"/>
      <c r="F1045" s="5"/>
      <c r="G1045" s="5"/>
      <c r="H1045" s="5" t="s">
        <v>596</v>
      </c>
      <c r="I1045" s="6">
        <v>44889</v>
      </c>
      <c r="J1045" s="5" t="s">
        <v>792</v>
      </c>
      <c r="K1045" s="5" t="s">
        <v>441</v>
      </c>
      <c r="L1045" s="5"/>
      <c r="M1045" s="5"/>
      <c r="N1045" s="7"/>
      <c r="O1045" s="5" t="s">
        <v>554</v>
      </c>
      <c r="P1045" s="8">
        <v>1600</v>
      </c>
      <c r="Q1045" s="8">
        <f t="shared" si="24"/>
        <v>123252.96</v>
      </c>
    </row>
    <row r="1046" spans="1:17" x14ac:dyDescent="0.25">
      <c r="A1046" s="5"/>
      <c r="B1046" s="5"/>
      <c r="C1046" s="5"/>
      <c r="D1046" s="5"/>
      <c r="E1046" s="5"/>
      <c r="F1046" s="5"/>
      <c r="G1046" s="5"/>
      <c r="H1046" s="5" t="s">
        <v>596</v>
      </c>
      <c r="I1046" s="6">
        <v>44889</v>
      </c>
      <c r="J1046" s="5" t="s">
        <v>792</v>
      </c>
      <c r="K1046" s="5" t="s">
        <v>441</v>
      </c>
      <c r="L1046" s="5"/>
      <c r="M1046" s="5"/>
      <c r="N1046" s="7"/>
      <c r="O1046" s="5" t="s">
        <v>554</v>
      </c>
      <c r="P1046" s="8">
        <v>83.53</v>
      </c>
      <c r="Q1046" s="8">
        <f t="shared" si="24"/>
        <v>123336.49</v>
      </c>
    </row>
    <row r="1047" spans="1:17" x14ac:dyDescent="0.25">
      <c r="A1047" s="5"/>
      <c r="B1047" s="5"/>
      <c r="C1047" s="5"/>
      <c r="D1047" s="5"/>
      <c r="E1047" s="5"/>
      <c r="F1047" s="5"/>
      <c r="G1047" s="5"/>
      <c r="H1047" s="5" t="s">
        <v>596</v>
      </c>
      <c r="I1047" s="6">
        <v>44889</v>
      </c>
      <c r="J1047" s="5" t="s">
        <v>792</v>
      </c>
      <c r="K1047" s="5" t="s">
        <v>441</v>
      </c>
      <c r="L1047" s="5"/>
      <c r="M1047" s="5"/>
      <c r="N1047" s="7"/>
      <c r="O1047" s="5" t="s">
        <v>554</v>
      </c>
      <c r="P1047" s="8">
        <v>35.39</v>
      </c>
      <c r="Q1047" s="8">
        <f t="shared" si="24"/>
        <v>123371.88</v>
      </c>
    </row>
    <row r="1048" spans="1:17" x14ac:dyDescent="0.25">
      <c r="A1048" s="5"/>
      <c r="B1048" s="5"/>
      <c r="C1048" s="5"/>
      <c r="D1048" s="5"/>
      <c r="E1048" s="5"/>
      <c r="F1048" s="5"/>
      <c r="G1048" s="5"/>
      <c r="H1048" s="5" t="s">
        <v>596</v>
      </c>
      <c r="I1048" s="6">
        <v>44889</v>
      </c>
      <c r="J1048" s="5" t="s">
        <v>792</v>
      </c>
      <c r="K1048" s="5" t="s">
        <v>441</v>
      </c>
      <c r="L1048" s="5"/>
      <c r="M1048" s="5"/>
      <c r="N1048" s="7"/>
      <c r="O1048" s="5" t="s">
        <v>554</v>
      </c>
      <c r="P1048" s="8">
        <v>64</v>
      </c>
      <c r="Q1048" s="8">
        <f t="shared" si="24"/>
        <v>123435.88</v>
      </c>
    </row>
    <row r="1049" spans="1:17" x14ac:dyDescent="0.25">
      <c r="A1049" s="5"/>
      <c r="B1049" s="5"/>
      <c r="C1049" s="5"/>
      <c r="D1049" s="5"/>
      <c r="E1049" s="5"/>
      <c r="F1049" s="5"/>
      <c r="G1049" s="5"/>
      <c r="H1049" s="5" t="s">
        <v>596</v>
      </c>
      <c r="I1049" s="6">
        <v>44889</v>
      </c>
      <c r="J1049" s="5" t="s">
        <v>793</v>
      </c>
      <c r="K1049" s="5" t="s">
        <v>724</v>
      </c>
      <c r="L1049" s="5"/>
      <c r="M1049" s="5"/>
      <c r="N1049" s="7"/>
      <c r="O1049" s="5" t="s">
        <v>554</v>
      </c>
      <c r="P1049" s="8">
        <v>2000</v>
      </c>
      <c r="Q1049" s="8">
        <f t="shared" si="24"/>
        <v>125435.88</v>
      </c>
    </row>
    <row r="1050" spans="1:17" x14ac:dyDescent="0.25">
      <c r="A1050" s="5"/>
      <c r="B1050" s="5"/>
      <c r="C1050" s="5"/>
      <c r="D1050" s="5"/>
      <c r="E1050" s="5"/>
      <c r="F1050" s="5"/>
      <c r="G1050" s="5"/>
      <c r="H1050" s="5" t="s">
        <v>596</v>
      </c>
      <c r="I1050" s="6">
        <v>44889</v>
      </c>
      <c r="J1050" s="5" t="s">
        <v>793</v>
      </c>
      <c r="K1050" s="5" t="s">
        <v>724</v>
      </c>
      <c r="L1050" s="5"/>
      <c r="M1050" s="5"/>
      <c r="N1050" s="7"/>
      <c r="O1050" s="5" t="s">
        <v>554</v>
      </c>
      <c r="P1050" s="8">
        <v>106.33</v>
      </c>
      <c r="Q1050" s="8">
        <f t="shared" si="24"/>
        <v>125542.21</v>
      </c>
    </row>
    <row r="1051" spans="1:17" x14ac:dyDescent="0.25">
      <c r="A1051" s="5"/>
      <c r="B1051" s="5"/>
      <c r="C1051" s="5"/>
      <c r="D1051" s="5"/>
      <c r="E1051" s="5"/>
      <c r="F1051" s="5"/>
      <c r="G1051" s="5"/>
      <c r="H1051" s="5" t="s">
        <v>596</v>
      </c>
      <c r="I1051" s="6">
        <v>44889</v>
      </c>
      <c r="J1051" s="5" t="s">
        <v>793</v>
      </c>
      <c r="K1051" s="5" t="s">
        <v>724</v>
      </c>
      <c r="L1051" s="5"/>
      <c r="M1051" s="5"/>
      <c r="N1051" s="7"/>
      <c r="O1051" s="5" t="s">
        <v>554</v>
      </c>
      <c r="P1051" s="8">
        <v>44.24</v>
      </c>
      <c r="Q1051" s="8">
        <f t="shared" si="24"/>
        <v>125586.45</v>
      </c>
    </row>
    <row r="1052" spans="1:17" x14ac:dyDescent="0.25">
      <c r="A1052" s="5"/>
      <c r="B1052" s="5"/>
      <c r="C1052" s="5"/>
      <c r="D1052" s="5"/>
      <c r="E1052" s="5"/>
      <c r="F1052" s="5"/>
      <c r="G1052" s="5"/>
      <c r="H1052" s="5" t="s">
        <v>596</v>
      </c>
      <c r="I1052" s="6">
        <v>44889</v>
      </c>
      <c r="J1052" s="5" t="s">
        <v>793</v>
      </c>
      <c r="K1052" s="5" t="s">
        <v>724</v>
      </c>
      <c r="L1052" s="5"/>
      <c r="M1052" s="5"/>
      <c r="N1052" s="7"/>
      <c r="O1052" s="5" t="s">
        <v>554</v>
      </c>
      <c r="P1052" s="8">
        <v>80</v>
      </c>
      <c r="Q1052" s="8">
        <f t="shared" si="24"/>
        <v>125666.45</v>
      </c>
    </row>
    <row r="1053" spans="1:17" x14ac:dyDescent="0.25">
      <c r="A1053" s="5"/>
      <c r="B1053" s="5"/>
      <c r="C1053" s="5"/>
      <c r="D1053" s="5"/>
      <c r="E1053" s="5"/>
      <c r="F1053" s="5"/>
      <c r="G1053" s="5"/>
      <c r="H1053" s="5" t="s">
        <v>596</v>
      </c>
      <c r="I1053" s="6">
        <v>44889</v>
      </c>
      <c r="J1053" s="5" t="s">
        <v>794</v>
      </c>
      <c r="K1053" s="5" t="s">
        <v>739</v>
      </c>
      <c r="L1053" s="5"/>
      <c r="M1053" s="5"/>
      <c r="N1053" s="7"/>
      <c r="O1053" s="5" t="s">
        <v>554</v>
      </c>
      <c r="P1053" s="8">
        <v>769.2</v>
      </c>
      <c r="Q1053" s="8">
        <f t="shared" si="24"/>
        <v>126435.65</v>
      </c>
    </row>
    <row r="1054" spans="1:17" x14ac:dyDescent="0.25">
      <c r="A1054" s="5"/>
      <c r="B1054" s="5"/>
      <c r="C1054" s="5"/>
      <c r="D1054" s="5"/>
      <c r="E1054" s="5"/>
      <c r="F1054" s="5"/>
      <c r="G1054" s="5"/>
      <c r="H1054" s="5" t="s">
        <v>596</v>
      </c>
      <c r="I1054" s="6">
        <v>44889</v>
      </c>
      <c r="J1054" s="5" t="s">
        <v>794</v>
      </c>
      <c r="K1054" s="5" t="s">
        <v>739</v>
      </c>
      <c r="L1054" s="5"/>
      <c r="M1054" s="5"/>
      <c r="N1054" s="7"/>
      <c r="O1054" s="5" t="s">
        <v>554</v>
      </c>
      <c r="P1054" s="8">
        <v>36.17</v>
      </c>
      <c r="Q1054" s="8">
        <f t="shared" si="24"/>
        <v>126471.82</v>
      </c>
    </row>
    <row r="1055" spans="1:17" x14ac:dyDescent="0.25">
      <c r="A1055" s="5"/>
      <c r="B1055" s="5"/>
      <c r="C1055" s="5"/>
      <c r="D1055" s="5"/>
      <c r="E1055" s="5"/>
      <c r="F1055" s="5"/>
      <c r="G1055" s="5"/>
      <c r="H1055" s="5" t="s">
        <v>596</v>
      </c>
      <c r="I1055" s="6">
        <v>44889</v>
      </c>
      <c r="J1055" s="5" t="s">
        <v>794</v>
      </c>
      <c r="K1055" s="5" t="s">
        <v>739</v>
      </c>
      <c r="L1055" s="5"/>
      <c r="M1055" s="5"/>
      <c r="N1055" s="7"/>
      <c r="O1055" s="5" t="s">
        <v>554</v>
      </c>
      <c r="P1055" s="8">
        <v>17.010000000000002</v>
      </c>
      <c r="Q1055" s="8">
        <f t="shared" si="24"/>
        <v>126488.83</v>
      </c>
    </row>
    <row r="1056" spans="1:17" x14ac:dyDescent="0.25">
      <c r="A1056" s="5"/>
      <c r="B1056" s="5"/>
      <c r="C1056" s="5"/>
      <c r="D1056" s="5"/>
      <c r="E1056" s="5"/>
      <c r="F1056" s="5"/>
      <c r="G1056" s="5"/>
      <c r="H1056" s="5" t="s">
        <v>596</v>
      </c>
      <c r="I1056" s="6">
        <v>44889</v>
      </c>
      <c r="J1056" s="5" t="s">
        <v>794</v>
      </c>
      <c r="K1056" s="5" t="s">
        <v>739</v>
      </c>
      <c r="L1056" s="5"/>
      <c r="M1056" s="5"/>
      <c r="N1056" s="7"/>
      <c r="O1056" s="5" t="s">
        <v>554</v>
      </c>
      <c r="P1056" s="8">
        <v>0</v>
      </c>
      <c r="Q1056" s="8">
        <f t="shared" si="24"/>
        <v>126488.83</v>
      </c>
    </row>
    <row r="1057" spans="1:17" x14ac:dyDescent="0.25">
      <c r="A1057" s="5"/>
      <c r="B1057" s="5"/>
      <c r="C1057" s="5"/>
      <c r="D1057" s="5"/>
      <c r="E1057" s="5"/>
      <c r="F1057" s="5"/>
      <c r="G1057" s="5"/>
      <c r="H1057" s="5" t="s">
        <v>596</v>
      </c>
      <c r="I1057" s="6">
        <v>44889</v>
      </c>
      <c r="J1057" s="5" t="s">
        <v>795</v>
      </c>
      <c r="K1057" s="5" t="s">
        <v>740</v>
      </c>
      <c r="L1057" s="5"/>
      <c r="M1057" s="5"/>
      <c r="N1057" s="7"/>
      <c r="O1057" s="5" t="s">
        <v>554</v>
      </c>
      <c r="P1057" s="8">
        <v>1500</v>
      </c>
      <c r="Q1057" s="8">
        <f t="shared" si="24"/>
        <v>127988.83</v>
      </c>
    </row>
    <row r="1058" spans="1:17" x14ac:dyDescent="0.25">
      <c r="A1058" s="5"/>
      <c r="B1058" s="5"/>
      <c r="C1058" s="5"/>
      <c r="D1058" s="5"/>
      <c r="E1058" s="5"/>
      <c r="F1058" s="5"/>
      <c r="G1058" s="5"/>
      <c r="H1058" s="5" t="s">
        <v>596</v>
      </c>
      <c r="I1058" s="6">
        <v>44889</v>
      </c>
      <c r="J1058" s="5" t="s">
        <v>795</v>
      </c>
      <c r="K1058" s="5" t="s">
        <v>740</v>
      </c>
      <c r="L1058" s="5"/>
      <c r="M1058" s="5"/>
      <c r="N1058" s="7"/>
      <c r="O1058" s="5" t="s">
        <v>554</v>
      </c>
      <c r="P1058" s="8">
        <v>77.83</v>
      </c>
      <c r="Q1058" s="8">
        <f t="shared" si="24"/>
        <v>128066.66</v>
      </c>
    </row>
    <row r="1059" spans="1:17" x14ac:dyDescent="0.25">
      <c r="A1059" s="5"/>
      <c r="B1059" s="5"/>
      <c r="C1059" s="5"/>
      <c r="D1059" s="5"/>
      <c r="E1059" s="5"/>
      <c r="F1059" s="5"/>
      <c r="G1059" s="5"/>
      <c r="H1059" s="5" t="s">
        <v>596</v>
      </c>
      <c r="I1059" s="6">
        <v>44889</v>
      </c>
      <c r="J1059" s="5" t="s">
        <v>795</v>
      </c>
      <c r="K1059" s="5" t="s">
        <v>740</v>
      </c>
      <c r="L1059" s="5"/>
      <c r="M1059" s="5"/>
      <c r="N1059" s="7"/>
      <c r="O1059" s="5" t="s">
        <v>554</v>
      </c>
      <c r="P1059" s="8">
        <v>33.18</v>
      </c>
      <c r="Q1059" s="8">
        <f t="shared" si="24"/>
        <v>128099.84</v>
      </c>
    </row>
    <row r="1060" spans="1:17" x14ac:dyDescent="0.25">
      <c r="A1060" s="5"/>
      <c r="B1060" s="5"/>
      <c r="C1060" s="5"/>
      <c r="D1060" s="5"/>
      <c r="E1060" s="5"/>
      <c r="F1060" s="5"/>
      <c r="G1060" s="5"/>
      <c r="H1060" s="5" t="s">
        <v>596</v>
      </c>
      <c r="I1060" s="6">
        <v>44889</v>
      </c>
      <c r="J1060" s="5" t="s">
        <v>795</v>
      </c>
      <c r="K1060" s="5" t="s">
        <v>740</v>
      </c>
      <c r="L1060" s="5"/>
      <c r="M1060" s="5"/>
      <c r="N1060" s="7"/>
      <c r="O1060" s="5" t="s">
        <v>554</v>
      </c>
      <c r="P1060" s="8">
        <v>0</v>
      </c>
      <c r="Q1060" s="8">
        <f t="shared" si="24"/>
        <v>128099.84</v>
      </c>
    </row>
    <row r="1061" spans="1:17" x14ac:dyDescent="0.25">
      <c r="A1061" s="5"/>
      <c r="B1061" s="5"/>
      <c r="C1061" s="5"/>
      <c r="D1061" s="5"/>
      <c r="E1061" s="5"/>
      <c r="F1061" s="5"/>
      <c r="G1061" s="5"/>
      <c r="H1061" s="5" t="s">
        <v>596</v>
      </c>
      <c r="I1061" s="6">
        <v>44889</v>
      </c>
      <c r="J1061" s="5" t="s">
        <v>796</v>
      </c>
      <c r="K1061" s="5" t="s">
        <v>736</v>
      </c>
      <c r="L1061" s="5"/>
      <c r="M1061" s="5"/>
      <c r="N1061" s="7"/>
      <c r="O1061" s="5" t="s">
        <v>554</v>
      </c>
      <c r="P1061" s="8">
        <v>964.53</v>
      </c>
      <c r="Q1061" s="8">
        <f t="shared" si="24"/>
        <v>129064.37</v>
      </c>
    </row>
    <row r="1062" spans="1:17" x14ac:dyDescent="0.25">
      <c r="A1062" s="5"/>
      <c r="B1062" s="5"/>
      <c r="C1062" s="5"/>
      <c r="D1062" s="5"/>
      <c r="E1062" s="5"/>
      <c r="F1062" s="5"/>
      <c r="G1062" s="5"/>
      <c r="H1062" s="5" t="s">
        <v>596</v>
      </c>
      <c r="I1062" s="6">
        <v>44889</v>
      </c>
      <c r="J1062" s="5" t="s">
        <v>796</v>
      </c>
      <c r="K1062" s="5" t="s">
        <v>736</v>
      </c>
      <c r="L1062" s="5"/>
      <c r="M1062" s="5"/>
      <c r="N1062" s="7"/>
      <c r="O1062" s="5" t="s">
        <v>554</v>
      </c>
      <c r="P1062" s="8">
        <v>47.31</v>
      </c>
      <c r="Q1062" s="8">
        <f t="shared" si="24"/>
        <v>129111.67999999999</v>
      </c>
    </row>
    <row r="1063" spans="1:17" x14ac:dyDescent="0.25">
      <c r="A1063" s="5"/>
      <c r="B1063" s="5"/>
      <c r="C1063" s="5"/>
      <c r="D1063" s="5"/>
      <c r="E1063" s="5"/>
      <c r="F1063" s="5"/>
      <c r="G1063" s="5"/>
      <c r="H1063" s="5" t="s">
        <v>596</v>
      </c>
      <c r="I1063" s="6">
        <v>44889</v>
      </c>
      <c r="J1063" s="5" t="s">
        <v>796</v>
      </c>
      <c r="K1063" s="5" t="s">
        <v>736</v>
      </c>
      <c r="L1063" s="5"/>
      <c r="M1063" s="5"/>
      <c r="N1063" s="7"/>
      <c r="O1063" s="5" t="s">
        <v>554</v>
      </c>
      <c r="P1063" s="8">
        <v>21.34</v>
      </c>
      <c r="Q1063" s="8">
        <f t="shared" si="24"/>
        <v>129133.02</v>
      </c>
    </row>
    <row r="1064" spans="1:17" x14ac:dyDescent="0.25">
      <c r="A1064" s="5"/>
      <c r="B1064" s="5"/>
      <c r="C1064" s="5"/>
      <c r="D1064" s="5"/>
      <c r="E1064" s="5"/>
      <c r="F1064" s="5"/>
      <c r="G1064" s="5"/>
      <c r="H1064" s="5" t="s">
        <v>596</v>
      </c>
      <c r="I1064" s="6">
        <v>44889</v>
      </c>
      <c r="J1064" s="5" t="s">
        <v>796</v>
      </c>
      <c r="K1064" s="5" t="s">
        <v>736</v>
      </c>
      <c r="L1064" s="5"/>
      <c r="M1064" s="5"/>
      <c r="N1064" s="7"/>
      <c r="O1064" s="5" t="s">
        <v>554</v>
      </c>
      <c r="P1064" s="8">
        <v>0</v>
      </c>
      <c r="Q1064" s="8">
        <f t="shared" si="24"/>
        <v>129133.02</v>
      </c>
    </row>
    <row r="1065" spans="1:17" x14ac:dyDescent="0.25">
      <c r="A1065" s="5"/>
      <c r="B1065" s="5"/>
      <c r="C1065" s="5"/>
      <c r="D1065" s="5"/>
      <c r="E1065" s="5"/>
      <c r="F1065" s="5"/>
      <c r="G1065" s="5"/>
      <c r="H1065" s="5" t="s">
        <v>596</v>
      </c>
      <c r="I1065" s="6">
        <v>44889</v>
      </c>
      <c r="J1065" s="5" t="s">
        <v>797</v>
      </c>
      <c r="K1065" s="5" t="s">
        <v>741</v>
      </c>
      <c r="L1065" s="5"/>
      <c r="M1065" s="5"/>
      <c r="N1065" s="7"/>
      <c r="O1065" s="5" t="s">
        <v>554</v>
      </c>
      <c r="P1065" s="8">
        <v>1722.32</v>
      </c>
      <c r="Q1065" s="8">
        <f t="shared" si="24"/>
        <v>130855.34</v>
      </c>
    </row>
    <row r="1066" spans="1:17" x14ac:dyDescent="0.25">
      <c r="A1066" s="5"/>
      <c r="B1066" s="5"/>
      <c r="C1066" s="5"/>
      <c r="D1066" s="5"/>
      <c r="E1066" s="5"/>
      <c r="F1066" s="5"/>
      <c r="G1066" s="5"/>
      <c r="H1066" s="5" t="s">
        <v>596</v>
      </c>
      <c r="I1066" s="6">
        <v>44889</v>
      </c>
      <c r="J1066" s="5" t="s">
        <v>797</v>
      </c>
      <c r="K1066" s="5" t="s">
        <v>741</v>
      </c>
      <c r="L1066" s="5"/>
      <c r="M1066" s="5"/>
      <c r="N1066" s="7"/>
      <c r="O1066" s="5" t="s">
        <v>554</v>
      </c>
      <c r="P1066" s="8">
        <v>90.5</v>
      </c>
      <c r="Q1066" s="8">
        <f t="shared" si="24"/>
        <v>130945.84</v>
      </c>
    </row>
    <row r="1067" spans="1:17" x14ac:dyDescent="0.25">
      <c r="A1067" s="5"/>
      <c r="B1067" s="5"/>
      <c r="C1067" s="5"/>
      <c r="D1067" s="5"/>
      <c r="E1067" s="5"/>
      <c r="F1067" s="5"/>
      <c r="G1067" s="5"/>
      <c r="H1067" s="5" t="s">
        <v>596</v>
      </c>
      <c r="I1067" s="6">
        <v>44889</v>
      </c>
      <c r="J1067" s="5" t="s">
        <v>797</v>
      </c>
      <c r="K1067" s="5" t="s">
        <v>741</v>
      </c>
      <c r="L1067" s="5"/>
      <c r="M1067" s="5"/>
      <c r="N1067" s="7"/>
      <c r="O1067" s="5" t="s">
        <v>554</v>
      </c>
      <c r="P1067" s="8">
        <v>38.090000000000003</v>
      </c>
      <c r="Q1067" s="8">
        <f t="shared" si="24"/>
        <v>130983.93</v>
      </c>
    </row>
    <row r="1068" spans="1:17" x14ac:dyDescent="0.25">
      <c r="A1068" s="5"/>
      <c r="B1068" s="5"/>
      <c r="C1068" s="5"/>
      <c r="D1068" s="5"/>
      <c r="E1068" s="5"/>
      <c r="F1068" s="5"/>
      <c r="G1068" s="5"/>
      <c r="H1068" s="5" t="s">
        <v>596</v>
      </c>
      <c r="I1068" s="6">
        <v>44889</v>
      </c>
      <c r="J1068" s="5" t="s">
        <v>797</v>
      </c>
      <c r="K1068" s="5" t="s">
        <v>741</v>
      </c>
      <c r="L1068" s="5"/>
      <c r="M1068" s="5"/>
      <c r="N1068" s="7"/>
      <c r="O1068" s="5" t="s">
        <v>554</v>
      </c>
      <c r="P1068" s="8">
        <v>0</v>
      </c>
      <c r="Q1068" s="8">
        <f t="shared" si="24"/>
        <v>130983.93</v>
      </c>
    </row>
    <row r="1069" spans="1:17" x14ac:dyDescent="0.25">
      <c r="A1069" s="5"/>
      <c r="B1069" s="5"/>
      <c r="C1069" s="5"/>
      <c r="D1069" s="5"/>
      <c r="E1069" s="5"/>
      <c r="F1069" s="5"/>
      <c r="G1069" s="5"/>
      <c r="H1069" s="5" t="s">
        <v>596</v>
      </c>
      <c r="I1069" s="6">
        <v>44889</v>
      </c>
      <c r="J1069" s="5" t="s">
        <v>798</v>
      </c>
      <c r="K1069" s="5" t="s">
        <v>742</v>
      </c>
      <c r="L1069" s="5"/>
      <c r="M1069" s="5"/>
      <c r="N1069" s="7"/>
      <c r="O1069" s="5" t="s">
        <v>554</v>
      </c>
      <c r="P1069" s="8">
        <v>982.58</v>
      </c>
      <c r="Q1069" s="8">
        <f t="shared" si="24"/>
        <v>131966.51</v>
      </c>
    </row>
    <row r="1070" spans="1:17" x14ac:dyDescent="0.25">
      <c r="A1070" s="5"/>
      <c r="B1070" s="5"/>
      <c r="C1070" s="5"/>
      <c r="D1070" s="5"/>
      <c r="E1070" s="5"/>
      <c r="F1070" s="5"/>
      <c r="G1070" s="5"/>
      <c r="H1070" s="5" t="s">
        <v>596</v>
      </c>
      <c r="I1070" s="6">
        <v>44889</v>
      </c>
      <c r="J1070" s="5" t="s">
        <v>798</v>
      </c>
      <c r="K1070" s="5" t="s">
        <v>742</v>
      </c>
      <c r="L1070" s="5"/>
      <c r="M1070" s="5"/>
      <c r="N1070" s="7"/>
      <c r="O1070" s="5" t="s">
        <v>554</v>
      </c>
      <c r="P1070" s="8">
        <v>48.33</v>
      </c>
      <c r="Q1070" s="8">
        <f t="shared" si="24"/>
        <v>132014.84</v>
      </c>
    </row>
    <row r="1071" spans="1:17" x14ac:dyDescent="0.25">
      <c r="A1071" s="5"/>
      <c r="B1071" s="5"/>
      <c r="C1071" s="5"/>
      <c r="D1071" s="5"/>
      <c r="E1071" s="5"/>
      <c r="F1071" s="5"/>
      <c r="G1071" s="5"/>
      <c r="H1071" s="5" t="s">
        <v>596</v>
      </c>
      <c r="I1071" s="6">
        <v>44889</v>
      </c>
      <c r="J1071" s="5" t="s">
        <v>798</v>
      </c>
      <c r="K1071" s="5" t="s">
        <v>742</v>
      </c>
      <c r="L1071" s="5"/>
      <c r="M1071" s="5"/>
      <c r="N1071" s="7"/>
      <c r="O1071" s="5" t="s">
        <v>554</v>
      </c>
      <c r="P1071" s="8">
        <v>21.73</v>
      </c>
      <c r="Q1071" s="8">
        <f t="shared" si="24"/>
        <v>132036.57</v>
      </c>
    </row>
    <row r="1072" spans="1:17" x14ac:dyDescent="0.25">
      <c r="A1072" s="5"/>
      <c r="B1072" s="5"/>
      <c r="C1072" s="5"/>
      <c r="D1072" s="5"/>
      <c r="E1072" s="5"/>
      <c r="F1072" s="5"/>
      <c r="G1072" s="5"/>
      <c r="H1072" s="5" t="s">
        <v>596</v>
      </c>
      <c r="I1072" s="6">
        <v>44889</v>
      </c>
      <c r="J1072" s="5" t="s">
        <v>798</v>
      </c>
      <c r="K1072" s="5" t="s">
        <v>742</v>
      </c>
      <c r="L1072" s="5"/>
      <c r="M1072" s="5"/>
      <c r="N1072" s="7"/>
      <c r="O1072" s="5" t="s">
        <v>554</v>
      </c>
      <c r="P1072" s="8">
        <v>0</v>
      </c>
      <c r="Q1072" s="8">
        <f t="shared" si="24"/>
        <v>132036.57</v>
      </c>
    </row>
    <row r="1073" spans="1:17" x14ac:dyDescent="0.25">
      <c r="A1073" s="5"/>
      <c r="B1073" s="5"/>
      <c r="C1073" s="5"/>
      <c r="D1073" s="5"/>
      <c r="E1073" s="5"/>
      <c r="F1073" s="5"/>
      <c r="G1073" s="5"/>
      <c r="H1073" s="5" t="s">
        <v>596</v>
      </c>
      <c r="I1073" s="6">
        <v>44903</v>
      </c>
      <c r="J1073" s="5" t="s">
        <v>799</v>
      </c>
      <c r="K1073" s="5" t="s">
        <v>441</v>
      </c>
      <c r="L1073" s="5"/>
      <c r="M1073" s="5"/>
      <c r="N1073" s="7"/>
      <c r="O1073" s="5" t="s">
        <v>554</v>
      </c>
      <c r="P1073" s="8">
        <v>1600</v>
      </c>
      <c r="Q1073" s="8">
        <f t="shared" si="24"/>
        <v>133636.57</v>
      </c>
    </row>
    <row r="1074" spans="1:17" x14ac:dyDescent="0.25">
      <c r="A1074" s="5"/>
      <c r="B1074" s="5"/>
      <c r="C1074" s="5"/>
      <c r="D1074" s="5"/>
      <c r="E1074" s="5"/>
      <c r="F1074" s="5"/>
      <c r="G1074" s="5"/>
      <c r="H1074" s="5" t="s">
        <v>596</v>
      </c>
      <c r="I1074" s="6">
        <v>44903</v>
      </c>
      <c r="J1074" s="5" t="s">
        <v>799</v>
      </c>
      <c r="K1074" s="5" t="s">
        <v>441</v>
      </c>
      <c r="L1074" s="5"/>
      <c r="M1074" s="5"/>
      <c r="N1074" s="7"/>
      <c r="O1074" s="5" t="s">
        <v>554</v>
      </c>
      <c r="P1074" s="8">
        <v>83.53</v>
      </c>
      <c r="Q1074" s="8">
        <f t="shared" si="24"/>
        <v>133720.1</v>
      </c>
    </row>
    <row r="1075" spans="1:17" x14ac:dyDescent="0.25">
      <c r="A1075" s="5"/>
      <c r="B1075" s="5"/>
      <c r="C1075" s="5"/>
      <c r="D1075" s="5"/>
      <c r="E1075" s="5"/>
      <c r="F1075" s="5"/>
      <c r="G1075" s="5"/>
      <c r="H1075" s="5" t="s">
        <v>596</v>
      </c>
      <c r="I1075" s="6">
        <v>44903</v>
      </c>
      <c r="J1075" s="5" t="s">
        <v>799</v>
      </c>
      <c r="K1075" s="5" t="s">
        <v>441</v>
      </c>
      <c r="L1075" s="5"/>
      <c r="M1075" s="5"/>
      <c r="N1075" s="7"/>
      <c r="O1075" s="5" t="s">
        <v>554</v>
      </c>
      <c r="P1075" s="8">
        <v>35.39</v>
      </c>
      <c r="Q1075" s="8">
        <f t="shared" si="24"/>
        <v>133755.49</v>
      </c>
    </row>
    <row r="1076" spans="1:17" x14ac:dyDescent="0.25">
      <c r="A1076" s="5"/>
      <c r="B1076" s="5"/>
      <c r="C1076" s="5"/>
      <c r="D1076" s="5"/>
      <c r="E1076" s="5"/>
      <c r="F1076" s="5"/>
      <c r="G1076" s="5"/>
      <c r="H1076" s="5" t="s">
        <v>596</v>
      </c>
      <c r="I1076" s="6">
        <v>44903</v>
      </c>
      <c r="J1076" s="5" t="s">
        <v>799</v>
      </c>
      <c r="K1076" s="5" t="s">
        <v>441</v>
      </c>
      <c r="L1076" s="5"/>
      <c r="M1076" s="5"/>
      <c r="N1076" s="7"/>
      <c r="O1076" s="5" t="s">
        <v>554</v>
      </c>
      <c r="P1076" s="8">
        <v>64</v>
      </c>
      <c r="Q1076" s="8">
        <f t="shared" si="24"/>
        <v>133819.49</v>
      </c>
    </row>
    <row r="1077" spans="1:17" x14ac:dyDescent="0.25">
      <c r="A1077" s="5"/>
      <c r="B1077" s="5"/>
      <c r="C1077" s="5"/>
      <c r="D1077" s="5"/>
      <c r="E1077" s="5"/>
      <c r="F1077" s="5"/>
      <c r="G1077" s="5"/>
      <c r="H1077" s="5" t="s">
        <v>596</v>
      </c>
      <c r="I1077" s="6">
        <v>44903</v>
      </c>
      <c r="J1077" s="5" t="s">
        <v>800</v>
      </c>
      <c r="K1077" s="5" t="s">
        <v>724</v>
      </c>
      <c r="L1077" s="5"/>
      <c r="M1077" s="5"/>
      <c r="N1077" s="7"/>
      <c r="O1077" s="5" t="s">
        <v>554</v>
      </c>
      <c r="P1077" s="8">
        <v>2000</v>
      </c>
      <c r="Q1077" s="8">
        <f t="shared" si="24"/>
        <v>135819.49</v>
      </c>
    </row>
    <row r="1078" spans="1:17" x14ac:dyDescent="0.25">
      <c r="A1078" s="5"/>
      <c r="B1078" s="5"/>
      <c r="C1078" s="5"/>
      <c r="D1078" s="5"/>
      <c r="E1078" s="5"/>
      <c r="F1078" s="5"/>
      <c r="G1078" s="5"/>
      <c r="H1078" s="5" t="s">
        <v>596</v>
      </c>
      <c r="I1078" s="6">
        <v>44903</v>
      </c>
      <c r="J1078" s="5" t="s">
        <v>800</v>
      </c>
      <c r="K1078" s="5" t="s">
        <v>724</v>
      </c>
      <c r="L1078" s="5"/>
      <c r="M1078" s="5"/>
      <c r="N1078" s="7"/>
      <c r="O1078" s="5" t="s">
        <v>554</v>
      </c>
      <c r="P1078" s="8">
        <v>106.33</v>
      </c>
      <c r="Q1078" s="8">
        <f t="shared" si="24"/>
        <v>135925.82</v>
      </c>
    </row>
    <row r="1079" spans="1:17" x14ac:dyDescent="0.25">
      <c r="A1079" s="5"/>
      <c r="B1079" s="5"/>
      <c r="C1079" s="5"/>
      <c r="D1079" s="5"/>
      <c r="E1079" s="5"/>
      <c r="F1079" s="5"/>
      <c r="G1079" s="5"/>
      <c r="H1079" s="5" t="s">
        <v>596</v>
      </c>
      <c r="I1079" s="6">
        <v>44903</v>
      </c>
      <c r="J1079" s="5" t="s">
        <v>800</v>
      </c>
      <c r="K1079" s="5" t="s">
        <v>724</v>
      </c>
      <c r="L1079" s="5"/>
      <c r="M1079" s="5"/>
      <c r="N1079" s="7"/>
      <c r="O1079" s="5" t="s">
        <v>554</v>
      </c>
      <c r="P1079" s="8">
        <v>44.24</v>
      </c>
      <c r="Q1079" s="8">
        <f t="shared" si="24"/>
        <v>135970.06</v>
      </c>
    </row>
    <row r="1080" spans="1:17" x14ac:dyDescent="0.25">
      <c r="A1080" s="5"/>
      <c r="B1080" s="5"/>
      <c r="C1080" s="5"/>
      <c r="D1080" s="5"/>
      <c r="E1080" s="5"/>
      <c r="F1080" s="5"/>
      <c r="G1080" s="5"/>
      <c r="H1080" s="5" t="s">
        <v>596</v>
      </c>
      <c r="I1080" s="6">
        <v>44903</v>
      </c>
      <c r="J1080" s="5" t="s">
        <v>800</v>
      </c>
      <c r="K1080" s="5" t="s">
        <v>724</v>
      </c>
      <c r="L1080" s="5"/>
      <c r="M1080" s="5"/>
      <c r="N1080" s="7"/>
      <c r="O1080" s="5" t="s">
        <v>554</v>
      </c>
      <c r="P1080" s="8">
        <v>80</v>
      </c>
      <c r="Q1080" s="8">
        <f t="shared" si="24"/>
        <v>136050.06</v>
      </c>
    </row>
    <row r="1081" spans="1:17" x14ac:dyDescent="0.25">
      <c r="A1081" s="5"/>
      <c r="B1081" s="5"/>
      <c r="C1081" s="5"/>
      <c r="D1081" s="5"/>
      <c r="E1081" s="5"/>
      <c r="F1081" s="5"/>
      <c r="G1081" s="5"/>
      <c r="H1081" s="5" t="s">
        <v>596</v>
      </c>
      <c r="I1081" s="6">
        <v>44903</v>
      </c>
      <c r="J1081" s="5" t="s">
        <v>801</v>
      </c>
      <c r="K1081" s="5" t="s">
        <v>739</v>
      </c>
      <c r="L1081" s="5"/>
      <c r="M1081" s="5"/>
      <c r="N1081" s="7"/>
      <c r="O1081" s="5" t="s">
        <v>554</v>
      </c>
      <c r="P1081" s="8">
        <v>1232.7</v>
      </c>
      <c r="Q1081" s="8">
        <f t="shared" ref="Q1081:Q1136" si="25">ROUND(Q1080+P1081,5)</f>
        <v>137282.76</v>
      </c>
    </row>
    <row r="1082" spans="1:17" x14ac:dyDescent="0.25">
      <c r="A1082" s="5"/>
      <c r="B1082" s="5"/>
      <c r="C1082" s="5"/>
      <c r="D1082" s="5"/>
      <c r="E1082" s="5"/>
      <c r="F1082" s="5"/>
      <c r="G1082" s="5"/>
      <c r="H1082" s="5" t="s">
        <v>596</v>
      </c>
      <c r="I1082" s="6">
        <v>44903</v>
      </c>
      <c r="J1082" s="5" t="s">
        <v>801</v>
      </c>
      <c r="K1082" s="5" t="s">
        <v>739</v>
      </c>
      <c r="L1082" s="5"/>
      <c r="M1082" s="5"/>
      <c r="N1082" s="7"/>
      <c r="O1082" s="5" t="s">
        <v>554</v>
      </c>
      <c r="P1082" s="8">
        <v>62.59</v>
      </c>
      <c r="Q1082" s="8">
        <f t="shared" si="25"/>
        <v>137345.35</v>
      </c>
    </row>
    <row r="1083" spans="1:17" x14ac:dyDescent="0.25">
      <c r="A1083" s="5"/>
      <c r="B1083" s="5"/>
      <c r="C1083" s="5"/>
      <c r="D1083" s="5"/>
      <c r="E1083" s="5"/>
      <c r="F1083" s="5"/>
      <c r="G1083" s="5"/>
      <c r="H1083" s="5" t="s">
        <v>596</v>
      </c>
      <c r="I1083" s="6">
        <v>44903</v>
      </c>
      <c r="J1083" s="5" t="s">
        <v>801</v>
      </c>
      <c r="K1083" s="5" t="s">
        <v>739</v>
      </c>
      <c r="L1083" s="5"/>
      <c r="M1083" s="5"/>
      <c r="N1083" s="7"/>
      <c r="O1083" s="5" t="s">
        <v>554</v>
      </c>
      <c r="P1083" s="8">
        <v>27.27</v>
      </c>
      <c r="Q1083" s="8">
        <f t="shared" si="25"/>
        <v>137372.62</v>
      </c>
    </row>
    <row r="1084" spans="1:17" x14ac:dyDescent="0.25">
      <c r="A1084" s="5"/>
      <c r="B1084" s="5"/>
      <c r="C1084" s="5"/>
      <c r="D1084" s="5"/>
      <c r="E1084" s="5"/>
      <c r="F1084" s="5"/>
      <c r="G1084" s="5"/>
      <c r="H1084" s="5" t="s">
        <v>596</v>
      </c>
      <c r="I1084" s="6">
        <v>44903</v>
      </c>
      <c r="J1084" s="5" t="s">
        <v>801</v>
      </c>
      <c r="K1084" s="5" t="s">
        <v>739</v>
      </c>
      <c r="L1084" s="5"/>
      <c r="M1084" s="5"/>
      <c r="N1084" s="7"/>
      <c r="O1084" s="5" t="s">
        <v>554</v>
      </c>
      <c r="P1084" s="8">
        <v>0</v>
      </c>
      <c r="Q1084" s="8">
        <f t="shared" si="25"/>
        <v>137372.62</v>
      </c>
    </row>
    <row r="1085" spans="1:17" x14ac:dyDescent="0.25">
      <c r="A1085" s="5"/>
      <c r="B1085" s="5"/>
      <c r="C1085" s="5"/>
      <c r="D1085" s="5"/>
      <c r="E1085" s="5"/>
      <c r="F1085" s="5"/>
      <c r="G1085" s="5"/>
      <c r="H1085" s="5" t="s">
        <v>596</v>
      </c>
      <c r="I1085" s="6">
        <v>44903</v>
      </c>
      <c r="J1085" s="5" t="s">
        <v>802</v>
      </c>
      <c r="K1085" s="5" t="s">
        <v>740</v>
      </c>
      <c r="L1085" s="5"/>
      <c r="M1085" s="5"/>
      <c r="N1085" s="7"/>
      <c r="O1085" s="5" t="s">
        <v>554</v>
      </c>
      <c r="P1085" s="8">
        <v>1500</v>
      </c>
      <c r="Q1085" s="8">
        <f t="shared" si="25"/>
        <v>138872.62</v>
      </c>
    </row>
    <row r="1086" spans="1:17" x14ac:dyDescent="0.25">
      <c r="A1086" s="5"/>
      <c r="B1086" s="5"/>
      <c r="C1086" s="5"/>
      <c r="D1086" s="5"/>
      <c r="E1086" s="5"/>
      <c r="F1086" s="5"/>
      <c r="G1086" s="5"/>
      <c r="H1086" s="5" t="s">
        <v>596</v>
      </c>
      <c r="I1086" s="6">
        <v>44903</v>
      </c>
      <c r="J1086" s="5" t="s">
        <v>802</v>
      </c>
      <c r="K1086" s="5" t="s">
        <v>740</v>
      </c>
      <c r="L1086" s="5"/>
      <c r="M1086" s="5"/>
      <c r="N1086" s="7"/>
      <c r="O1086" s="5" t="s">
        <v>554</v>
      </c>
      <c r="P1086" s="8">
        <v>77.83</v>
      </c>
      <c r="Q1086" s="8">
        <f t="shared" si="25"/>
        <v>138950.45000000001</v>
      </c>
    </row>
    <row r="1087" spans="1:17" x14ac:dyDescent="0.25">
      <c r="A1087" s="5"/>
      <c r="B1087" s="5"/>
      <c r="C1087" s="5"/>
      <c r="D1087" s="5"/>
      <c r="E1087" s="5"/>
      <c r="F1087" s="5"/>
      <c r="G1087" s="5"/>
      <c r="H1087" s="5" t="s">
        <v>596</v>
      </c>
      <c r="I1087" s="6">
        <v>44903</v>
      </c>
      <c r="J1087" s="5" t="s">
        <v>802</v>
      </c>
      <c r="K1087" s="5" t="s">
        <v>740</v>
      </c>
      <c r="L1087" s="5"/>
      <c r="M1087" s="5"/>
      <c r="N1087" s="7"/>
      <c r="O1087" s="5" t="s">
        <v>554</v>
      </c>
      <c r="P1087" s="8">
        <v>33.18</v>
      </c>
      <c r="Q1087" s="8">
        <f t="shared" si="25"/>
        <v>138983.63</v>
      </c>
    </row>
    <row r="1088" spans="1:17" x14ac:dyDescent="0.25">
      <c r="A1088" s="5"/>
      <c r="B1088" s="5"/>
      <c r="C1088" s="5"/>
      <c r="D1088" s="5"/>
      <c r="E1088" s="5"/>
      <c r="F1088" s="5"/>
      <c r="G1088" s="5"/>
      <c r="H1088" s="5" t="s">
        <v>596</v>
      </c>
      <c r="I1088" s="6">
        <v>44903</v>
      </c>
      <c r="J1088" s="5" t="s">
        <v>802</v>
      </c>
      <c r="K1088" s="5" t="s">
        <v>740</v>
      </c>
      <c r="L1088" s="5"/>
      <c r="M1088" s="5"/>
      <c r="N1088" s="7"/>
      <c r="O1088" s="5" t="s">
        <v>554</v>
      </c>
      <c r="P1088" s="8">
        <v>0</v>
      </c>
      <c r="Q1088" s="8">
        <f t="shared" si="25"/>
        <v>138983.63</v>
      </c>
    </row>
    <row r="1089" spans="1:17" x14ac:dyDescent="0.25">
      <c r="A1089" s="5"/>
      <c r="B1089" s="5"/>
      <c r="C1089" s="5"/>
      <c r="D1089" s="5"/>
      <c r="E1089" s="5"/>
      <c r="F1089" s="5"/>
      <c r="G1089" s="5"/>
      <c r="H1089" s="5" t="s">
        <v>596</v>
      </c>
      <c r="I1089" s="6">
        <v>44903</v>
      </c>
      <c r="J1089" s="5" t="s">
        <v>803</v>
      </c>
      <c r="K1089" s="5" t="s">
        <v>736</v>
      </c>
      <c r="L1089" s="5"/>
      <c r="M1089" s="5"/>
      <c r="N1089" s="7"/>
      <c r="O1089" s="5" t="s">
        <v>554</v>
      </c>
      <c r="P1089" s="8">
        <v>965.07</v>
      </c>
      <c r="Q1089" s="8">
        <f t="shared" si="25"/>
        <v>139948.70000000001</v>
      </c>
    </row>
    <row r="1090" spans="1:17" x14ac:dyDescent="0.25">
      <c r="A1090" s="5"/>
      <c r="B1090" s="5"/>
      <c r="C1090" s="5"/>
      <c r="D1090" s="5"/>
      <c r="E1090" s="5"/>
      <c r="F1090" s="5"/>
      <c r="G1090" s="5"/>
      <c r="H1090" s="5" t="s">
        <v>596</v>
      </c>
      <c r="I1090" s="6">
        <v>44903</v>
      </c>
      <c r="J1090" s="5" t="s">
        <v>803</v>
      </c>
      <c r="K1090" s="5" t="s">
        <v>736</v>
      </c>
      <c r="L1090" s="5"/>
      <c r="M1090" s="5"/>
      <c r="N1090" s="7"/>
      <c r="O1090" s="5" t="s">
        <v>554</v>
      </c>
      <c r="P1090" s="8">
        <v>47.34</v>
      </c>
      <c r="Q1090" s="8">
        <f t="shared" si="25"/>
        <v>139996.04</v>
      </c>
    </row>
    <row r="1091" spans="1:17" x14ac:dyDescent="0.25">
      <c r="A1091" s="5"/>
      <c r="B1091" s="5"/>
      <c r="C1091" s="5"/>
      <c r="D1091" s="5"/>
      <c r="E1091" s="5"/>
      <c r="F1091" s="5"/>
      <c r="G1091" s="5"/>
      <c r="H1091" s="5" t="s">
        <v>596</v>
      </c>
      <c r="I1091" s="6">
        <v>44903</v>
      </c>
      <c r="J1091" s="5" t="s">
        <v>803</v>
      </c>
      <c r="K1091" s="5" t="s">
        <v>736</v>
      </c>
      <c r="L1091" s="5"/>
      <c r="M1091" s="5"/>
      <c r="N1091" s="7"/>
      <c r="O1091" s="5" t="s">
        <v>554</v>
      </c>
      <c r="P1091" s="8">
        <v>21.35</v>
      </c>
      <c r="Q1091" s="8">
        <f t="shared" si="25"/>
        <v>140017.39000000001</v>
      </c>
    </row>
    <row r="1092" spans="1:17" x14ac:dyDescent="0.25">
      <c r="A1092" s="5"/>
      <c r="B1092" s="5"/>
      <c r="C1092" s="5"/>
      <c r="D1092" s="5"/>
      <c r="E1092" s="5"/>
      <c r="F1092" s="5"/>
      <c r="G1092" s="5"/>
      <c r="H1092" s="5" t="s">
        <v>596</v>
      </c>
      <c r="I1092" s="6">
        <v>44903</v>
      </c>
      <c r="J1092" s="5" t="s">
        <v>803</v>
      </c>
      <c r="K1092" s="5" t="s">
        <v>736</v>
      </c>
      <c r="L1092" s="5"/>
      <c r="M1092" s="5"/>
      <c r="N1092" s="7"/>
      <c r="O1092" s="5" t="s">
        <v>554</v>
      </c>
      <c r="P1092" s="8">
        <v>0</v>
      </c>
      <c r="Q1092" s="8">
        <f t="shared" si="25"/>
        <v>140017.39000000001</v>
      </c>
    </row>
    <row r="1093" spans="1:17" x14ac:dyDescent="0.25">
      <c r="A1093" s="5"/>
      <c r="B1093" s="5"/>
      <c r="C1093" s="5"/>
      <c r="D1093" s="5"/>
      <c r="E1093" s="5"/>
      <c r="F1093" s="5"/>
      <c r="G1093" s="5"/>
      <c r="H1093" s="5" t="s">
        <v>596</v>
      </c>
      <c r="I1093" s="6">
        <v>44903</v>
      </c>
      <c r="J1093" s="5" t="s">
        <v>804</v>
      </c>
      <c r="K1093" s="5" t="s">
        <v>741</v>
      </c>
      <c r="L1093" s="5"/>
      <c r="M1093" s="5"/>
      <c r="N1093" s="7"/>
      <c r="O1093" s="5" t="s">
        <v>554</v>
      </c>
      <c r="P1093" s="8">
        <v>1445.93</v>
      </c>
      <c r="Q1093" s="8">
        <f t="shared" si="25"/>
        <v>141463.32</v>
      </c>
    </row>
    <row r="1094" spans="1:17" x14ac:dyDescent="0.25">
      <c r="A1094" s="5"/>
      <c r="B1094" s="5"/>
      <c r="C1094" s="5"/>
      <c r="D1094" s="5"/>
      <c r="E1094" s="5"/>
      <c r="F1094" s="5"/>
      <c r="G1094" s="5"/>
      <c r="H1094" s="5" t="s">
        <v>596</v>
      </c>
      <c r="I1094" s="6">
        <v>44903</v>
      </c>
      <c r="J1094" s="5" t="s">
        <v>804</v>
      </c>
      <c r="K1094" s="5" t="s">
        <v>741</v>
      </c>
      <c r="L1094" s="5"/>
      <c r="M1094" s="5"/>
      <c r="N1094" s="7"/>
      <c r="O1094" s="5" t="s">
        <v>554</v>
      </c>
      <c r="P1094" s="8">
        <v>74.75</v>
      </c>
      <c r="Q1094" s="8">
        <f t="shared" si="25"/>
        <v>141538.07</v>
      </c>
    </row>
    <row r="1095" spans="1:17" x14ac:dyDescent="0.25">
      <c r="A1095" s="5"/>
      <c r="B1095" s="5"/>
      <c r="C1095" s="5"/>
      <c r="D1095" s="5"/>
      <c r="E1095" s="5"/>
      <c r="F1095" s="5"/>
      <c r="G1095" s="5"/>
      <c r="H1095" s="5" t="s">
        <v>596</v>
      </c>
      <c r="I1095" s="6">
        <v>44903</v>
      </c>
      <c r="J1095" s="5" t="s">
        <v>804</v>
      </c>
      <c r="K1095" s="5" t="s">
        <v>741</v>
      </c>
      <c r="L1095" s="5"/>
      <c r="M1095" s="5"/>
      <c r="N1095" s="7"/>
      <c r="O1095" s="5" t="s">
        <v>554</v>
      </c>
      <c r="P1095" s="8">
        <v>31.99</v>
      </c>
      <c r="Q1095" s="8">
        <f t="shared" si="25"/>
        <v>141570.06</v>
      </c>
    </row>
    <row r="1096" spans="1:17" x14ac:dyDescent="0.25">
      <c r="A1096" s="5"/>
      <c r="B1096" s="5"/>
      <c r="C1096" s="5"/>
      <c r="D1096" s="5"/>
      <c r="E1096" s="5"/>
      <c r="F1096" s="5"/>
      <c r="G1096" s="5"/>
      <c r="H1096" s="5" t="s">
        <v>596</v>
      </c>
      <c r="I1096" s="6">
        <v>44903</v>
      </c>
      <c r="J1096" s="5" t="s">
        <v>804</v>
      </c>
      <c r="K1096" s="5" t="s">
        <v>741</v>
      </c>
      <c r="L1096" s="5"/>
      <c r="M1096" s="5"/>
      <c r="N1096" s="7"/>
      <c r="O1096" s="5" t="s">
        <v>554</v>
      </c>
      <c r="P1096" s="8">
        <v>0</v>
      </c>
      <c r="Q1096" s="8">
        <f t="shared" si="25"/>
        <v>141570.06</v>
      </c>
    </row>
    <row r="1097" spans="1:17" x14ac:dyDescent="0.25">
      <c r="A1097" s="5"/>
      <c r="B1097" s="5"/>
      <c r="C1097" s="5"/>
      <c r="D1097" s="5"/>
      <c r="E1097" s="5"/>
      <c r="F1097" s="5"/>
      <c r="G1097" s="5"/>
      <c r="H1097" s="5" t="s">
        <v>596</v>
      </c>
      <c r="I1097" s="6">
        <v>44903</v>
      </c>
      <c r="J1097" s="5"/>
      <c r="K1097" s="5" t="s">
        <v>742</v>
      </c>
      <c r="L1097" s="5"/>
      <c r="M1097" s="5"/>
      <c r="N1097" s="7"/>
      <c r="O1097" s="5" t="s">
        <v>554</v>
      </c>
      <c r="P1097" s="8">
        <v>601.25</v>
      </c>
      <c r="Q1097" s="8">
        <f t="shared" si="25"/>
        <v>142171.31</v>
      </c>
    </row>
    <row r="1098" spans="1:17" x14ac:dyDescent="0.25">
      <c r="A1098" s="5"/>
      <c r="B1098" s="5"/>
      <c r="C1098" s="5"/>
      <c r="D1098" s="5"/>
      <c r="E1098" s="5"/>
      <c r="F1098" s="5"/>
      <c r="G1098" s="5"/>
      <c r="H1098" s="5" t="s">
        <v>596</v>
      </c>
      <c r="I1098" s="6">
        <v>44903</v>
      </c>
      <c r="J1098" s="5"/>
      <c r="K1098" s="5" t="s">
        <v>742</v>
      </c>
      <c r="L1098" s="5"/>
      <c r="M1098" s="5"/>
      <c r="N1098" s="7"/>
      <c r="O1098" s="5" t="s">
        <v>554</v>
      </c>
      <c r="P1098" s="8">
        <v>26.6</v>
      </c>
      <c r="Q1098" s="8">
        <f t="shared" si="25"/>
        <v>142197.91</v>
      </c>
    </row>
    <row r="1099" spans="1:17" x14ac:dyDescent="0.25">
      <c r="A1099" s="5"/>
      <c r="B1099" s="5"/>
      <c r="C1099" s="5"/>
      <c r="D1099" s="5"/>
      <c r="E1099" s="5"/>
      <c r="F1099" s="5"/>
      <c r="G1099" s="5"/>
      <c r="H1099" s="5" t="s">
        <v>596</v>
      </c>
      <c r="I1099" s="6">
        <v>44903</v>
      </c>
      <c r="J1099" s="5"/>
      <c r="K1099" s="5" t="s">
        <v>742</v>
      </c>
      <c r="L1099" s="5"/>
      <c r="M1099" s="5"/>
      <c r="N1099" s="7"/>
      <c r="O1099" s="5" t="s">
        <v>554</v>
      </c>
      <c r="P1099" s="8">
        <v>13.3</v>
      </c>
      <c r="Q1099" s="8">
        <f t="shared" si="25"/>
        <v>142211.21</v>
      </c>
    </row>
    <row r="1100" spans="1:17" x14ac:dyDescent="0.25">
      <c r="A1100" s="5"/>
      <c r="B1100" s="5"/>
      <c r="C1100" s="5"/>
      <c r="D1100" s="5"/>
      <c r="E1100" s="5"/>
      <c r="F1100" s="5"/>
      <c r="G1100" s="5"/>
      <c r="H1100" s="5" t="s">
        <v>596</v>
      </c>
      <c r="I1100" s="6">
        <v>44903</v>
      </c>
      <c r="J1100" s="5"/>
      <c r="K1100" s="5" t="s">
        <v>742</v>
      </c>
      <c r="L1100" s="5"/>
      <c r="M1100" s="5"/>
      <c r="N1100" s="7"/>
      <c r="O1100" s="5" t="s">
        <v>554</v>
      </c>
      <c r="P1100" s="8">
        <v>0</v>
      </c>
      <c r="Q1100" s="8">
        <f t="shared" si="25"/>
        <v>142211.21</v>
      </c>
    </row>
    <row r="1101" spans="1:17" x14ac:dyDescent="0.25">
      <c r="A1101" s="5"/>
      <c r="B1101" s="5"/>
      <c r="C1101" s="5"/>
      <c r="D1101" s="5"/>
      <c r="E1101" s="5"/>
      <c r="F1101" s="5"/>
      <c r="G1101" s="5"/>
      <c r="H1101" s="5" t="s">
        <v>596</v>
      </c>
      <c r="I1101" s="6">
        <v>44903</v>
      </c>
      <c r="J1101" s="5"/>
      <c r="K1101" s="5" t="s">
        <v>443</v>
      </c>
      <c r="L1101" s="5"/>
      <c r="M1101" s="5"/>
      <c r="N1101" s="7"/>
      <c r="O1101" s="5" t="s">
        <v>554</v>
      </c>
      <c r="P1101" s="8">
        <v>1400</v>
      </c>
      <c r="Q1101" s="8">
        <f t="shared" si="25"/>
        <v>143611.21</v>
      </c>
    </row>
    <row r="1102" spans="1:17" x14ac:dyDescent="0.25">
      <c r="A1102" s="5"/>
      <c r="B1102" s="5"/>
      <c r="C1102" s="5"/>
      <c r="D1102" s="5"/>
      <c r="E1102" s="5"/>
      <c r="F1102" s="5"/>
      <c r="G1102" s="5"/>
      <c r="H1102" s="5" t="s">
        <v>596</v>
      </c>
      <c r="I1102" s="6">
        <v>44903</v>
      </c>
      <c r="J1102" s="5"/>
      <c r="K1102" s="5" t="s">
        <v>443</v>
      </c>
      <c r="L1102" s="5"/>
      <c r="M1102" s="5"/>
      <c r="N1102" s="7"/>
      <c r="O1102" s="5" t="s">
        <v>554</v>
      </c>
      <c r="P1102" s="8">
        <v>72.13</v>
      </c>
      <c r="Q1102" s="8">
        <f t="shared" si="25"/>
        <v>143683.34</v>
      </c>
    </row>
    <row r="1103" spans="1:17" x14ac:dyDescent="0.25">
      <c r="A1103" s="5"/>
      <c r="B1103" s="5"/>
      <c r="C1103" s="5"/>
      <c r="D1103" s="5"/>
      <c r="E1103" s="5"/>
      <c r="F1103" s="5"/>
      <c r="G1103" s="5"/>
      <c r="H1103" s="5" t="s">
        <v>596</v>
      </c>
      <c r="I1103" s="6">
        <v>44903</v>
      </c>
      <c r="J1103" s="5"/>
      <c r="K1103" s="5" t="s">
        <v>443</v>
      </c>
      <c r="L1103" s="5"/>
      <c r="M1103" s="5"/>
      <c r="N1103" s="7"/>
      <c r="O1103" s="5" t="s">
        <v>554</v>
      </c>
      <c r="P1103" s="8">
        <v>30.97</v>
      </c>
      <c r="Q1103" s="8">
        <f t="shared" si="25"/>
        <v>143714.31</v>
      </c>
    </row>
    <row r="1104" spans="1:17" x14ac:dyDescent="0.25">
      <c r="A1104" s="5"/>
      <c r="B1104" s="5"/>
      <c r="C1104" s="5"/>
      <c r="D1104" s="5"/>
      <c r="E1104" s="5"/>
      <c r="F1104" s="5"/>
      <c r="G1104" s="5"/>
      <c r="H1104" s="5" t="s">
        <v>596</v>
      </c>
      <c r="I1104" s="6">
        <v>44903</v>
      </c>
      <c r="J1104" s="5"/>
      <c r="K1104" s="5" t="s">
        <v>443</v>
      </c>
      <c r="L1104" s="5"/>
      <c r="M1104" s="5"/>
      <c r="N1104" s="7"/>
      <c r="O1104" s="5" t="s">
        <v>554</v>
      </c>
      <c r="P1104" s="8">
        <v>0</v>
      </c>
      <c r="Q1104" s="8">
        <f t="shared" si="25"/>
        <v>143714.31</v>
      </c>
    </row>
    <row r="1105" spans="1:17" x14ac:dyDescent="0.25">
      <c r="A1105" s="5"/>
      <c r="B1105" s="5"/>
      <c r="C1105" s="5"/>
      <c r="D1105" s="5"/>
      <c r="E1105" s="5"/>
      <c r="F1105" s="5"/>
      <c r="G1105" s="5"/>
      <c r="H1105" s="5" t="s">
        <v>596</v>
      </c>
      <c r="I1105" s="6">
        <v>44917</v>
      </c>
      <c r="J1105" s="5"/>
      <c r="K1105" s="5" t="s">
        <v>441</v>
      </c>
      <c r="L1105" s="5"/>
      <c r="M1105" s="5"/>
      <c r="N1105" s="7"/>
      <c r="O1105" s="5" t="s">
        <v>554</v>
      </c>
      <c r="P1105" s="8">
        <v>1600</v>
      </c>
      <c r="Q1105" s="8">
        <f t="shared" si="25"/>
        <v>145314.31</v>
      </c>
    </row>
    <row r="1106" spans="1:17" x14ac:dyDescent="0.25">
      <c r="A1106" s="5"/>
      <c r="B1106" s="5"/>
      <c r="C1106" s="5"/>
      <c r="D1106" s="5"/>
      <c r="E1106" s="5"/>
      <c r="F1106" s="5"/>
      <c r="G1106" s="5"/>
      <c r="H1106" s="5" t="s">
        <v>596</v>
      </c>
      <c r="I1106" s="6">
        <v>44917</v>
      </c>
      <c r="J1106" s="5"/>
      <c r="K1106" s="5" t="s">
        <v>441</v>
      </c>
      <c r="L1106" s="5"/>
      <c r="M1106" s="5"/>
      <c r="N1106" s="7"/>
      <c r="O1106" s="5" t="s">
        <v>554</v>
      </c>
      <c r="P1106" s="8">
        <v>83.53</v>
      </c>
      <c r="Q1106" s="8">
        <f t="shared" si="25"/>
        <v>145397.84</v>
      </c>
    </row>
    <row r="1107" spans="1:17" x14ac:dyDescent="0.25">
      <c r="A1107" s="5"/>
      <c r="B1107" s="5"/>
      <c r="C1107" s="5"/>
      <c r="D1107" s="5"/>
      <c r="E1107" s="5"/>
      <c r="F1107" s="5"/>
      <c r="G1107" s="5"/>
      <c r="H1107" s="5" t="s">
        <v>596</v>
      </c>
      <c r="I1107" s="6">
        <v>44917</v>
      </c>
      <c r="J1107" s="5"/>
      <c r="K1107" s="5" t="s">
        <v>441</v>
      </c>
      <c r="L1107" s="5"/>
      <c r="M1107" s="5"/>
      <c r="N1107" s="7"/>
      <c r="O1107" s="5" t="s">
        <v>554</v>
      </c>
      <c r="P1107" s="8">
        <v>35.39</v>
      </c>
      <c r="Q1107" s="8">
        <f t="shared" si="25"/>
        <v>145433.23000000001</v>
      </c>
    </row>
    <row r="1108" spans="1:17" x14ac:dyDescent="0.25">
      <c r="A1108" s="5"/>
      <c r="B1108" s="5"/>
      <c r="C1108" s="5"/>
      <c r="D1108" s="5"/>
      <c r="E1108" s="5"/>
      <c r="F1108" s="5"/>
      <c r="G1108" s="5"/>
      <c r="H1108" s="5" t="s">
        <v>596</v>
      </c>
      <c r="I1108" s="6">
        <v>44917</v>
      </c>
      <c r="J1108" s="5"/>
      <c r="K1108" s="5" t="s">
        <v>441</v>
      </c>
      <c r="L1108" s="5"/>
      <c r="M1108" s="5"/>
      <c r="N1108" s="7"/>
      <c r="O1108" s="5" t="s">
        <v>554</v>
      </c>
      <c r="P1108" s="8">
        <v>64</v>
      </c>
      <c r="Q1108" s="8">
        <f t="shared" si="25"/>
        <v>145497.23000000001</v>
      </c>
    </row>
    <row r="1109" spans="1:17" x14ac:dyDescent="0.25">
      <c r="A1109" s="5"/>
      <c r="B1109" s="5"/>
      <c r="C1109" s="5"/>
      <c r="D1109" s="5"/>
      <c r="E1109" s="5"/>
      <c r="F1109" s="5"/>
      <c r="G1109" s="5"/>
      <c r="H1109" s="5" t="s">
        <v>596</v>
      </c>
      <c r="I1109" s="6">
        <v>44917</v>
      </c>
      <c r="J1109" s="5"/>
      <c r="K1109" s="5" t="s">
        <v>724</v>
      </c>
      <c r="L1109" s="5"/>
      <c r="M1109" s="5"/>
      <c r="N1109" s="7"/>
      <c r="O1109" s="5" t="s">
        <v>554</v>
      </c>
      <c r="P1109" s="8">
        <v>2000</v>
      </c>
      <c r="Q1109" s="8">
        <f t="shared" si="25"/>
        <v>147497.23000000001</v>
      </c>
    </row>
    <row r="1110" spans="1:17" x14ac:dyDescent="0.25">
      <c r="A1110" s="5"/>
      <c r="B1110" s="5"/>
      <c r="C1110" s="5"/>
      <c r="D1110" s="5"/>
      <c r="E1110" s="5"/>
      <c r="F1110" s="5"/>
      <c r="G1110" s="5"/>
      <c r="H1110" s="5" t="s">
        <v>596</v>
      </c>
      <c r="I1110" s="6">
        <v>44917</v>
      </c>
      <c r="J1110" s="5"/>
      <c r="K1110" s="5" t="s">
        <v>724</v>
      </c>
      <c r="L1110" s="5"/>
      <c r="M1110" s="5"/>
      <c r="N1110" s="7"/>
      <c r="O1110" s="5" t="s">
        <v>554</v>
      </c>
      <c r="P1110" s="8">
        <v>106.33</v>
      </c>
      <c r="Q1110" s="8">
        <f t="shared" si="25"/>
        <v>147603.56</v>
      </c>
    </row>
    <row r="1111" spans="1:17" x14ac:dyDescent="0.25">
      <c r="A1111" s="5"/>
      <c r="B1111" s="5"/>
      <c r="C1111" s="5"/>
      <c r="D1111" s="5"/>
      <c r="E1111" s="5"/>
      <c r="F1111" s="5"/>
      <c r="G1111" s="5"/>
      <c r="H1111" s="5" t="s">
        <v>596</v>
      </c>
      <c r="I1111" s="6">
        <v>44917</v>
      </c>
      <c r="J1111" s="5"/>
      <c r="K1111" s="5" t="s">
        <v>724</v>
      </c>
      <c r="L1111" s="5"/>
      <c r="M1111" s="5"/>
      <c r="N1111" s="7"/>
      <c r="O1111" s="5" t="s">
        <v>554</v>
      </c>
      <c r="P1111" s="8">
        <v>44.24</v>
      </c>
      <c r="Q1111" s="8">
        <f t="shared" si="25"/>
        <v>147647.79999999999</v>
      </c>
    </row>
    <row r="1112" spans="1:17" x14ac:dyDescent="0.25">
      <c r="A1112" s="5"/>
      <c r="B1112" s="5"/>
      <c r="C1112" s="5"/>
      <c r="D1112" s="5"/>
      <c r="E1112" s="5"/>
      <c r="F1112" s="5"/>
      <c r="G1112" s="5"/>
      <c r="H1112" s="5" t="s">
        <v>596</v>
      </c>
      <c r="I1112" s="6">
        <v>44917</v>
      </c>
      <c r="J1112" s="5"/>
      <c r="K1112" s="5" t="s">
        <v>724</v>
      </c>
      <c r="L1112" s="5"/>
      <c r="M1112" s="5"/>
      <c r="N1112" s="7"/>
      <c r="O1112" s="5" t="s">
        <v>554</v>
      </c>
      <c r="P1112" s="8">
        <v>80</v>
      </c>
      <c r="Q1112" s="8">
        <f t="shared" si="25"/>
        <v>147727.79999999999</v>
      </c>
    </row>
    <row r="1113" spans="1:17" x14ac:dyDescent="0.25">
      <c r="A1113" s="5"/>
      <c r="B1113" s="5"/>
      <c r="C1113" s="5"/>
      <c r="D1113" s="5"/>
      <c r="E1113" s="5"/>
      <c r="F1113" s="5"/>
      <c r="G1113" s="5"/>
      <c r="H1113" s="5" t="s">
        <v>596</v>
      </c>
      <c r="I1113" s="6">
        <v>44917</v>
      </c>
      <c r="J1113" s="5"/>
      <c r="K1113" s="5" t="s">
        <v>739</v>
      </c>
      <c r="L1113" s="5"/>
      <c r="M1113" s="5"/>
      <c r="N1113" s="7"/>
      <c r="O1113" s="5" t="s">
        <v>554</v>
      </c>
      <c r="P1113" s="8">
        <v>1154.4000000000001</v>
      </c>
      <c r="Q1113" s="8">
        <f t="shared" si="25"/>
        <v>148882.20000000001</v>
      </c>
    </row>
    <row r="1114" spans="1:17" x14ac:dyDescent="0.25">
      <c r="A1114" s="5"/>
      <c r="B1114" s="5"/>
      <c r="C1114" s="5"/>
      <c r="D1114" s="5"/>
      <c r="E1114" s="5"/>
      <c r="F1114" s="5"/>
      <c r="G1114" s="5"/>
      <c r="H1114" s="5" t="s">
        <v>596</v>
      </c>
      <c r="I1114" s="6">
        <v>44917</v>
      </c>
      <c r="J1114" s="5"/>
      <c r="K1114" s="5" t="s">
        <v>739</v>
      </c>
      <c r="L1114" s="5"/>
      <c r="M1114" s="5"/>
      <c r="N1114" s="7"/>
      <c r="O1114" s="5" t="s">
        <v>554</v>
      </c>
      <c r="P1114" s="8">
        <v>58.13</v>
      </c>
      <c r="Q1114" s="8">
        <f t="shared" si="25"/>
        <v>148940.32999999999</v>
      </c>
    </row>
    <row r="1115" spans="1:17" x14ac:dyDescent="0.25">
      <c r="A1115" s="5"/>
      <c r="B1115" s="5"/>
      <c r="C1115" s="5"/>
      <c r="D1115" s="5"/>
      <c r="E1115" s="5"/>
      <c r="F1115" s="5"/>
      <c r="G1115" s="5"/>
      <c r="H1115" s="5" t="s">
        <v>596</v>
      </c>
      <c r="I1115" s="6">
        <v>44917</v>
      </c>
      <c r="J1115" s="5"/>
      <c r="K1115" s="5" t="s">
        <v>739</v>
      </c>
      <c r="L1115" s="5"/>
      <c r="M1115" s="5"/>
      <c r="N1115" s="7"/>
      <c r="O1115" s="5" t="s">
        <v>554</v>
      </c>
      <c r="P1115" s="8">
        <v>25.54</v>
      </c>
      <c r="Q1115" s="8">
        <f t="shared" si="25"/>
        <v>148965.87</v>
      </c>
    </row>
    <row r="1116" spans="1:17" x14ac:dyDescent="0.25">
      <c r="A1116" s="5"/>
      <c r="B1116" s="5"/>
      <c r="C1116" s="5"/>
      <c r="D1116" s="5"/>
      <c r="E1116" s="5"/>
      <c r="F1116" s="5"/>
      <c r="G1116" s="5"/>
      <c r="H1116" s="5" t="s">
        <v>596</v>
      </c>
      <c r="I1116" s="6">
        <v>44917</v>
      </c>
      <c r="J1116" s="5"/>
      <c r="K1116" s="5" t="s">
        <v>739</v>
      </c>
      <c r="L1116" s="5"/>
      <c r="M1116" s="5"/>
      <c r="N1116" s="7"/>
      <c r="O1116" s="5" t="s">
        <v>554</v>
      </c>
      <c r="P1116" s="8">
        <v>46.18</v>
      </c>
      <c r="Q1116" s="8">
        <f t="shared" si="25"/>
        <v>149012.04999999999</v>
      </c>
    </row>
    <row r="1117" spans="1:17" x14ac:dyDescent="0.25">
      <c r="A1117" s="5"/>
      <c r="B1117" s="5"/>
      <c r="C1117" s="5"/>
      <c r="D1117" s="5"/>
      <c r="E1117" s="5"/>
      <c r="F1117" s="5"/>
      <c r="G1117" s="5"/>
      <c r="H1117" s="5" t="s">
        <v>596</v>
      </c>
      <c r="I1117" s="6">
        <v>44917</v>
      </c>
      <c r="J1117" s="5"/>
      <c r="K1117" s="5" t="s">
        <v>740</v>
      </c>
      <c r="L1117" s="5"/>
      <c r="M1117" s="5"/>
      <c r="N1117" s="7"/>
      <c r="O1117" s="5" t="s">
        <v>554</v>
      </c>
      <c r="P1117" s="8">
        <v>1500</v>
      </c>
      <c r="Q1117" s="8">
        <f t="shared" si="25"/>
        <v>150512.04999999999</v>
      </c>
    </row>
    <row r="1118" spans="1:17" x14ac:dyDescent="0.25">
      <c r="A1118" s="5"/>
      <c r="B1118" s="5"/>
      <c r="C1118" s="5"/>
      <c r="D1118" s="5"/>
      <c r="E1118" s="5"/>
      <c r="F1118" s="5"/>
      <c r="G1118" s="5"/>
      <c r="H1118" s="5" t="s">
        <v>596</v>
      </c>
      <c r="I1118" s="6">
        <v>44917</v>
      </c>
      <c r="J1118" s="5"/>
      <c r="K1118" s="5" t="s">
        <v>740</v>
      </c>
      <c r="L1118" s="5"/>
      <c r="M1118" s="5"/>
      <c r="N1118" s="7"/>
      <c r="O1118" s="5" t="s">
        <v>554</v>
      </c>
      <c r="P1118" s="8">
        <v>77.83</v>
      </c>
      <c r="Q1118" s="8">
        <f t="shared" si="25"/>
        <v>150589.88</v>
      </c>
    </row>
    <row r="1119" spans="1:17" x14ac:dyDescent="0.25">
      <c r="A1119" s="5"/>
      <c r="B1119" s="5"/>
      <c r="C1119" s="5"/>
      <c r="D1119" s="5"/>
      <c r="E1119" s="5"/>
      <c r="F1119" s="5"/>
      <c r="G1119" s="5"/>
      <c r="H1119" s="5" t="s">
        <v>596</v>
      </c>
      <c r="I1119" s="6">
        <v>44917</v>
      </c>
      <c r="J1119" s="5"/>
      <c r="K1119" s="5" t="s">
        <v>740</v>
      </c>
      <c r="L1119" s="5"/>
      <c r="M1119" s="5"/>
      <c r="N1119" s="7"/>
      <c r="O1119" s="5" t="s">
        <v>554</v>
      </c>
      <c r="P1119" s="8">
        <v>33.18</v>
      </c>
      <c r="Q1119" s="8">
        <f t="shared" si="25"/>
        <v>150623.06</v>
      </c>
    </row>
    <row r="1120" spans="1:17" x14ac:dyDescent="0.25">
      <c r="A1120" s="5"/>
      <c r="B1120" s="5"/>
      <c r="C1120" s="5"/>
      <c r="D1120" s="5"/>
      <c r="E1120" s="5"/>
      <c r="F1120" s="5"/>
      <c r="G1120" s="5"/>
      <c r="H1120" s="5" t="s">
        <v>596</v>
      </c>
      <c r="I1120" s="6">
        <v>44917</v>
      </c>
      <c r="J1120" s="5"/>
      <c r="K1120" s="5" t="s">
        <v>740</v>
      </c>
      <c r="L1120" s="5"/>
      <c r="M1120" s="5"/>
      <c r="N1120" s="7"/>
      <c r="O1120" s="5" t="s">
        <v>554</v>
      </c>
      <c r="P1120" s="8">
        <v>60</v>
      </c>
      <c r="Q1120" s="8">
        <f t="shared" si="25"/>
        <v>150683.06</v>
      </c>
    </row>
    <row r="1121" spans="1:17" x14ac:dyDescent="0.25">
      <c r="A1121" s="5"/>
      <c r="B1121" s="5"/>
      <c r="C1121" s="5"/>
      <c r="D1121" s="5"/>
      <c r="E1121" s="5"/>
      <c r="F1121" s="5"/>
      <c r="G1121" s="5"/>
      <c r="H1121" s="5" t="s">
        <v>596</v>
      </c>
      <c r="I1121" s="6">
        <v>44917</v>
      </c>
      <c r="J1121" s="5"/>
      <c r="K1121" s="5" t="s">
        <v>443</v>
      </c>
      <c r="L1121" s="5"/>
      <c r="M1121" s="5"/>
      <c r="N1121" s="7"/>
      <c r="O1121" s="5" t="s">
        <v>554</v>
      </c>
      <c r="P1121" s="8">
        <v>1400</v>
      </c>
      <c r="Q1121" s="8">
        <f t="shared" si="25"/>
        <v>152083.06</v>
      </c>
    </row>
    <row r="1122" spans="1:17" x14ac:dyDescent="0.25">
      <c r="A1122" s="5"/>
      <c r="B1122" s="5"/>
      <c r="C1122" s="5"/>
      <c r="D1122" s="5"/>
      <c r="E1122" s="5"/>
      <c r="F1122" s="5"/>
      <c r="G1122" s="5"/>
      <c r="H1122" s="5" t="s">
        <v>596</v>
      </c>
      <c r="I1122" s="6">
        <v>44917</v>
      </c>
      <c r="J1122" s="5"/>
      <c r="K1122" s="5" t="s">
        <v>443</v>
      </c>
      <c r="L1122" s="5"/>
      <c r="M1122" s="5"/>
      <c r="N1122" s="7"/>
      <c r="O1122" s="5" t="s">
        <v>554</v>
      </c>
      <c r="P1122" s="8">
        <v>72.13</v>
      </c>
      <c r="Q1122" s="8">
        <f t="shared" si="25"/>
        <v>152155.19</v>
      </c>
    </row>
    <row r="1123" spans="1:17" x14ac:dyDescent="0.25">
      <c r="A1123" s="5"/>
      <c r="B1123" s="5"/>
      <c r="C1123" s="5"/>
      <c r="D1123" s="5"/>
      <c r="E1123" s="5"/>
      <c r="F1123" s="5"/>
      <c r="G1123" s="5"/>
      <c r="H1123" s="5" t="s">
        <v>596</v>
      </c>
      <c r="I1123" s="6">
        <v>44917</v>
      </c>
      <c r="J1123" s="5"/>
      <c r="K1123" s="5" t="s">
        <v>443</v>
      </c>
      <c r="L1123" s="5"/>
      <c r="M1123" s="5"/>
      <c r="N1123" s="7"/>
      <c r="O1123" s="5" t="s">
        <v>554</v>
      </c>
      <c r="P1123" s="8">
        <v>30.97</v>
      </c>
      <c r="Q1123" s="8">
        <f t="shared" si="25"/>
        <v>152186.16</v>
      </c>
    </row>
    <row r="1124" spans="1:17" x14ac:dyDescent="0.25">
      <c r="A1124" s="5"/>
      <c r="B1124" s="5"/>
      <c r="C1124" s="5"/>
      <c r="D1124" s="5"/>
      <c r="E1124" s="5"/>
      <c r="F1124" s="5"/>
      <c r="G1124" s="5"/>
      <c r="H1124" s="5" t="s">
        <v>596</v>
      </c>
      <c r="I1124" s="6">
        <v>44917</v>
      </c>
      <c r="J1124" s="5"/>
      <c r="K1124" s="5" t="s">
        <v>443</v>
      </c>
      <c r="L1124" s="5"/>
      <c r="M1124" s="5"/>
      <c r="N1124" s="7"/>
      <c r="O1124" s="5" t="s">
        <v>554</v>
      </c>
      <c r="P1124" s="8">
        <v>56</v>
      </c>
      <c r="Q1124" s="8">
        <f t="shared" si="25"/>
        <v>152242.16</v>
      </c>
    </row>
    <row r="1125" spans="1:17" x14ac:dyDescent="0.25">
      <c r="A1125" s="5"/>
      <c r="B1125" s="5"/>
      <c r="C1125" s="5"/>
      <c r="D1125" s="5"/>
      <c r="E1125" s="5"/>
      <c r="F1125" s="5"/>
      <c r="G1125" s="5"/>
      <c r="H1125" s="5" t="s">
        <v>596</v>
      </c>
      <c r="I1125" s="6">
        <v>44917</v>
      </c>
      <c r="J1125" s="5"/>
      <c r="K1125" s="5" t="s">
        <v>736</v>
      </c>
      <c r="L1125" s="5"/>
      <c r="M1125" s="5"/>
      <c r="N1125" s="7"/>
      <c r="O1125" s="5" t="s">
        <v>554</v>
      </c>
      <c r="P1125" s="8">
        <v>1139.2</v>
      </c>
      <c r="Q1125" s="8">
        <f t="shared" si="25"/>
        <v>153381.35999999999</v>
      </c>
    </row>
    <row r="1126" spans="1:17" x14ac:dyDescent="0.25">
      <c r="A1126" s="5"/>
      <c r="B1126" s="5"/>
      <c r="C1126" s="5"/>
      <c r="D1126" s="5"/>
      <c r="E1126" s="5"/>
      <c r="F1126" s="5"/>
      <c r="G1126" s="5"/>
      <c r="H1126" s="5" t="s">
        <v>596</v>
      </c>
      <c r="I1126" s="6">
        <v>44917</v>
      </c>
      <c r="J1126" s="5"/>
      <c r="K1126" s="5" t="s">
        <v>736</v>
      </c>
      <c r="L1126" s="5"/>
      <c r="M1126" s="5"/>
      <c r="N1126" s="7"/>
      <c r="O1126" s="5" t="s">
        <v>554</v>
      </c>
      <c r="P1126" s="8">
        <v>57.26</v>
      </c>
      <c r="Q1126" s="8">
        <f t="shared" si="25"/>
        <v>153438.62</v>
      </c>
    </row>
    <row r="1127" spans="1:17" x14ac:dyDescent="0.25">
      <c r="A1127" s="5"/>
      <c r="B1127" s="5"/>
      <c r="C1127" s="5"/>
      <c r="D1127" s="5"/>
      <c r="E1127" s="5"/>
      <c r="F1127" s="5"/>
      <c r="G1127" s="5"/>
      <c r="H1127" s="5" t="s">
        <v>596</v>
      </c>
      <c r="I1127" s="6">
        <v>44917</v>
      </c>
      <c r="J1127" s="5"/>
      <c r="K1127" s="5" t="s">
        <v>736</v>
      </c>
      <c r="L1127" s="5"/>
      <c r="M1127" s="5"/>
      <c r="N1127" s="7"/>
      <c r="O1127" s="5" t="s">
        <v>554</v>
      </c>
      <c r="P1127" s="8">
        <v>25.2</v>
      </c>
      <c r="Q1127" s="8">
        <f t="shared" si="25"/>
        <v>153463.82</v>
      </c>
    </row>
    <row r="1128" spans="1:17" x14ac:dyDescent="0.25">
      <c r="A1128" s="5"/>
      <c r="B1128" s="5"/>
      <c r="C1128" s="5"/>
      <c r="D1128" s="5"/>
      <c r="E1128" s="5"/>
      <c r="F1128" s="5"/>
      <c r="G1128" s="5"/>
      <c r="H1128" s="5" t="s">
        <v>596</v>
      </c>
      <c r="I1128" s="6">
        <v>44917</v>
      </c>
      <c r="J1128" s="5"/>
      <c r="K1128" s="5" t="s">
        <v>736</v>
      </c>
      <c r="L1128" s="5"/>
      <c r="M1128" s="5"/>
      <c r="N1128" s="7"/>
      <c r="O1128" s="5" t="s">
        <v>554</v>
      </c>
      <c r="P1128" s="8">
        <v>45.57</v>
      </c>
      <c r="Q1128" s="8">
        <f t="shared" si="25"/>
        <v>153509.39000000001</v>
      </c>
    </row>
    <row r="1129" spans="1:17" x14ac:dyDescent="0.25">
      <c r="A1129" s="5"/>
      <c r="B1129" s="5"/>
      <c r="C1129" s="5"/>
      <c r="D1129" s="5"/>
      <c r="E1129" s="5"/>
      <c r="F1129" s="5"/>
      <c r="G1129" s="5"/>
      <c r="H1129" s="5" t="s">
        <v>596</v>
      </c>
      <c r="I1129" s="6">
        <v>44917</v>
      </c>
      <c r="J1129" s="5"/>
      <c r="K1129" s="5" t="s">
        <v>742</v>
      </c>
      <c r="L1129" s="5"/>
      <c r="M1129" s="5"/>
      <c r="N1129" s="7"/>
      <c r="O1129" s="5" t="s">
        <v>554</v>
      </c>
      <c r="P1129" s="8">
        <v>224.25</v>
      </c>
      <c r="Q1129" s="8">
        <f t="shared" si="25"/>
        <v>153733.64000000001</v>
      </c>
    </row>
    <row r="1130" spans="1:17" x14ac:dyDescent="0.25">
      <c r="A1130" s="5"/>
      <c r="B1130" s="5"/>
      <c r="C1130" s="5"/>
      <c r="D1130" s="5"/>
      <c r="E1130" s="5"/>
      <c r="F1130" s="5"/>
      <c r="G1130" s="5"/>
      <c r="H1130" s="5" t="s">
        <v>596</v>
      </c>
      <c r="I1130" s="6">
        <v>44917</v>
      </c>
      <c r="J1130" s="5"/>
      <c r="K1130" s="5" t="s">
        <v>742</v>
      </c>
      <c r="L1130" s="5"/>
      <c r="M1130" s="5"/>
      <c r="N1130" s="7"/>
      <c r="O1130" s="5" t="s">
        <v>554</v>
      </c>
      <c r="P1130" s="8">
        <v>5.1100000000000003</v>
      </c>
      <c r="Q1130" s="8">
        <f t="shared" si="25"/>
        <v>153738.75</v>
      </c>
    </row>
    <row r="1131" spans="1:17" x14ac:dyDescent="0.25">
      <c r="A1131" s="5"/>
      <c r="B1131" s="5"/>
      <c r="C1131" s="5"/>
      <c r="D1131" s="5"/>
      <c r="E1131" s="5"/>
      <c r="F1131" s="5"/>
      <c r="G1131" s="5"/>
      <c r="H1131" s="5" t="s">
        <v>596</v>
      </c>
      <c r="I1131" s="6">
        <v>44917</v>
      </c>
      <c r="J1131" s="5"/>
      <c r="K1131" s="5" t="s">
        <v>742</v>
      </c>
      <c r="L1131" s="5"/>
      <c r="M1131" s="5"/>
      <c r="N1131" s="7"/>
      <c r="O1131" s="5" t="s">
        <v>554</v>
      </c>
      <c r="P1131" s="8">
        <v>4.96</v>
      </c>
      <c r="Q1131" s="8">
        <f t="shared" si="25"/>
        <v>153743.71</v>
      </c>
    </row>
    <row r="1132" spans="1:17" x14ac:dyDescent="0.25">
      <c r="A1132" s="5"/>
      <c r="B1132" s="5"/>
      <c r="C1132" s="5"/>
      <c r="D1132" s="5"/>
      <c r="E1132" s="5"/>
      <c r="F1132" s="5"/>
      <c r="G1132" s="5"/>
      <c r="H1132" s="5" t="s">
        <v>596</v>
      </c>
      <c r="I1132" s="6">
        <v>44917</v>
      </c>
      <c r="J1132" s="5"/>
      <c r="K1132" s="5" t="s">
        <v>742</v>
      </c>
      <c r="L1132" s="5"/>
      <c r="M1132" s="5"/>
      <c r="N1132" s="7"/>
      <c r="O1132" s="5" t="s">
        <v>554</v>
      </c>
      <c r="P1132" s="8">
        <v>8.9700000000000006</v>
      </c>
      <c r="Q1132" s="8">
        <f t="shared" si="25"/>
        <v>153752.68</v>
      </c>
    </row>
    <row r="1133" spans="1:17" x14ac:dyDescent="0.25">
      <c r="A1133" s="5"/>
      <c r="B1133" s="5"/>
      <c r="C1133" s="5"/>
      <c r="D1133" s="5"/>
      <c r="E1133" s="5"/>
      <c r="F1133" s="5"/>
      <c r="G1133" s="5"/>
      <c r="H1133" s="5" t="s">
        <v>596</v>
      </c>
      <c r="I1133" s="6">
        <v>44917</v>
      </c>
      <c r="J1133" s="5"/>
      <c r="K1133" s="5" t="s">
        <v>741</v>
      </c>
      <c r="L1133" s="5"/>
      <c r="M1133" s="5"/>
      <c r="N1133" s="7"/>
      <c r="O1133" s="5" t="s">
        <v>554</v>
      </c>
      <c r="P1133" s="8">
        <v>1750.68</v>
      </c>
      <c r="Q1133" s="8">
        <f t="shared" si="25"/>
        <v>155503.35999999999</v>
      </c>
    </row>
    <row r="1134" spans="1:17" x14ac:dyDescent="0.25">
      <c r="A1134" s="5"/>
      <c r="B1134" s="5"/>
      <c r="C1134" s="5"/>
      <c r="D1134" s="5"/>
      <c r="E1134" s="5"/>
      <c r="F1134" s="5"/>
      <c r="G1134" s="5"/>
      <c r="H1134" s="5" t="s">
        <v>596</v>
      </c>
      <c r="I1134" s="6">
        <v>44917</v>
      </c>
      <c r="J1134" s="5"/>
      <c r="K1134" s="5" t="s">
        <v>741</v>
      </c>
      <c r="L1134" s="5"/>
      <c r="M1134" s="5"/>
      <c r="N1134" s="7"/>
      <c r="O1134" s="5" t="s">
        <v>554</v>
      </c>
      <c r="P1134" s="8">
        <v>92.12</v>
      </c>
      <c r="Q1134" s="8">
        <f t="shared" si="25"/>
        <v>155595.48000000001</v>
      </c>
    </row>
    <row r="1135" spans="1:17" x14ac:dyDescent="0.25">
      <c r="A1135" s="5"/>
      <c r="B1135" s="5"/>
      <c r="C1135" s="5"/>
      <c r="D1135" s="5"/>
      <c r="E1135" s="5"/>
      <c r="F1135" s="5"/>
      <c r="G1135" s="5"/>
      <c r="H1135" s="5" t="s">
        <v>596</v>
      </c>
      <c r="I1135" s="6">
        <v>44917</v>
      </c>
      <c r="J1135" s="5"/>
      <c r="K1135" s="5" t="s">
        <v>741</v>
      </c>
      <c r="L1135" s="5"/>
      <c r="M1135" s="5"/>
      <c r="N1135" s="7"/>
      <c r="O1135" s="5" t="s">
        <v>554</v>
      </c>
      <c r="P1135" s="8">
        <v>38.72</v>
      </c>
      <c r="Q1135" s="8">
        <f t="shared" si="25"/>
        <v>155634.20000000001</v>
      </c>
    </row>
    <row r="1136" spans="1:17" ht="15.75" thickBot="1" x14ac:dyDescent="0.3">
      <c r="A1136" s="5"/>
      <c r="B1136" s="5"/>
      <c r="C1136" s="5"/>
      <c r="D1136" s="5"/>
      <c r="E1136" s="5"/>
      <c r="F1136" s="5"/>
      <c r="G1136" s="5"/>
      <c r="H1136" s="5" t="s">
        <v>596</v>
      </c>
      <c r="I1136" s="6">
        <v>44917</v>
      </c>
      <c r="J1136" s="5"/>
      <c r="K1136" s="5" t="s">
        <v>741</v>
      </c>
      <c r="L1136" s="5"/>
      <c r="M1136" s="5"/>
      <c r="N1136" s="7"/>
      <c r="O1136" s="5" t="s">
        <v>554</v>
      </c>
      <c r="P1136" s="9">
        <v>70.03</v>
      </c>
      <c r="Q1136" s="9">
        <f t="shared" si="25"/>
        <v>155704.23000000001</v>
      </c>
    </row>
    <row r="1137" spans="1:17" x14ac:dyDescent="0.25">
      <c r="A1137" s="5"/>
      <c r="B1137" s="5"/>
      <c r="C1137" s="5"/>
      <c r="D1137" s="5"/>
      <c r="E1137" s="5" t="s">
        <v>765</v>
      </c>
      <c r="F1137" s="5"/>
      <c r="G1137" s="5"/>
      <c r="H1137" s="5"/>
      <c r="I1137" s="6"/>
      <c r="J1137" s="5"/>
      <c r="K1137" s="5"/>
      <c r="L1137" s="5"/>
      <c r="M1137" s="5"/>
      <c r="N1137" s="5"/>
      <c r="O1137" s="5"/>
      <c r="P1137" s="8">
        <f>ROUND(SUM(P696:P1136),5)</f>
        <v>155704.23000000001</v>
      </c>
      <c r="Q1137" s="8">
        <f>Q1136</f>
        <v>155704.23000000001</v>
      </c>
    </row>
    <row r="1138" spans="1:17" x14ac:dyDescent="0.25">
      <c r="A1138" s="2"/>
      <c r="B1138" s="2"/>
      <c r="C1138" s="2"/>
      <c r="D1138" s="2"/>
      <c r="E1138" s="2" t="s">
        <v>766</v>
      </c>
      <c r="F1138" s="2"/>
      <c r="G1138" s="2"/>
      <c r="H1138" s="2"/>
      <c r="I1138" s="3"/>
      <c r="J1138" s="2"/>
      <c r="K1138" s="2"/>
      <c r="L1138" s="2"/>
      <c r="M1138" s="2"/>
      <c r="N1138" s="2"/>
      <c r="O1138" s="2"/>
      <c r="P1138" s="4"/>
      <c r="Q1138" s="4"/>
    </row>
    <row r="1139" spans="1:17" x14ac:dyDescent="0.25">
      <c r="A1139" s="5"/>
      <c r="B1139" s="5"/>
      <c r="C1139" s="5"/>
      <c r="D1139" s="5"/>
      <c r="E1139" s="5"/>
      <c r="F1139" s="5"/>
      <c r="G1139" s="5"/>
      <c r="H1139" s="5" t="s">
        <v>28</v>
      </c>
      <c r="I1139" s="6">
        <v>44878</v>
      </c>
      <c r="J1139" s="5"/>
      <c r="K1139" s="5" t="s">
        <v>813</v>
      </c>
      <c r="L1139" s="5"/>
      <c r="M1139" s="5"/>
      <c r="N1139" s="7"/>
      <c r="O1139" s="5" t="s">
        <v>554</v>
      </c>
      <c r="P1139" s="8">
        <v>8000</v>
      </c>
      <c r="Q1139" s="8">
        <f>ROUND(Q1138+P1139,5)</f>
        <v>8000</v>
      </c>
    </row>
    <row r="1140" spans="1:17" ht="15.75" thickBot="1" x14ac:dyDescent="0.3">
      <c r="A1140" s="5"/>
      <c r="B1140" s="5"/>
      <c r="C1140" s="5"/>
      <c r="D1140" s="5"/>
      <c r="E1140" s="5"/>
      <c r="F1140" s="5"/>
      <c r="G1140" s="5"/>
      <c r="H1140" s="5" t="s">
        <v>28</v>
      </c>
      <c r="I1140" s="6">
        <v>44908</v>
      </c>
      <c r="J1140" s="5"/>
      <c r="K1140" s="5" t="s">
        <v>813</v>
      </c>
      <c r="L1140" s="5"/>
      <c r="M1140" s="5"/>
      <c r="N1140" s="7"/>
      <c r="O1140" s="5" t="s">
        <v>554</v>
      </c>
      <c r="P1140" s="9">
        <v>8000</v>
      </c>
      <c r="Q1140" s="9">
        <f>ROUND(Q1139+P1140,5)</f>
        <v>16000</v>
      </c>
    </row>
    <row r="1141" spans="1:17" x14ac:dyDescent="0.25">
      <c r="A1141" s="5"/>
      <c r="B1141" s="5"/>
      <c r="C1141" s="5"/>
      <c r="D1141" s="5"/>
      <c r="E1141" s="5" t="s">
        <v>767</v>
      </c>
      <c r="F1141" s="5"/>
      <c r="G1141" s="5"/>
      <c r="H1141" s="5"/>
      <c r="I1141" s="6"/>
      <c r="J1141" s="5"/>
      <c r="K1141" s="5"/>
      <c r="L1141" s="5"/>
      <c r="M1141" s="5"/>
      <c r="N1141" s="5"/>
      <c r="O1141" s="5"/>
      <c r="P1141" s="8">
        <f>ROUND(SUM(P1138:P1140),5)</f>
        <v>16000</v>
      </c>
      <c r="Q1141" s="8">
        <f>Q1140</f>
        <v>16000</v>
      </c>
    </row>
    <row r="1142" spans="1:17" x14ac:dyDescent="0.25">
      <c r="A1142" s="2"/>
      <c r="B1142" s="2"/>
      <c r="C1142" s="2"/>
      <c r="D1142" s="2"/>
      <c r="E1142" s="2" t="s">
        <v>768</v>
      </c>
      <c r="F1142" s="2"/>
      <c r="G1142" s="2"/>
      <c r="H1142" s="2"/>
      <c r="I1142" s="3"/>
      <c r="J1142" s="2"/>
      <c r="K1142" s="2"/>
      <c r="L1142" s="2"/>
      <c r="M1142" s="2"/>
      <c r="N1142" s="2"/>
      <c r="O1142" s="2"/>
      <c r="P1142" s="4"/>
      <c r="Q1142" s="4"/>
    </row>
    <row r="1143" spans="1:17" x14ac:dyDescent="0.25">
      <c r="A1143" s="5"/>
      <c r="B1143" s="5"/>
      <c r="C1143" s="5"/>
      <c r="D1143" s="5"/>
      <c r="E1143" s="5"/>
      <c r="F1143" s="5"/>
      <c r="G1143" s="5"/>
      <c r="H1143" s="5" t="s">
        <v>25</v>
      </c>
      <c r="I1143" s="6">
        <v>44733</v>
      </c>
      <c r="J1143" s="5" t="s">
        <v>606</v>
      </c>
      <c r="K1143" s="5" t="s">
        <v>711</v>
      </c>
      <c r="L1143" s="5" t="s">
        <v>821</v>
      </c>
      <c r="M1143" s="5"/>
      <c r="N1143" s="7"/>
      <c r="O1143" s="5" t="s">
        <v>556</v>
      </c>
      <c r="P1143" s="8">
        <v>9843.77</v>
      </c>
      <c r="Q1143" s="8">
        <f>ROUND(Q1142+P1143,5)</f>
        <v>9843.77</v>
      </c>
    </row>
    <row r="1144" spans="1:17" x14ac:dyDescent="0.25">
      <c r="A1144" s="5"/>
      <c r="B1144" s="5"/>
      <c r="C1144" s="5"/>
      <c r="D1144" s="5"/>
      <c r="E1144" s="5"/>
      <c r="F1144" s="5"/>
      <c r="G1144" s="5"/>
      <c r="H1144" s="5" t="s">
        <v>27</v>
      </c>
      <c r="I1144" s="6">
        <v>44741</v>
      </c>
      <c r="J1144" s="5"/>
      <c r="K1144" s="5" t="s">
        <v>814</v>
      </c>
      <c r="L1144" s="5"/>
      <c r="M1144" s="5"/>
      <c r="N1144" s="7"/>
      <c r="O1144" s="5" t="s">
        <v>556</v>
      </c>
      <c r="P1144" s="8">
        <v>6831.65</v>
      </c>
      <c r="Q1144" s="8">
        <f>ROUND(Q1143+P1144,5)</f>
        <v>16675.419999999998</v>
      </c>
    </row>
    <row r="1145" spans="1:17" ht="15.75" thickBot="1" x14ac:dyDescent="0.3">
      <c r="A1145" s="5"/>
      <c r="B1145" s="5"/>
      <c r="C1145" s="5"/>
      <c r="D1145" s="5"/>
      <c r="E1145" s="5"/>
      <c r="F1145" s="5"/>
      <c r="G1145" s="5"/>
      <c r="H1145" s="5" t="s">
        <v>27</v>
      </c>
      <c r="I1145" s="6">
        <v>44777</v>
      </c>
      <c r="J1145" s="5"/>
      <c r="K1145" s="5" t="s">
        <v>814</v>
      </c>
      <c r="L1145" s="5"/>
      <c r="M1145" s="5"/>
      <c r="N1145" s="7"/>
      <c r="O1145" s="5" t="s">
        <v>556</v>
      </c>
      <c r="P1145" s="9">
        <v>1750</v>
      </c>
      <c r="Q1145" s="9">
        <f>ROUND(Q1144+P1145,5)</f>
        <v>18425.419999999998</v>
      </c>
    </row>
    <row r="1146" spans="1:17" x14ac:dyDescent="0.25">
      <c r="A1146" s="5"/>
      <c r="B1146" s="5"/>
      <c r="C1146" s="5"/>
      <c r="D1146" s="5"/>
      <c r="E1146" s="5" t="s">
        <v>769</v>
      </c>
      <c r="F1146" s="5"/>
      <c r="G1146" s="5"/>
      <c r="H1146" s="5"/>
      <c r="I1146" s="6"/>
      <c r="J1146" s="5"/>
      <c r="K1146" s="5"/>
      <c r="L1146" s="5"/>
      <c r="M1146" s="5"/>
      <c r="N1146" s="5"/>
      <c r="O1146" s="5"/>
      <c r="P1146" s="8">
        <f>ROUND(SUM(P1142:P1145),5)</f>
        <v>18425.419999999998</v>
      </c>
      <c r="Q1146" s="8">
        <f>Q1145</f>
        <v>18425.419999999998</v>
      </c>
    </row>
    <row r="1147" spans="1:17" x14ac:dyDescent="0.25">
      <c r="A1147" s="2"/>
      <c r="B1147" s="2"/>
      <c r="C1147" s="2"/>
      <c r="D1147" s="2"/>
      <c r="E1147" s="2" t="s">
        <v>770</v>
      </c>
      <c r="F1147" s="2"/>
      <c r="G1147" s="2"/>
      <c r="H1147" s="2"/>
      <c r="I1147" s="3"/>
      <c r="J1147" s="2"/>
      <c r="K1147" s="2"/>
      <c r="L1147" s="2"/>
      <c r="M1147" s="2"/>
      <c r="N1147" s="2"/>
      <c r="O1147" s="2"/>
      <c r="P1147" s="4"/>
      <c r="Q1147" s="4"/>
    </row>
    <row r="1148" spans="1:17" x14ac:dyDescent="0.25">
      <c r="A1148" s="5"/>
      <c r="B1148" s="5"/>
      <c r="C1148" s="5"/>
      <c r="D1148" s="5"/>
      <c r="E1148" s="5"/>
      <c r="F1148" s="5"/>
      <c r="G1148" s="5"/>
      <c r="H1148" s="5" t="s">
        <v>28</v>
      </c>
      <c r="I1148" s="6">
        <v>44652</v>
      </c>
      <c r="J1148" s="5" t="s">
        <v>805</v>
      </c>
      <c r="K1148" s="5" t="s">
        <v>815</v>
      </c>
      <c r="L1148" s="5"/>
      <c r="M1148" s="5"/>
      <c r="N1148" s="7"/>
      <c r="O1148" s="5" t="s">
        <v>554</v>
      </c>
      <c r="P1148" s="8">
        <v>3318.58</v>
      </c>
      <c r="Q1148" s="8">
        <f t="shared" ref="Q1148:Q1156" si="26">ROUND(Q1147+P1148,5)</f>
        <v>3318.58</v>
      </c>
    </row>
    <row r="1149" spans="1:17" x14ac:dyDescent="0.25">
      <c r="A1149" s="5"/>
      <c r="B1149" s="5"/>
      <c r="C1149" s="5"/>
      <c r="D1149" s="5"/>
      <c r="E1149" s="5"/>
      <c r="F1149" s="5"/>
      <c r="G1149" s="5"/>
      <c r="H1149" s="5" t="s">
        <v>28</v>
      </c>
      <c r="I1149" s="6">
        <v>44682</v>
      </c>
      <c r="J1149" s="5" t="s">
        <v>806</v>
      </c>
      <c r="K1149" s="5" t="s">
        <v>815</v>
      </c>
      <c r="L1149" s="5"/>
      <c r="M1149" s="5"/>
      <c r="N1149" s="7"/>
      <c r="O1149" s="5" t="s">
        <v>554</v>
      </c>
      <c r="P1149" s="8">
        <v>3318.58</v>
      </c>
      <c r="Q1149" s="8">
        <f t="shared" si="26"/>
        <v>6637.16</v>
      </c>
    </row>
    <row r="1150" spans="1:17" x14ac:dyDescent="0.25">
      <c r="A1150" s="5"/>
      <c r="B1150" s="5"/>
      <c r="C1150" s="5"/>
      <c r="D1150" s="5"/>
      <c r="E1150" s="5"/>
      <c r="F1150" s="5"/>
      <c r="G1150" s="5"/>
      <c r="H1150" s="5" t="s">
        <v>28</v>
      </c>
      <c r="I1150" s="6">
        <v>44713</v>
      </c>
      <c r="J1150" s="5" t="s">
        <v>807</v>
      </c>
      <c r="K1150" s="5" t="s">
        <v>815</v>
      </c>
      <c r="L1150" s="5"/>
      <c r="M1150" s="5"/>
      <c r="N1150" s="7"/>
      <c r="O1150" s="5" t="s">
        <v>554</v>
      </c>
      <c r="P1150" s="8">
        <v>3318.58</v>
      </c>
      <c r="Q1150" s="8">
        <f t="shared" si="26"/>
        <v>9955.74</v>
      </c>
    </row>
    <row r="1151" spans="1:17" x14ac:dyDescent="0.25">
      <c r="A1151" s="5"/>
      <c r="B1151" s="5"/>
      <c r="C1151" s="5"/>
      <c r="D1151" s="5"/>
      <c r="E1151" s="5"/>
      <c r="F1151" s="5"/>
      <c r="G1151" s="5"/>
      <c r="H1151" s="5" t="s">
        <v>28</v>
      </c>
      <c r="I1151" s="6">
        <v>44743</v>
      </c>
      <c r="J1151" s="5" t="s">
        <v>808</v>
      </c>
      <c r="K1151" s="5" t="s">
        <v>815</v>
      </c>
      <c r="L1151" s="5"/>
      <c r="M1151" s="5"/>
      <c r="N1151" s="7"/>
      <c r="O1151" s="5" t="s">
        <v>554</v>
      </c>
      <c r="P1151" s="8">
        <v>3318.58</v>
      </c>
      <c r="Q1151" s="8">
        <f t="shared" si="26"/>
        <v>13274.32</v>
      </c>
    </row>
    <row r="1152" spans="1:17" x14ac:dyDescent="0.25">
      <c r="A1152" s="5"/>
      <c r="B1152" s="5"/>
      <c r="C1152" s="5"/>
      <c r="D1152" s="5"/>
      <c r="E1152" s="5"/>
      <c r="F1152" s="5"/>
      <c r="G1152" s="5"/>
      <c r="H1152" s="5" t="s">
        <v>28</v>
      </c>
      <c r="I1152" s="6">
        <v>44774</v>
      </c>
      <c r="J1152" s="5" t="s">
        <v>809</v>
      </c>
      <c r="K1152" s="5" t="s">
        <v>815</v>
      </c>
      <c r="L1152" s="5"/>
      <c r="M1152" s="5"/>
      <c r="N1152" s="7"/>
      <c r="O1152" s="5" t="s">
        <v>554</v>
      </c>
      <c r="P1152" s="8">
        <v>3318.58</v>
      </c>
      <c r="Q1152" s="8">
        <f t="shared" si="26"/>
        <v>16592.900000000001</v>
      </c>
    </row>
    <row r="1153" spans="1:17" x14ac:dyDescent="0.25">
      <c r="A1153" s="5"/>
      <c r="B1153" s="5"/>
      <c r="C1153" s="5"/>
      <c r="D1153" s="5"/>
      <c r="E1153" s="5"/>
      <c r="F1153" s="5"/>
      <c r="G1153" s="5"/>
      <c r="H1153" s="5" t="s">
        <v>28</v>
      </c>
      <c r="I1153" s="6">
        <v>44805</v>
      </c>
      <c r="J1153" s="5" t="s">
        <v>810</v>
      </c>
      <c r="K1153" s="5" t="s">
        <v>815</v>
      </c>
      <c r="L1153" s="5"/>
      <c r="M1153" s="5"/>
      <c r="N1153" s="7"/>
      <c r="O1153" s="5" t="s">
        <v>554</v>
      </c>
      <c r="P1153" s="8">
        <v>3318.58</v>
      </c>
      <c r="Q1153" s="8">
        <f t="shared" si="26"/>
        <v>19911.48</v>
      </c>
    </row>
    <row r="1154" spans="1:17" x14ac:dyDescent="0.25">
      <c r="A1154" s="5"/>
      <c r="B1154" s="5"/>
      <c r="C1154" s="5"/>
      <c r="D1154" s="5"/>
      <c r="E1154" s="5"/>
      <c r="F1154" s="5"/>
      <c r="G1154" s="5"/>
      <c r="H1154" s="5" t="s">
        <v>28</v>
      </c>
      <c r="I1154" s="6">
        <v>44835</v>
      </c>
      <c r="J1154" s="5"/>
      <c r="K1154" s="5" t="s">
        <v>815</v>
      </c>
      <c r="L1154" s="5"/>
      <c r="M1154" s="5"/>
      <c r="N1154" s="7"/>
      <c r="O1154" s="5" t="s">
        <v>554</v>
      </c>
      <c r="P1154" s="8">
        <v>3318.58</v>
      </c>
      <c r="Q1154" s="8">
        <f t="shared" si="26"/>
        <v>23230.06</v>
      </c>
    </row>
    <row r="1155" spans="1:17" x14ac:dyDescent="0.25">
      <c r="A1155" s="5"/>
      <c r="B1155" s="5"/>
      <c r="C1155" s="5"/>
      <c r="D1155" s="5"/>
      <c r="E1155" s="5"/>
      <c r="F1155" s="5"/>
      <c r="G1155" s="5"/>
      <c r="H1155" s="5" t="s">
        <v>28</v>
      </c>
      <c r="I1155" s="6">
        <v>44866</v>
      </c>
      <c r="J1155" s="5" t="s">
        <v>811</v>
      </c>
      <c r="K1155" s="5" t="s">
        <v>815</v>
      </c>
      <c r="L1155" s="5"/>
      <c r="M1155" s="5"/>
      <c r="N1155" s="7"/>
      <c r="O1155" s="5" t="s">
        <v>554</v>
      </c>
      <c r="P1155" s="8">
        <v>3318.58</v>
      </c>
      <c r="Q1155" s="8">
        <f t="shared" si="26"/>
        <v>26548.639999999999</v>
      </c>
    </row>
    <row r="1156" spans="1:17" ht="15.75" thickBot="1" x14ac:dyDescent="0.3">
      <c r="A1156" s="5"/>
      <c r="B1156" s="5"/>
      <c r="C1156" s="5"/>
      <c r="D1156" s="5"/>
      <c r="E1156" s="5"/>
      <c r="F1156" s="5"/>
      <c r="G1156" s="5"/>
      <c r="H1156" s="5" t="s">
        <v>28</v>
      </c>
      <c r="I1156" s="6">
        <v>44896</v>
      </c>
      <c r="J1156" s="5" t="s">
        <v>812</v>
      </c>
      <c r="K1156" s="5" t="s">
        <v>815</v>
      </c>
      <c r="L1156" s="5"/>
      <c r="M1156" s="5"/>
      <c r="N1156" s="7"/>
      <c r="O1156" s="5" t="s">
        <v>554</v>
      </c>
      <c r="P1156" s="9">
        <v>3318.58</v>
      </c>
      <c r="Q1156" s="9">
        <f t="shared" si="26"/>
        <v>29867.22</v>
      </c>
    </row>
    <row r="1157" spans="1:17" x14ac:dyDescent="0.25">
      <c r="A1157" s="5"/>
      <c r="B1157" s="5"/>
      <c r="C1157" s="5"/>
      <c r="D1157" s="5"/>
      <c r="E1157" s="5" t="s">
        <v>771</v>
      </c>
      <c r="F1157" s="5"/>
      <c r="G1157" s="5"/>
      <c r="H1157" s="5"/>
      <c r="I1157" s="6"/>
      <c r="J1157" s="5"/>
      <c r="K1157" s="5"/>
      <c r="L1157" s="5"/>
      <c r="M1157" s="5"/>
      <c r="N1157" s="5"/>
      <c r="O1157" s="5"/>
      <c r="P1157" s="8">
        <f>ROUND(SUM(P1147:P1156),5)</f>
        <v>29867.22</v>
      </c>
      <c r="Q1157" s="8">
        <f>Q1156</f>
        <v>29867.22</v>
      </c>
    </row>
    <row r="1158" spans="1:17" x14ac:dyDescent="0.25">
      <c r="A1158" s="2"/>
      <c r="B1158" s="2"/>
      <c r="C1158" s="2"/>
      <c r="D1158" s="2"/>
      <c r="E1158" s="2" t="s">
        <v>772</v>
      </c>
      <c r="F1158" s="2"/>
      <c r="G1158" s="2"/>
      <c r="H1158" s="2"/>
      <c r="I1158" s="3"/>
      <c r="J1158" s="2"/>
      <c r="K1158" s="2"/>
      <c r="L1158" s="2"/>
      <c r="M1158" s="2"/>
      <c r="N1158" s="2"/>
      <c r="O1158" s="2"/>
      <c r="P1158" s="4"/>
      <c r="Q1158" s="4"/>
    </row>
    <row r="1159" spans="1:17" x14ac:dyDescent="0.25">
      <c r="A1159" s="5"/>
      <c r="B1159" s="5"/>
      <c r="C1159" s="5"/>
      <c r="D1159" s="5"/>
      <c r="E1159" s="5"/>
      <c r="F1159" s="5"/>
      <c r="G1159" s="5"/>
      <c r="H1159" s="5" t="s">
        <v>26</v>
      </c>
      <c r="I1159" s="6">
        <v>44705</v>
      </c>
      <c r="J1159" s="5"/>
      <c r="K1159" s="5" t="s">
        <v>816</v>
      </c>
      <c r="L1159" s="5"/>
      <c r="M1159" s="5"/>
      <c r="N1159" s="7"/>
      <c r="O1159" s="5" t="s">
        <v>555</v>
      </c>
      <c r="P1159" s="8">
        <v>921.86</v>
      </c>
      <c r="Q1159" s="8">
        <f>ROUND(Q1158+P1159,5)</f>
        <v>921.86</v>
      </c>
    </row>
    <row r="1160" spans="1:17" x14ac:dyDescent="0.25">
      <c r="A1160" s="5"/>
      <c r="B1160" s="5"/>
      <c r="C1160" s="5"/>
      <c r="D1160" s="5"/>
      <c r="E1160" s="5"/>
      <c r="F1160" s="5"/>
      <c r="G1160" s="5"/>
      <c r="H1160" s="5" t="s">
        <v>27</v>
      </c>
      <c r="I1160" s="6">
        <v>44833</v>
      </c>
      <c r="J1160" s="5"/>
      <c r="K1160" s="5" t="s">
        <v>447</v>
      </c>
      <c r="L1160" s="5"/>
      <c r="M1160" s="5"/>
      <c r="N1160" s="7"/>
      <c r="O1160" s="5" t="s">
        <v>556</v>
      </c>
      <c r="P1160" s="8">
        <v>4163.8900000000003</v>
      </c>
      <c r="Q1160" s="8">
        <f>ROUND(Q1159+P1160,5)</f>
        <v>5085.75</v>
      </c>
    </row>
    <row r="1161" spans="1:17" ht="15.75" thickBot="1" x14ac:dyDescent="0.3">
      <c r="A1161" s="5"/>
      <c r="B1161" s="5"/>
      <c r="C1161" s="5"/>
      <c r="D1161" s="5"/>
      <c r="E1161" s="5"/>
      <c r="F1161" s="5"/>
      <c r="G1161" s="5"/>
      <c r="H1161" s="5" t="s">
        <v>27</v>
      </c>
      <c r="I1161" s="6">
        <v>44903</v>
      </c>
      <c r="J1161" s="5"/>
      <c r="K1161" s="5" t="s">
        <v>816</v>
      </c>
      <c r="L1161" s="5" t="s">
        <v>822</v>
      </c>
      <c r="M1161" s="5"/>
      <c r="N1161" s="7"/>
      <c r="O1161" s="5" t="s">
        <v>556</v>
      </c>
      <c r="P1161" s="9">
        <v>395</v>
      </c>
      <c r="Q1161" s="9">
        <f>ROUND(Q1160+P1161,5)</f>
        <v>5480.75</v>
      </c>
    </row>
    <row r="1162" spans="1:17" x14ac:dyDescent="0.25">
      <c r="A1162" s="5"/>
      <c r="B1162" s="5"/>
      <c r="C1162" s="5"/>
      <c r="D1162" s="5"/>
      <c r="E1162" s="5" t="s">
        <v>773</v>
      </c>
      <c r="F1162" s="5"/>
      <c r="G1162" s="5"/>
      <c r="H1162" s="5"/>
      <c r="I1162" s="6"/>
      <c r="J1162" s="5"/>
      <c r="K1162" s="5"/>
      <c r="L1162" s="5"/>
      <c r="M1162" s="5"/>
      <c r="N1162" s="5"/>
      <c r="O1162" s="5"/>
      <c r="P1162" s="8">
        <f>ROUND(SUM(P1158:P1161),5)</f>
        <v>5480.75</v>
      </c>
      <c r="Q1162" s="8">
        <f>Q1161</f>
        <v>5480.75</v>
      </c>
    </row>
    <row r="1163" spans="1:17" x14ac:dyDescent="0.25">
      <c r="A1163" s="2"/>
      <c r="B1163" s="2"/>
      <c r="C1163" s="2"/>
      <c r="D1163" s="2"/>
      <c r="E1163" s="2" t="s">
        <v>774</v>
      </c>
      <c r="F1163" s="2"/>
      <c r="G1163" s="2"/>
      <c r="H1163" s="2"/>
      <c r="I1163" s="3"/>
      <c r="J1163" s="2"/>
      <c r="K1163" s="2"/>
      <c r="L1163" s="2"/>
      <c r="M1163" s="2"/>
      <c r="N1163" s="2"/>
      <c r="O1163" s="2"/>
      <c r="P1163" s="4"/>
      <c r="Q1163" s="4"/>
    </row>
    <row r="1164" spans="1:17" x14ac:dyDescent="0.25">
      <c r="A1164" s="5"/>
      <c r="B1164" s="5"/>
      <c r="C1164" s="5"/>
      <c r="D1164" s="5"/>
      <c r="E1164" s="5"/>
      <c r="F1164" s="5"/>
      <c r="G1164" s="5"/>
      <c r="H1164" s="5" t="s">
        <v>28</v>
      </c>
      <c r="I1164" s="6">
        <v>44670</v>
      </c>
      <c r="J1164" s="5" t="s">
        <v>623</v>
      </c>
      <c r="K1164" s="5" t="s">
        <v>724</v>
      </c>
      <c r="L1164" s="5"/>
      <c r="M1164" s="5"/>
      <c r="N1164" s="7"/>
      <c r="O1164" s="5" t="s">
        <v>554</v>
      </c>
      <c r="P1164" s="8">
        <v>48.67</v>
      </c>
      <c r="Q1164" s="8">
        <f>ROUND(Q1163+P1164,5)</f>
        <v>48.67</v>
      </c>
    </row>
    <row r="1165" spans="1:17" x14ac:dyDescent="0.25">
      <c r="A1165" s="5"/>
      <c r="B1165" s="5"/>
      <c r="C1165" s="5"/>
      <c r="D1165" s="5"/>
      <c r="E1165" s="5"/>
      <c r="F1165" s="5"/>
      <c r="G1165" s="5"/>
      <c r="H1165" s="5" t="s">
        <v>28</v>
      </c>
      <c r="I1165" s="6">
        <v>44672</v>
      </c>
      <c r="J1165" s="5"/>
      <c r="K1165" s="5" t="s">
        <v>817</v>
      </c>
      <c r="L1165" s="5"/>
      <c r="M1165" s="5"/>
      <c r="N1165" s="7"/>
      <c r="O1165" s="5" t="s">
        <v>554</v>
      </c>
      <c r="P1165" s="8">
        <v>177.2</v>
      </c>
      <c r="Q1165" s="8">
        <f>ROUND(Q1164+P1165,5)</f>
        <v>225.87</v>
      </c>
    </row>
    <row r="1166" spans="1:17" x14ac:dyDescent="0.25">
      <c r="A1166" s="5"/>
      <c r="B1166" s="5"/>
      <c r="C1166" s="5"/>
      <c r="D1166" s="5"/>
      <c r="E1166" s="5"/>
      <c r="F1166" s="5"/>
      <c r="G1166" s="5"/>
      <c r="H1166" s="5" t="s">
        <v>27</v>
      </c>
      <c r="I1166" s="6">
        <v>44786</v>
      </c>
      <c r="J1166" s="5"/>
      <c r="K1166" s="5" t="s">
        <v>817</v>
      </c>
      <c r="L1166" s="5"/>
      <c r="M1166" s="5"/>
      <c r="N1166" s="7"/>
      <c r="O1166" s="5" t="s">
        <v>556</v>
      </c>
      <c r="P1166" s="8">
        <v>181.51</v>
      </c>
      <c r="Q1166" s="8">
        <f>ROUND(Q1165+P1166,5)</f>
        <v>407.38</v>
      </c>
    </row>
    <row r="1167" spans="1:17" x14ac:dyDescent="0.25">
      <c r="A1167" s="5"/>
      <c r="B1167" s="5"/>
      <c r="C1167" s="5"/>
      <c r="D1167" s="5"/>
      <c r="E1167" s="5"/>
      <c r="F1167" s="5"/>
      <c r="G1167" s="5"/>
      <c r="H1167" s="5" t="s">
        <v>27</v>
      </c>
      <c r="I1167" s="6">
        <v>44833</v>
      </c>
      <c r="J1167" s="5"/>
      <c r="K1167" s="5" t="s">
        <v>447</v>
      </c>
      <c r="L1167" s="5"/>
      <c r="M1167" s="5"/>
      <c r="N1167" s="7"/>
      <c r="O1167" s="5" t="s">
        <v>556</v>
      </c>
      <c r="P1167" s="8">
        <v>945.29</v>
      </c>
      <c r="Q1167" s="8">
        <f>ROUND(Q1166+P1167,5)</f>
        <v>1352.67</v>
      </c>
    </row>
    <row r="1168" spans="1:17" ht="15.75" thickBot="1" x14ac:dyDescent="0.3">
      <c r="A1168" s="5"/>
      <c r="B1168" s="5"/>
      <c r="C1168" s="5"/>
      <c r="D1168" s="5"/>
      <c r="E1168" s="5"/>
      <c r="F1168" s="5"/>
      <c r="G1168" s="5"/>
      <c r="H1168" s="5" t="s">
        <v>27</v>
      </c>
      <c r="I1168" s="6">
        <v>44878</v>
      </c>
      <c r="J1168" s="5"/>
      <c r="K1168" s="5" t="s">
        <v>817</v>
      </c>
      <c r="L1168" s="5"/>
      <c r="M1168" s="5"/>
      <c r="N1168" s="7"/>
      <c r="O1168" s="5" t="s">
        <v>556</v>
      </c>
      <c r="P1168" s="9">
        <v>189.92</v>
      </c>
      <c r="Q1168" s="9">
        <f>ROUND(Q1167+P1168,5)</f>
        <v>1542.59</v>
      </c>
    </row>
    <row r="1169" spans="1:17" x14ac:dyDescent="0.25">
      <c r="A1169" s="5"/>
      <c r="B1169" s="5"/>
      <c r="C1169" s="5"/>
      <c r="D1169" s="5"/>
      <c r="E1169" s="5" t="s">
        <v>775</v>
      </c>
      <c r="F1169" s="5"/>
      <c r="G1169" s="5"/>
      <c r="H1169" s="5"/>
      <c r="I1169" s="6"/>
      <c r="J1169" s="5"/>
      <c r="K1169" s="5"/>
      <c r="L1169" s="5"/>
      <c r="M1169" s="5"/>
      <c r="N1169" s="5"/>
      <c r="O1169" s="5"/>
      <c r="P1169" s="8">
        <f>ROUND(SUM(P1163:P1168),5)</f>
        <v>1542.59</v>
      </c>
      <c r="Q1169" s="8">
        <f>Q1168</f>
        <v>1542.59</v>
      </c>
    </row>
    <row r="1170" spans="1:17" x14ac:dyDescent="0.25">
      <c r="A1170" s="2"/>
      <c r="B1170" s="2"/>
      <c r="C1170" s="2"/>
      <c r="D1170" s="2"/>
      <c r="E1170" s="2" t="s">
        <v>776</v>
      </c>
      <c r="F1170" s="2"/>
      <c r="G1170" s="2"/>
      <c r="H1170" s="2"/>
      <c r="I1170" s="3"/>
      <c r="J1170" s="2"/>
      <c r="K1170" s="2"/>
      <c r="L1170" s="2"/>
      <c r="M1170" s="2"/>
      <c r="N1170" s="2"/>
      <c r="O1170" s="2"/>
      <c r="P1170" s="4"/>
      <c r="Q1170" s="4"/>
    </row>
    <row r="1171" spans="1:17" x14ac:dyDescent="0.25">
      <c r="A1171" s="5"/>
      <c r="B1171" s="5"/>
      <c r="C1171" s="5"/>
      <c r="D1171" s="5"/>
      <c r="E1171" s="5"/>
      <c r="F1171" s="5"/>
      <c r="G1171" s="5"/>
      <c r="H1171" s="5" t="s">
        <v>28</v>
      </c>
      <c r="I1171" s="6">
        <v>44672</v>
      </c>
      <c r="J1171" s="5"/>
      <c r="K1171" s="5" t="s">
        <v>817</v>
      </c>
      <c r="L1171" s="5"/>
      <c r="M1171" s="5"/>
      <c r="N1171" s="7"/>
      <c r="O1171" s="5" t="s">
        <v>554</v>
      </c>
      <c r="P1171" s="8">
        <v>100</v>
      </c>
      <c r="Q1171" s="8">
        <f>ROUND(Q1170+P1171,5)</f>
        <v>100</v>
      </c>
    </row>
    <row r="1172" spans="1:17" x14ac:dyDescent="0.25">
      <c r="A1172" s="5"/>
      <c r="B1172" s="5"/>
      <c r="C1172" s="5"/>
      <c r="D1172" s="5"/>
      <c r="E1172" s="5"/>
      <c r="F1172" s="5"/>
      <c r="G1172" s="5"/>
      <c r="H1172" s="5" t="s">
        <v>27</v>
      </c>
      <c r="I1172" s="6">
        <v>44774</v>
      </c>
      <c r="J1172" s="5"/>
      <c r="K1172" s="5" t="s">
        <v>817</v>
      </c>
      <c r="L1172" s="5"/>
      <c r="M1172" s="5"/>
      <c r="N1172" s="7"/>
      <c r="O1172" s="5" t="s">
        <v>556</v>
      </c>
      <c r="P1172" s="8">
        <v>409</v>
      </c>
      <c r="Q1172" s="8">
        <f>ROUND(Q1171+P1172,5)</f>
        <v>509</v>
      </c>
    </row>
    <row r="1173" spans="1:17" ht="15.75" thickBot="1" x14ac:dyDescent="0.3">
      <c r="A1173" s="5"/>
      <c r="B1173" s="5"/>
      <c r="C1173" s="5"/>
      <c r="D1173" s="5"/>
      <c r="E1173" s="5"/>
      <c r="F1173" s="5"/>
      <c r="G1173" s="5"/>
      <c r="H1173" s="5" t="s">
        <v>27</v>
      </c>
      <c r="I1173" s="6">
        <v>44835</v>
      </c>
      <c r="J1173" s="5"/>
      <c r="K1173" s="5" t="s">
        <v>817</v>
      </c>
      <c r="L1173" s="5"/>
      <c r="M1173" s="5"/>
      <c r="N1173" s="7"/>
      <c r="O1173" s="5" t="s">
        <v>556</v>
      </c>
      <c r="P1173" s="9">
        <v>185.91</v>
      </c>
      <c r="Q1173" s="9">
        <f>ROUND(Q1172+P1173,5)</f>
        <v>694.91</v>
      </c>
    </row>
    <row r="1174" spans="1:17" x14ac:dyDescent="0.25">
      <c r="A1174" s="5"/>
      <c r="B1174" s="5"/>
      <c r="C1174" s="5"/>
      <c r="D1174" s="5"/>
      <c r="E1174" s="5" t="s">
        <v>777</v>
      </c>
      <c r="F1174" s="5"/>
      <c r="G1174" s="5"/>
      <c r="H1174" s="5"/>
      <c r="I1174" s="6"/>
      <c r="J1174" s="5"/>
      <c r="K1174" s="5"/>
      <c r="L1174" s="5"/>
      <c r="M1174" s="5"/>
      <c r="N1174" s="5"/>
      <c r="O1174" s="5"/>
      <c r="P1174" s="8">
        <f>ROUND(SUM(P1170:P1173),5)</f>
        <v>694.91</v>
      </c>
      <c r="Q1174" s="8">
        <f>Q1173</f>
        <v>694.91</v>
      </c>
    </row>
    <row r="1175" spans="1:17" x14ac:dyDescent="0.25">
      <c r="A1175" s="2"/>
      <c r="B1175" s="2"/>
      <c r="C1175" s="2"/>
      <c r="D1175" s="2"/>
      <c r="E1175" s="2" t="s">
        <v>778</v>
      </c>
      <c r="F1175" s="2"/>
      <c r="G1175" s="2"/>
      <c r="H1175" s="2"/>
      <c r="I1175" s="3"/>
      <c r="J1175" s="2"/>
      <c r="K1175" s="2"/>
      <c r="L1175" s="2"/>
      <c r="M1175" s="2"/>
      <c r="N1175" s="2"/>
      <c r="O1175" s="2"/>
      <c r="P1175" s="4"/>
      <c r="Q1175" s="4"/>
    </row>
    <row r="1176" spans="1:17" x14ac:dyDescent="0.25">
      <c r="A1176" s="5"/>
      <c r="B1176" s="5"/>
      <c r="C1176" s="5"/>
      <c r="D1176" s="5"/>
      <c r="E1176" s="5"/>
      <c r="F1176" s="5"/>
      <c r="G1176" s="5"/>
      <c r="H1176" s="5" t="s">
        <v>28</v>
      </c>
      <c r="I1176" s="6">
        <v>44671</v>
      </c>
      <c r="J1176" s="5"/>
      <c r="K1176" s="5" t="s">
        <v>818</v>
      </c>
      <c r="L1176" s="5"/>
      <c r="M1176" s="5"/>
      <c r="N1176" s="7"/>
      <c r="O1176" s="5" t="s">
        <v>554</v>
      </c>
      <c r="P1176" s="8">
        <v>151.88</v>
      </c>
      <c r="Q1176" s="8">
        <f t="shared" ref="Q1176:Q1195" si="27">ROUND(Q1175+P1176,5)</f>
        <v>151.88</v>
      </c>
    </row>
    <row r="1177" spans="1:17" x14ac:dyDescent="0.25">
      <c r="A1177" s="5"/>
      <c r="B1177" s="5"/>
      <c r="C1177" s="5"/>
      <c r="D1177" s="5"/>
      <c r="E1177" s="5"/>
      <c r="F1177" s="5"/>
      <c r="G1177" s="5"/>
      <c r="H1177" s="5" t="s">
        <v>28</v>
      </c>
      <c r="I1177" s="6">
        <v>44680</v>
      </c>
      <c r="J1177" s="5"/>
      <c r="K1177" s="5" t="s">
        <v>819</v>
      </c>
      <c r="L1177" s="5"/>
      <c r="M1177" s="5"/>
      <c r="N1177" s="7"/>
      <c r="O1177" s="5" t="s">
        <v>554</v>
      </c>
      <c r="P1177" s="8">
        <v>238.55</v>
      </c>
      <c r="Q1177" s="8">
        <f t="shared" si="27"/>
        <v>390.43</v>
      </c>
    </row>
    <row r="1178" spans="1:17" x14ac:dyDescent="0.25">
      <c r="A1178" s="5"/>
      <c r="B1178" s="5"/>
      <c r="C1178" s="5"/>
      <c r="D1178" s="5"/>
      <c r="E1178" s="5"/>
      <c r="F1178" s="5"/>
      <c r="G1178" s="5"/>
      <c r="H1178" s="5" t="s">
        <v>27</v>
      </c>
      <c r="I1178" s="6">
        <v>44692</v>
      </c>
      <c r="J1178" s="5"/>
      <c r="K1178" s="5" t="s">
        <v>819</v>
      </c>
      <c r="L1178" s="5"/>
      <c r="M1178" s="5"/>
      <c r="N1178" s="7"/>
      <c r="O1178" s="5" t="s">
        <v>556</v>
      </c>
      <c r="P1178" s="8">
        <v>199.16</v>
      </c>
      <c r="Q1178" s="8">
        <f t="shared" si="27"/>
        <v>589.59</v>
      </c>
    </row>
    <row r="1179" spans="1:17" x14ac:dyDescent="0.25">
      <c r="A1179" s="5"/>
      <c r="B1179" s="5"/>
      <c r="C1179" s="5"/>
      <c r="D1179" s="5"/>
      <c r="E1179" s="5"/>
      <c r="F1179" s="5"/>
      <c r="G1179" s="5"/>
      <c r="H1179" s="5" t="s">
        <v>27</v>
      </c>
      <c r="I1179" s="6">
        <v>44692</v>
      </c>
      <c r="J1179" s="5"/>
      <c r="K1179" s="5" t="s">
        <v>818</v>
      </c>
      <c r="L1179" s="5"/>
      <c r="M1179" s="5"/>
      <c r="N1179" s="7"/>
      <c r="O1179" s="5" t="s">
        <v>556</v>
      </c>
      <c r="P1179" s="8">
        <v>139.12</v>
      </c>
      <c r="Q1179" s="8">
        <f t="shared" si="27"/>
        <v>728.71</v>
      </c>
    </row>
    <row r="1180" spans="1:17" x14ac:dyDescent="0.25">
      <c r="A1180" s="5"/>
      <c r="B1180" s="5"/>
      <c r="C1180" s="5"/>
      <c r="D1180" s="5"/>
      <c r="E1180" s="5"/>
      <c r="F1180" s="5"/>
      <c r="G1180" s="5"/>
      <c r="H1180" s="5" t="s">
        <v>27</v>
      </c>
      <c r="I1180" s="6">
        <v>44748</v>
      </c>
      <c r="J1180" s="5"/>
      <c r="K1180" s="5" t="s">
        <v>819</v>
      </c>
      <c r="L1180" s="5"/>
      <c r="M1180" s="5"/>
      <c r="N1180" s="7"/>
      <c r="O1180" s="5" t="s">
        <v>556</v>
      </c>
      <c r="P1180" s="8">
        <v>66.8</v>
      </c>
      <c r="Q1180" s="8">
        <f t="shared" si="27"/>
        <v>795.51</v>
      </c>
    </row>
    <row r="1181" spans="1:17" x14ac:dyDescent="0.25">
      <c r="A1181" s="5"/>
      <c r="B1181" s="5"/>
      <c r="C1181" s="5"/>
      <c r="D1181" s="5"/>
      <c r="E1181" s="5"/>
      <c r="F1181" s="5"/>
      <c r="G1181" s="5"/>
      <c r="H1181" s="5" t="s">
        <v>28</v>
      </c>
      <c r="I1181" s="6">
        <v>44771</v>
      </c>
      <c r="J1181" s="5"/>
      <c r="K1181" s="5" t="s">
        <v>819</v>
      </c>
      <c r="L1181" s="5"/>
      <c r="M1181" s="5"/>
      <c r="N1181" s="7"/>
      <c r="O1181" s="5" t="s">
        <v>554</v>
      </c>
      <c r="P1181" s="8">
        <v>72.87</v>
      </c>
      <c r="Q1181" s="8">
        <f t="shared" si="27"/>
        <v>868.38</v>
      </c>
    </row>
    <row r="1182" spans="1:17" x14ac:dyDescent="0.25">
      <c r="A1182" s="5"/>
      <c r="B1182" s="5"/>
      <c r="C1182" s="5"/>
      <c r="D1182" s="5"/>
      <c r="E1182" s="5"/>
      <c r="F1182" s="5"/>
      <c r="G1182" s="5"/>
      <c r="H1182" s="5" t="s">
        <v>28</v>
      </c>
      <c r="I1182" s="6">
        <v>44771</v>
      </c>
      <c r="J1182" s="5"/>
      <c r="K1182" s="5" t="s">
        <v>818</v>
      </c>
      <c r="L1182" s="5"/>
      <c r="M1182" s="5"/>
      <c r="N1182" s="7"/>
      <c r="O1182" s="5" t="s">
        <v>554</v>
      </c>
      <c r="P1182" s="8">
        <v>275.20999999999998</v>
      </c>
      <c r="Q1182" s="8">
        <f t="shared" si="27"/>
        <v>1143.5899999999999</v>
      </c>
    </row>
    <row r="1183" spans="1:17" x14ac:dyDescent="0.25">
      <c r="A1183" s="5"/>
      <c r="B1183" s="5"/>
      <c r="C1183" s="5"/>
      <c r="D1183" s="5"/>
      <c r="E1183" s="5"/>
      <c r="F1183" s="5"/>
      <c r="G1183" s="5"/>
      <c r="H1183" s="5" t="s">
        <v>27</v>
      </c>
      <c r="I1183" s="6">
        <v>44773</v>
      </c>
      <c r="J1183" s="5"/>
      <c r="K1183" s="5" t="s">
        <v>819</v>
      </c>
      <c r="L1183" s="5"/>
      <c r="M1183" s="5"/>
      <c r="N1183" s="7"/>
      <c r="O1183" s="5" t="s">
        <v>556</v>
      </c>
      <c r="P1183" s="8">
        <v>75.45</v>
      </c>
      <c r="Q1183" s="8">
        <f t="shared" si="27"/>
        <v>1219.04</v>
      </c>
    </row>
    <row r="1184" spans="1:17" x14ac:dyDescent="0.25">
      <c r="A1184" s="5"/>
      <c r="B1184" s="5"/>
      <c r="C1184" s="5"/>
      <c r="D1184" s="5"/>
      <c r="E1184" s="5"/>
      <c r="F1184" s="5"/>
      <c r="G1184" s="5"/>
      <c r="H1184" s="5" t="s">
        <v>27</v>
      </c>
      <c r="I1184" s="6">
        <v>44784</v>
      </c>
      <c r="J1184" s="5"/>
      <c r="K1184" s="5" t="s">
        <v>820</v>
      </c>
      <c r="L1184" s="5" t="s">
        <v>823</v>
      </c>
      <c r="M1184" s="5"/>
      <c r="N1184" s="7"/>
      <c r="O1184" s="5" t="s">
        <v>556</v>
      </c>
      <c r="P1184" s="8">
        <v>189.16</v>
      </c>
      <c r="Q1184" s="8">
        <f t="shared" si="27"/>
        <v>1408.2</v>
      </c>
    </row>
    <row r="1185" spans="1:17" x14ac:dyDescent="0.25">
      <c r="A1185" s="5"/>
      <c r="B1185" s="5"/>
      <c r="C1185" s="5"/>
      <c r="D1185" s="5"/>
      <c r="E1185" s="5"/>
      <c r="F1185" s="5"/>
      <c r="G1185" s="5"/>
      <c r="H1185" s="5" t="s">
        <v>28</v>
      </c>
      <c r="I1185" s="6">
        <v>44799</v>
      </c>
      <c r="J1185" s="5"/>
      <c r="K1185" s="5" t="s">
        <v>819</v>
      </c>
      <c r="L1185" s="5"/>
      <c r="M1185" s="5"/>
      <c r="N1185" s="7"/>
      <c r="O1185" s="5" t="s">
        <v>554</v>
      </c>
      <c r="P1185" s="8">
        <v>75.45</v>
      </c>
      <c r="Q1185" s="8">
        <f t="shared" si="27"/>
        <v>1483.65</v>
      </c>
    </row>
    <row r="1186" spans="1:17" x14ac:dyDescent="0.25">
      <c r="A1186" s="5"/>
      <c r="B1186" s="5"/>
      <c r="C1186" s="5"/>
      <c r="D1186" s="5"/>
      <c r="E1186" s="5"/>
      <c r="F1186" s="5"/>
      <c r="G1186" s="5"/>
      <c r="H1186" s="5" t="s">
        <v>28</v>
      </c>
      <c r="I1186" s="6">
        <v>44799</v>
      </c>
      <c r="J1186" s="5"/>
      <c r="K1186" s="5" t="s">
        <v>820</v>
      </c>
      <c r="L1186" s="5" t="s">
        <v>824</v>
      </c>
      <c r="M1186" s="5"/>
      <c r="N1186" s="7"/>
      <c r="O1186" s="5" t="s">
        <v>554</v>
      </c>
      <c r="P1186" s="8">
        <v>189.16</v>
      </c>
      <c r="Q1186" s="8">
        <f t="shared" si="27"/>
        <v>1672.81</v>
      </c>
    </row>
    <row r="1187" spans="1:17" x14ac:dyDescent="0.25">
      <c r="A1187" s="5"/>
      <c r="B1187" s="5"/>
      <c r="C1187" s="5"/>
      <c r="D1187" s="5"/>
      <c r="E1187" s="5"/>
      <c r="F1187" s="5"/>
      <c r="G1187" s="5"/>
      <c r="H1187" s="5" t="s">
        <v>27</v>
      </c>
      <c r="I1187" s="6">
        <v>44817</v>
      </c>
      <c r="J1187" s="5"/>
      <c r="K1187" s="5" t="s">
        <v>820</v>
      </c>
      <c r="L1187" s="5" t="s">
        <v>825</v>
      </c>
      <c r="M1187" s="5"/>
      <c r="N1187" s="7"/>
      <c r="O1187" s="5" t="s">
        <v>556</v>
      </c>
      <c r="P1187" s="8">
        <v>182.59</v>
      </c>
      <c r="Q1187" s="8">
        <f t="shared" si="27"/>
        <v>1855.4</v>
      </c>
    </row>
    <row r="1188" spans="1:17" x14ac:dyDescent="0.25">
      <c r="A1188" s="5"/>
      <c r="B1188" s="5"/>
      <c r="C1188" s="5"/>
      <c r="D1188" s="5"/>
      <c r="E1188" s="5"/>
      <c r="F1188" s="5"/>
      <c r="G1188" s="5"/>
      <c r="H1188" s="5" t="s">
        <v>27</v>
      </c>
      <c r="I1188" s="6">
        <v>44831</v>
      </c>
      <c r="J1188" s="5"/>
      <c r="K1188" s="5" t="s">
        <v>819</v>
      </c>
      <c r="L1188" s="5"/>
      <c r="M1188" s="5"/>
      <c r="N1188" s="7"/>
      <c r="O1188" s="5" t="s">
        <v>556</v>
      </c>
      <c r="P1188" s="8">
        <v>74.91</v>
      </c>
      <c r="Q1188" s="8">
        <f t="shared" si="27"/>
        <v>1930.31</v>
      </c>
    </row>
    <row r="1189" spans="1:17" x14ac:dyDescent="0.25">
      <c r="A1189" s="5"/>
      <c r="B1189" s="5"/>
      <c r="C1189" s="5"/>
      <c r="D1189" s="5"/>
      <c r="E1189" s="5"/>
      <c r="F1189" s="5"/>
      <c r="G1189" s="5"/>
      <c r="H1189" s="5" t="s">
        <v>28</v>
      </c>
      <c r="I1189" s="6">
        <v>44831</v>
      </c>
      <c r="J1189" s="5"/>
      <c r="K1189" s="5" t="s">
        <v>820</v>
      </c>
      <c r="L1189" s="5" t="s">
        <v>824</v>
      </c>
      <c r="M1189" s="5"/>
      <c r="N1189" s="7"/>
      <c r="O1189" s="5" t="s">
        <v>554</v>
      </c>
      <c r="P1189" s="8">
        <v>182.59</v>
      </c>
      <c r="Q1189" s="8">
        <f t="shared" si="27"/>
        <v>2112.9</v>
      </c>
    </row>
    <row r="1190" spans="1:17" x14ac:dyDescent="0.25">
      <c r="A1190" s="5"/>
      <c r="B1190" s="5"/>
      <c r="C1190" s="5"/>
      <c r="D1190" s="5"/>
      <c r="E1190" s="5"/>
      <c r="F1190" s="5"/>
      <c r="G1190" s="5"/>
      <c r="H1190" s="5" t="s">
        <v>27</v>
      </c>
      <c r="I1190" s="6">
        <v>44847</v>
      </c>
      <c r="J1190" s="5"/>
      <c r="K1190" s="5" t="s">
        <v>819</v>
      </c>
      <c r="L1190" s="5"/>
      <c r="M1190" s="5"/>
      <c r="N1190" s="7"/>
      <c r="O1190" s="5" t="s">
        <v>556</v>
      </c>
      <c r="P1190" s="8">
        <v>82.5</v>
      </c>
      <c r="Q1190" s="8">
        <f t="shared" si="27"/>
        <v>2195.4</v>
      </c>
    </row>
    <row r="1191" spans="1:17" x14ac:dyDescent="0.25">
      <c r="A1191" s="5"/>
      <c r="B1191" s="5"/>
      <c r="C1191" s="5"/>
      <c r="D1191" s="5"/>
      <c r="E1191" s="5"/>
      <c r="F1191" s="5"/>
      <c r="G1191" s="5"/>
      <c r="H1191" s="5" t="s">
        <v>27</v>
      </c>
      <c r="I1191" s="6">
        <v>44847</v>
      </c>
      <c r="J1191" s="5"/>
      <c r="K1191" s="5" t="s">
        <v>820</v>
      </c>
      <c r="L1191" s="5"/>
      <c r="M1191" s="5"/>
      <c r="N1191" s="7"/>
      <c r="O1191" s="5" t="s">
        <v>556</v>
      </c>
      <c r="P1191" s="8">
        <v>143.09</v>
      </c>
      <c r="Q1191" s="8">
        <f t="shared" si="27"/>
        <v>2338.4899999999998</v>
      </c>
    </row>
    <row r="1192" spans="1:17" x14ac:dyDescent="0.25">
      <c r="A1192" s="5"/>
      <c r="B1192" s="5"/>
      <c r="C1192" s="5"/>
      <c r="D1192" s="5"/>
      <c r="E1192" s="5"/>
      <c r="F1192" s="5"/>
      <c r="G1192" s="5"/>
      <c r="H1192" s="5" t="s">
        <v>27</v>
      </c>
      <c r="I1192" s="6">
        <v>44874</v>
      </c>
      <c r="J1192" s="5"/>
      <c r="K1192" s="5" t="s">
        <v>819</v>
      </c>
      <c r="L1192" s="5"/>
      <c r="M1192" s="5"/>
      <c r="N1192" s="7"/>
      <c r="O1192" s="5" t="s">
        <v>556</v>
      </c>
      <c r="P1192" s="8">
        <v>171.88</v>
      </c>
      <c r="Q1192" s="8">
        <f t="shared" si="27"/>
        <v>2510.37</v>
      </c>
    </row>
    <row r="1193" spans="1:17" x14ac:dyDescent="0.25">
      <c r="A1193" s="5"/>
      <c r="B1193" s="5"/>
      <c r="C1193" s="5"/>
      <c r="D1193" s="5"/>
      <c r="E1193" s="5"/>
      <c r="F1193" s="5"/>
      <c r="G1193" s="5"/>
      <c r="H1193" s="5" t="s">
        <v>27</v>
      </c>
      <c r="I1193" s="6">
        <v>44875</v>
      </c>
      <c r="J1193" s="5"/>
      <c r="K1193" s="5" t="s">
        <v>820</v>
      </c>
      <c r="L1193" s="5"/>
      <c r="M1193" s="5"/>
      <c r="N1193" s="7"/>
      <c r="O1193" s="5" t="s">
        <v>556</v>
      </c>
      <c r="P1193" s="8">
        <v>140.19999999999999</v>
      </c>
      <c r="Q1193" s="8">
        <f t="shared" si="27"/>
        <v>2650.57</v>
      </c>
    </row>
    <row r="1194" spans="1:17" x14ac:dyDescent="0.25">
      <c r="A1194" s="5"/>
      <c r="B1194" s="5"/>
      <c r="C1194" s="5"/>
      <c r="D1194" s="5"/>
      <c r="E1194" s="5"/>
      <c r="F1194" s="5"/>
      <c r="G1194" s="5"/>
      <c r="H1194" s="5" t="s">
        <v>28</v>
      </c>
      <c r="I1194" s="6">
        <v>44924</v>
      </c>
      <c r="J1194" s="5"/>
      <c r="K1194" s="5" t="s">
        <v>819</v>
      </c>
      <c r="L1194" s="5"/>
      <c r="M1194" s="5"/>
      <c r="N1194" s="7"/>
      <c r="O1194" s="5" t="s">
        <v>554</v>
      </c>
      <c r="P1194" s="8">
        <v>567.03</v>
      </c>
      <c r="Q1194" s="8">
        <f t="shared" si="27"/>
        <v>3217.6</v>
      </c>
    </row>
    <row r="1195" spans="1:17" ht="15.75" thickBot="1" x14ac:dyDescent="0.3">
      <c r="A1195" s="5"/>
      <c r="B1195" s="5"/>
      <c r="C1195" s="5"/>
      <c r="D1195" s="5"/>
      <c r="E1195" s="5"/>
      <c r="F1195" s="5"/>
      <c r="G1195" s="5"/>
      <c r="H1195" s="5" t="s">
        <v>28</v>
      </c>
      <c r="I1195" s="6">
        <v>44924</v>
      </c>
      <c r="J1195" s="5"/>
      <c r="K1195" s="5" t="s">
        <v>820</v>
      </c>
      <c r="L1195" s="5" t="s">
        <v>824</v>
      </c>
      <c r="M1195" s="5"/>
      <c r="N1195" s="7"/>
      <c r="O1195" s="5" t="s">
        <v>554</v>
      </c>
      <c r="P1195" s="8">
        <v>178.31</v>
      </c>
      <c r="Q1195" s="8">
        <f t="shared" si="27"/>
        <v>3395.91</v>
      </c>
    </row>
    <row r="1196" spans="1:17" ht="15.75" thickBot="1" x14ac:dyDescent="0.3">
      <c r="A1196" s="5"/>
      <c r="B1196" s="5"/>
      <c r="C1196" s="5"/>
      <c r="D1196" s="5"/>
      <c r="E1196" s="5" t="s">
        <v>779</v>
      </c>
      <c r="F1196" s="5"/>
      <c r="G1196" s="5"/>
      <c r="H1196" s="5"/>
      <c r="I1196" s="6"/>
      <c r="J1196" s="5"/>
      <c r="K1196" s="5"/>
      <c r="L1196" s="5"/>
      <c r="M1196" s="5"/>
      <c r="N1196" s="5"/>
      <c r="O1196" s="5"/>
      <c r="P1196" s="11">
        <f>ROUND(SUM(P1175:P1195),5)</f>
        <v>3395.91</v>
      </c>
      <c r="Q1196" s="11">
        <f>Q1195</f>
        <v>3395.91</v>
      </c>
    </row>
    <row r="1197" spans="1:17" ht="15.75" thickBot="1" x14ac:dyDescent="0.3">
      <c r="A1197" s="5"/>
      <c r="B1197" s="5"/>
      <c r="C1197" s="5"/>
      <c r="D1197" s="5" t="s">
        <v>780</v>
      </c>
      <c r="E1197" s="5"/>
      <c r="F1197" s="5"/>
      <c r="G1197" s="5"/>
      <c r="H1197" s="5"/>
      <c r="I1197" s="6"/>
      <c r="J1197" s="5"/>
      <c r="K1197" s="5"/>
      <c r="L1197" s="5"/>
      <c r="M1197" s="5"/>
      <c r="N1197" s="5"/>
      <c r="O1197" s="5"/>
      <c r="P1197" s="11">
        <f>ROUND(P533+P546+P550+P555+P579+P595+P599+P604+P607+P617+P626+P638+P641+P652+P666+P695+P1137+P1141+P1146+P1157+P1162+P1169+P1174+P1196,5)</f>
        <v>372013.32</v>
      </c>
      <c r="Q1197" s="11">
        <f>ROUND(Q533+Q546+Q550+Q555+Q579+Q595+Q599+Q604+Q607+Q617+Q626+Q638+Q641+Q652+Q666+Q695+Q1137+Q1141+Q1146+Q1157+Q1162+Q1169+Q1174+Q1196,5)</f>
        <v>372013.32</v>
      </c>
    </row>
    <row r="1198" spans="1:17" ht="15.75" thickBot="1" x14ac:dyDescent="0.3">
      <c r="A1198" s="5"/>
      <c r="B1198" s="5" t="s">
        <v>781</v>
      </c>
      <c r="C1198" s="5"/>
      <c r="D1198" s="5"/>
      <c r="E1198" s="5"/>
      <c r="F1198" s="5"/>
      <c r="G1198" s="5"/>
      <c r="H1198" s="5"/>
      <c r="I1198" s="6"/>
      <c r="J1198" s="5"/>
      <c r="K1198" s="5"/>
      <c r="L1198" s="5"/>
      <c r="M1198" s="5"/>
      <c r="N1198" s="5"/>
      <c r="O1198" s="5"/>
      <c r="P1198" s="11">
        <f>ROUND(P528-P1197,5)</f>
        <v>86431.73</v>
      </c>
      <c r="Q1198" s="11">
        <f>ROUND(Q528-Q1197,5)</f>
        <v>86431.73</v>
      </c>
    </row>
    <row r="1199" spans="1:17" s="13" customFormat="1" ht="12" thickBot="1" x14ac:dyDescent="0.25">
      <c r="A1199" s="2" t="s">
        <v>782</v>
      </c>
      <c r="B1199" s="2"/>
      <c r="C1199" s="2"/>
      <c r="D1199" s="2"/>
      <c r="E1199" s="2"/>
      <c r="F1199" s="2"/>
      <c r="G1199" s="2"/>
      <c r="H1199" s="2"/>
      <c r="I1199" s="3"/>
      <c r="J1199" s="2"/>
      <c r="K1199" s="2"/>
      <c r="L1199" s="2"/>
      <c r="M1199" s="2"/>
      <c r="N1199" s="2"/>
      <c r="O1199" s="2"/>
      <c r="P1199" s="12">
        <f>P1198</f>
        <v>86431.73</v>
      </c>
      <c r="Q1199" s="12">
        <f>Q1198</f>
        <v>86431.73</v>
      </c>
    </row>
    <row r="1200" spans="1:17" ht="15.75" thickTop="1" x14ac:dyDescent="0.25"/>
  </sheetData>
  <pageMargins left="0.7" right="0.7" top="0.75" bottom="0.75" header="0.1" footer="0.3"/>
  <pageSetup orientation="portrait" verticalDpi="0" r:id="rId1"/>
  <headerFooter>
    <oddHeader>&amp;L&amp;"Arial,Bold"&amp;8 1:45 PM
&amp;"Arial,Bold"&amp;8 03/10/23
&amp;"Arial,Bold"&amp;8 Accrual Basis&amp;C&amp;"Arial,Bold"&amp;12 AC Contracting Inc
&amp;"Arial,Bold"&amp;14 Profit &amp;&amp; Loss Detail
&amp;"Arial,Bold"&amp;10 April through December 2022</oddHeader>
    <oddFooter>&amp;R&amp;"Arial,Bold"&amp;8 Page &amp;P of &amp;N</oddFooter>
  </headerFooter>
  <drawing r:id="rId2"/>
  <legacyDrawing r:id="rId3"/>
  <controls>
    <mc:AlternateContent xmlns:mc="http://schemas.openxmlformats.org/markup-compatibility/2006">
      <mc:Choice Requires="x14">
        <control shapeId="1026" r:id="rId4" name="HEADER">
          <controlPr defaultSize="0" autoLine="0" r:id="rId5">
            <anchor moveWithCells="1">
              <from>
                <xdr:col>0</xdr:col>
                <xdr:colOff>0</xdr:colOff>
                <xdr:row>0</xdr:row>
                <xdr:rowOff>0</xdr:rowOff>
              </from>
              <to>
                <xdr:col>4</xdr:col>
                <xdr:colOff>114300</xdr:colOff>
                <xdr:row>1</xdr:row>
                <xdr:rowOff>28575</xdr:rowOff>
              </to>
            </anchor>
          </controlPr>
        </control>
      </mc:Choice>
      <mc:Fallback>
        <control shapeId="1026" r:id="rId4" name="HEADER"/>
      </mc:Fallback>
    </mc:AlternateContent>
    <mc:AlternateContent xmlns:mc="http://schemas.openxmlformats.org/markup-compatibility/2006">
      <mc:Choice Requires="x14">
        <control shapeId="1025" r:id="rId6" name="FILTER">
          <controlPr defaultSize="0" autoLine="0" r:id="rId7">
            <anchor moveWithCells="1">
              <from>
                <xdr:col>0</xdr:col>
                <xdr:colOff>0</xdr:colOff>
                <xdr:row>0</xdr:row>
                <xdr:rowOff>0</xdr:rowOff>
              </from>
              <to>
                <xdr:col>4</xdr:col>
                <xdr:colOff>114300</xdr:colOff>
                <xdr:row>1</xdr:row>
                <xdr:rowOff>28575</xdr:rowOff>
              </to>
            </anchor>
          </controlPr>
        </control>
      </mc:Choice>
      <mc:Fallback>
        <control shapeId="1025" r:id="rId6" name="FILT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DAF5B-F2B2-47EF-83DC-9C9E4F070B9D}">
  <dimension ref="A1:U40"/>
  <sheetViews>
    <sheetView workbookViewId="0">
      <selection activeCell="F10" sqref="F10"/>
    </sheetView>
  </sheetViews>
  <sheetFormatPr defaultRowHeight="15" x14ac:dyDescent="0.25"/>
  <cols>
    <col min="1" max="1" width="19.5703125" bestFit="1" customWidth="1"/>
    <col min="2" max="2" width="14.85546875" bestFit="1" customWidth="1"/>
    <col min="3" max="3" width="8" bestFit="1" customWidth="1"/>
    <col min="4" max="4" width="15" bestFit="1" customWidth="1"/>
    <col min="5" max="5" width="9.28515625" bestFit="1" customWidth="1"/>
    <col min="6" max="6" width="14.140625" bestFit="1" customWidth="1"/>
    <col min="7" max="7" width="15.140625" bestFit="1" customWidth="1"/>
    <col min="8" max="8" width="13.140625" bestFit="1" customWidth="1"/>
    <col min="9" max="9" width="21.42578125" bestFit="1" customWidth="1"/>
    <col min="10" max="10" width="13.140625" bestFit="1" customWidth="1"/>
    <col min="11" max="11" width="25.42578125" customWidth="1"/>
    <col min="12" max="12" width="13.140625" bestFit="1" customWidth="1"/>
    <col min="13" max="13" width="14.85546875" bestFit="1" customWidth="1"/>
    <col min="14" max="14" width="18.42578125" bestFit="1" customWidth="1"/>
    <col min="15" max="15" width="9.7109375" bestFit="1" customWidth="1"/>
    <col min="16" max="16" width="18" bestFit="1" customWidth="1"/>
    <col min="17" max="17" width="11.28515625" bestFit="1" customWidth="1"/>
    <col min="18" max="18" width="13.42578125" bestFit="1" customWidth="1"/>
    <col min="19" max="19" width="7.7109375" bestFit="1" customWidth="1"/>
    <col min="20" max="20" width="10.140625" bestFit="1" customWidth="1"/>
    <col min="21" max="21" width="8.140625" bestFit="1" customWidth="1"/>
    <col min="22" max="22" width="8.85546875" bestFit="1" customWidth="1"/>
    <col min="23" max="23" width="10.85546875" bestFit="1" customWidth="1"/>
    <col min="24" max="24" width="8" bestFit="1" customWidth="1"/>
    <col min="25" max="25" width="12.7109375" bestFit="1" customWidth="1"/>
    <col min="26" max="26" width="19.42578125" bestFit="1" customWidth="1"/>
    <col min="27" max="27" width="21" bestFit="1" customWidth="1"/>
    <col min="28" max="28" width="19.42578125" bestFit="1" customWidth="1"/>
    <col min="29" max="29" width="20.140625" bestFit="1" customWidth="1"/>
    <col min="30" max="30" width="15.5703125" bestFit="1" customWidth="1"/>
    <col min="31" max="31" width="12.7109375" bestFit="1" customWidth="1"/>
    <col min="32" max="32" width="35.140625" bestFit="1" customWidth="1"/>
    <col min="33" max="33" width="23.28515625" bestFit="1" customWidth="1"/>
    <col min="34" max="34" width="16.28515625" bestFit="1" customWidth="1"/>
    <col min="35" max="35" width="11.7109375" bestFit="1" customWidth="1"/>
    <col min="36" max="36" width="16.42578125" bestFit="1" customWidth="1"/>
    <col min="37" max="37" width="29.28515625" bestFit="1" customWidth="1"/>
    <col min="38" max="38" width="12.140625" bestFit="1" customWidth="1"/>
    <col min="39" max="39" width="9.42578125" bestFit="1" customWidth="1"/>
    <col min="40" max="40" width="8.140625" bestFit="1" customWidth="1"/>
    <col min="41" max="41" width="21.7109375" bestFit="1" customWidth="1"/>
    <col min="42" max="42" width="11.7109375" bestFit="1" customWidth="1"/>
    <col min="43" max="43" width="13.28515625" bestFit="1" customWidth="1"/>
    <col min="44" max="44" width="13.5703125" bestFit="1" customWidth="1"/>
    <col min="45" max="45" width="7.28515625" bestFit="1" customWidth="1"/>
    <col min="46" max="46" width="15.7109375" bestFit="1" customWidth="1"/>
    <col min="47" max="47" width="14.42578125" bestFit="1" customWidth="1"/>
    <col min="48" max="48" width="20.85546875" bestFit="1" customWidth="1"/>
    <col min="49" max="49" width="8" bestFit="1" customWidth="1"/>
    <col min="50" max="50" width="31.42578125" bestFit="1" customWidth="1"/>
    <col min="51" max="51" width="15.5703125" bestFit="1" customWidth="1"/>
    <col min="52" max="52" width="17" bestFit="1" customWidth="1"/>
    <col min="53" max="53" width="28.7109375" bestFit="1" customWidth="1"/>
    <col min="54" max="54" width="5.42578125" bestFit="1" customWidth="1"/>
    <col min="55" max="55" width="18.7109375" bestFit="1" customWidth="1"/>
    <col min="56" max="56" width="16" bestFit="1" customWidth="1"/>
    <col min="57" max="57" width="26.85546875" bestFit="1" customWidth="1"/>
    <col min="58" max="58" width="16.140625" bestFit="1" customWidth="1"/>
    <col min="59" max="59" width="6.28515625" bestFit="1" customWidth="1"/>
    <col min="60" max="60" width="13.85546875" bestFit="1" customWidth="1"/>
    <col min="61" max="61" width="14.42578125" bestFit="1" customWidth="1"/>
    <col min="62" max="62" width="5.5703125" bestFit="1" customWidth="1"/>
    <col min="63" max="63" width="37.42578125" bestFit="1" customWidth="1"/>
    <col min="64" max="64" width="21.140625" bestFit="1" customWidth="1"/>
    <col min="65" max="65" width="12.85546875" bestFit="1" customWidth="1"/>
    <col min="66" max="66" width="30.140625" bestFit="1" customWidth="1"/>
    <col min="67" max="67" width="14.7109375" bestFit="1" customWidth="1"/>
    <col min="68" max="68" width="10" bestFit="1" customWidth="1"/>
    <col min="69" max="69" width="28" bestFit="1" customWidth="1"/>
    <col min="70" max="70" width="16.28515625" bestFit="1" customWidth="1"/>
    <col min="71" max="71" width="28.85546875" bestFit="1" customWidth="1"/>
    <col min="72" max="72" width="20.140625" bestFit="1" customWidth="1"/>
    <col min="73" max="73" width="13.7109375" bestFit="1" customWidth="1"/>
    <col min="74" max="74" width="22.28515625" bestFit="1" customWidth="1"/>
    <col min="75" max="75" width="34.7109375" bestFit="1" customWidth="1"/>
    <col min="76" max="76" width="31.140625" bestFit="1" customWidth="1"/>
    <col min="77" max="77" width="9" bestFit="1" customWidth="1"/>
    <col min="78" max="78" width="22.5703125" bestFit="1" customWidth="1"/>
    <col min="79" max="79" width="22" bestFit="1" customWidth="1"/>
    <col min="80" max="80" width="7" bestFit="1" customWidth="1"/>
    <col min="81" max="81" width="11.5703125" bestFit="1" customWidth="1"/>
    <col min="82" max="82" width="33.140625" bestFit="1" customWidth="1"/>
    <col min="83" max="83" width="12.5703125" bestFit="1" customWidth="1"/>
    <col min="84" max="84" width="7" bestFit="1" customWidth="1"/>
    <col min="85" max="85" width="12.85546875" bestFit="1" customWidth="1"/>
    <col min="86" max="86" width="7.7109375" bestFit="1" customWidth="1"/>
    <col min="87" max="87" width="7" bestFit="1" customWidth="1"/>
    <col min="88" max="88" width="19.140625" bestFit="1" customWidth="1"/>
    <col min="89" max="89" width="19.7109375" bestFit="1" customWidth="1"/>
    <col min="90" max="90" width="9.7109375" bestFit="1" customWidth="1"/>
    <col min="91" max="91" width="19.85546875" bestFit="1" customWidth="1"/>
    <col min="92" max="92" width="15.7109375" bestFit="1" customWidth="1"/>
    <col min="93" max="94" width="19.5703125" bestFit="1" customWidth="1"/>
    <col min="95" max="95" width="24.140625" bestFit="1" customWidth="1"/>
    <col min="96" max="96" width="28.5703125" bestFit="1" customWidth="1"/>
    <col min="97" max="97" width="5.7109375" bestFit="1" customWidth="1"/>
    <col min="98" max="98" width="12.140625" bestFit="1" customWidth="1"/>
    <col min="99" max="99" width="23.28515625" bestFit="1" customWidth="1"/>
    <col min="100" max="100" width="20.42578125" bestFit="1" customWidth="1"/>
    <col min="101" max="101" width="31.7109375" bestFit="1" customWidth="1"/>
    <col min="102" max="102" width="32.28515625" bestFit="1" customWidth="1"/>
    <col min="103" max="103" width="14" bestFit="1" customWidth="1"/>
    <col min="104" max="104" width="18" bestFit="1" customWidth="1"/>
    <col min="105" max="105" width="11" bestFit="1" customWidth="1"/>
    <col min="106" max="106" width="11.28515625" bestFit="1" customWidth="1"/>
  </cols>
  <sheetData>
    <row r="1" spans="1:14" x14ac:dyDescent="0.25">
      <c r="A1" s="17" t="s">
        <v>826</v>
      </c>
      <c r="B1" t="s">
        <v>828</v>
      </c>
      <c r="D1" t="s">
        <v>840</v>
      </c>
      <c r="L1" s="17" t="s">
        <v>826</v>
      </c>
      <c r="M1" t="s">
        <v>828</v>
      </c>
      <c r="N1" t="s">
        <v>841</v>
      </c>
    </row>
    <row r="2" spans="1:14" x14ac:dyDescent="0.25">
      <c r="A2" s="18" t="s">
        <v>23</v>
      </c>
      <c r="B2" s="21">
        <v>914300.90000000061</v>
      </c>
      <c r="L2" s="18" t="s">
        <v>835</v>
      </c>
      <c r="M2" s="19">
        <v>312653.59999999998</v>
      </c>
    </row>
    <row r="3" spans="1:14" x14ac:dyDescent="0.25">
      <c r="A3" s="18" t="s">
        <v>27</v>
      </c>
      <c r="B3" s="21">
        <v>268467.71999999997</v>
      </c>
      <c r="L3" s="18" t="s">
        <v>834</v>
      </c>
      <c r="M3" s="19">
        <v>130057.99999999999</v>
      </c>
    </row>
    <row r="4" spans="1:14" x14ac:dyDescent="0.25">
      <c r="A4" s="18" t="s">
        <v>28</v>
      </c>
      <c r="B4" s="21">
        <v>223318.2099999999</v>
      </c>
      <c r="L4" s="18" t="s">
        <v>833</v>
      </c>
      <c r="M4" s="19">
        <v>108274.82999999997</v>
      </c>
    </row>
    <row r="5" spans="1:14" x14ac:dyDescent="0.25">
      <c r="A5" s="18" t="s">
        <v>596</v>
      </c>
      <c r="B5" s="21">
        <v>155704.23000000001</v>
      </c>
      <c r="L5" s="18" t="s">
        <v>830</v>
      </c>
      <c r="M5" s="19">
        <v>63257.56</v>
      </c>
    </row>
    <row r="6" spans="1:14" x14ac:dyDescent="0.25">
      <c r="A6" s="18" t="s">
        <v>25</v>
      </c>
      <c r="B6" s="21">
        <v>37878.030000000013</v>
      </c>
      <c r="L6" s="18" t="s">
        <v>838</v>
      </c>
      <c r="M6" s="19">
        <v>60665.920000000006</v>
      </c>
    </row>
    <row r="7" spans="1:14" x14ac:dyDescent="0.25">
      <c r="A7" s="18" t="s">
        <v>26</v>
      </c>
      <c r="B7" s="21">
        <v>4686.0700000000006</v>
      </c>
      <c r="L7" s="18" t="s">
        <v>836</v>
      </c>
      <c r="M7" s="19">
        <v>47141.84</v>
      </c>
    </row>
    <row r="8" spans="1:14" x14ac:dyDescent="0.25">
      <c r="A8" s="18" t="s">
        <v>595</v>
      </c>
      <c r="B8" s="21">
        <v>-299.99</v>
      </c>
      <c r="L8" s="18" t="s">
        <v>832</v>
      </c>
      <c r="M8" s="19">
        <v>31664.15</v>
      </c>
    </row>
    <row r="9" spans="1:14" x14ac:dyDescent="0.25">
      <c r="A9" s="18" t="s">
        <v>24</v>
      </c>
      <c r="B9" s="21">
        <v>-151610.44</v>
      </c>
      <c r="L9" s="18" t="s">
        <v>837</v>
      </c>
      <c r="M9" s="19">
        <v>7999.5599999999977</v>
      </c>
    </row>
    <row r="10" spans="1:14" x14ac:dyDescent="0.25">
      <c r="A10" s="18" t="s">
        <v>827</v>
      </c>
      <c r="B10" s="21">
        <v>1452444.7300000004</v>
      </c>
      <c r="D10" s="23"/>
      <c r="L10" s="18" t="s">
        <v>831</v>
      </c>
      <c r="M10" s="19">
        <v>975</v>
      </c>
    </row>
    <row r="11" spans="1:14" x14ac:dyDescent="0.25">
      <c r="A11" s="18" t="s">
        <v>844</v>
      </c>
      <c r="B11" s="24">
        <v>86431.73</v>
      </c>
      <c r="D11" s="19"/>
      <c r="L11" s="18" t="s">
        <v>827</v>
      </c>
      <c r="M11" s="19">
        <v>762690.45999999985</v>
      </c>
    </row>
    <row r="14" spans="1:14" x14ac:dyDescent="0.25">
      <c r="A14" t="s">
        <v>842</v>
      </c>
      <c r="B14" s="22">
        <v>0.60109999999999997</v>
      </c>
    </row>
    <row r="15" spans="1:14" x14ac:dyDescent="0.25">
      <c r="A15" t="s">
        <v>843</v>
      </c>
      <c r="B15" s="22">
        <f>(B11 / GETPIVOTDATA("Amount",$L$1))</f>
        <v>0.1133247818518669</v>
      </c>
    </row>
    <row r="40" spans="21:21" x14ac:dyDescent="0.25">
      <c r="U40">
        <v>762690.46</v>
      </c>
    </row>
  </sheetData>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B4B5B-2040-4D17-8AE1-E9EC3667AB15}">
  <dimension ref="A4:J70"/>
  <sheetViews>
    <sheetView workbookViewId="0">
      <selection activeCell="A5" sqref="A5"/>
    </sheetView>
  </sheetViews>
  <sheetFormatPr defaultRowHeight="15" x14ac:dyDescent="0.25"/>
  <cols>
    <col min="1" max="1" width="32.5703125" bestFit="1" customWidth="1"/>
    <col min="2" max="2" width="14.85546875" bestFit="1" customWidth="1"/>
    <col min="3" max="3" width="9.140625" bestFit="1" customWidth="1"/>
    <col min="4" max="6" width="10.140625" bestFit="1" customWidth="1"/>
    <col min="7" max="7" width="9.140625" bestFit="1" customWidth="1"/>
    <col min="8" max="9" width="10.140625" bestFit="1" customWidth="1"/>
    <col min="10" max="10" width="11.28515625" bestFit="1" customWidth="1"/>
    <col min="11" max="11" width="7.5703125" bestFit="1" customWidth="1"/>
    <col min="12" max="12" width="9.140625" bestFit="1" customWidth="1"/>
    <col min="13" max="13" width="7.5703125" bestFit="1" customWidth="1"/>
    <col min="14" max="15" width="9.140625" bestFit="1" customWidth="1"/>
    <col min="16" max="16" width="7.5703125" bestFit="1" customWidth="1"/>
    <col min="17" max="20" width="9.140625" bestFit="1" customWidth="1"/>
    <col min="21" max="21" width="10.140625" bestFit="1" customWidth="1"/>
    <col min="22" max="24" width="9.140625" bestFit="1" customWidth="1"/>
    <col min="25" max="26" width="7.5703125" bestFit="1" customWidth="1"/>
    <col min="27" max="28" width="9.140625" bestFit="1" customWidth="1"/>
    <col min="29" max="29" width="10.140625" bestFit="1" customWidth="1"/>
    <col min="30" max="30" width="7.5703125" bestFit="1" customWidth="1"/>
    <col min="31" max="31" width="6.5703125" bestFit="1" customWidth="1"/>
    <col min="32" max="32" width="7.5703125" bestFit="1" customWidth="1"/>
    <col min="33" max="34" width="9.140625" bestFit="1" customWidth="1"/>
    <col min="35" max="35" width="7.5703125" bestFit="1" customWidth="1"/>
    <col min="36" max="36" width="9.140625" bestFit="1" customWidth="1"/>
    <col min="37" max="37" width="7.5703125" bestFit="1" customWidth="1"/>
    <col min="38" max="41" width="9.140625" bestFit="1" customWidth="1"/>
    <col min="42" max="42" width="10.140625" bestFit="1" customWidth="1"/>
    <col min="43" max="43" width="9.140625" bestFit="1" customWidth="1"/>
    <col min="44" max="44" width="10.140625" bestFit="1" customWidth="1"/>
    <col min="45" max="48" width="9.140625" bestFit="1" customWidth="1"/>
    <col min="49" max="50" width="10.140625" bestFit="1" customWidth="1"/>
    <col min="51" max="51" width="9.140625" bestFit="1" customWidth="1"/>
    <col min="52" max="53" width="7.5703125" bestFit="1" customWidth="1"/>
    <col min="54" max="58" width="9.140625" bestFit="1" customWidth="1"/>
    <col min="59" max="59" width="7.5703125" bestFit="1" customWidth="1"/>
    <col min="60" max="62" width="9.140625" bestFit="1" customWidth="1"/>
    <col min="63" max="64" width="7.5703125" bestFit="1" customWidth="1"/>
    <col min="65" max="65" width="11.140625" bestFit="1" customWidth="1"/>
    <col min="66" max="67" width="9.140625" bestFit="1" customWidth="1"/>
    <col min="68" max="68" width="7.5703125" bestFit="1" customWidth="1"/>
    <col min="69" max="69" width="10.140625" bestFit="1" customWidth="1"/>
    <col min="70" max="71" width="9.140625" bestFit="1" customWidth="1"/>
    <col min="72" max="72" width="10.140625" bestFit="1" customWidth="1"/>
    <col min="73" max="73" width="9.140625" bestFit="1" customWidth="1"/>
    <col min="74" max="75" width="7.5703125" bestFit="1" customWidth="1"/>
    <col min="76" max="76" width="9.140625" bestFit="1" customWidth="1"/>
    <col min="77" max="77" width="7.5703125" bestFit="1" customWidth="1"/>
    <col min="78" max="79" width="9.140625" bestFit="1" customWidth="1"/>
    <col min="80" max="81" width="10.140625" bestFit="1" customWidth="1"/>
    <col min="82" max="82" width="11.140625" bestFit="1" customWidth="1"/>
    <col min="83" max="84" width="9.140625" bestFit="1" customWidth="1"/>
    <col min="85" max="85" width="11.85546875" bestFit="1" customWidth="1"/>
    <col min="86" max="87" width="9.140625" bestFit="1" customWidth="1"/>
    <col min="88" max="88" width="10.140625" bestFit="1" customWidth="1"/>
    <col min="89" max="95" width="9.140625" bestFit="1" customWidth="1"/>
    <col min="96" max="97" width="10.140625" bestFit="1" customWidth="1"/>
    <col min="98" max="98" width="9.140625" bestFit="1" customWidth="1"/>
    <col min="99" max="99" width="11.28515625" bestFit="1" customWidth="1"/>
    <col min="100" max="100" width="8" bestFit="1" customWidth="1"/>
    <col min="101" max="101" width="6" bestFit="1" customWidth="1"/>
    <col min="102" max="102" width="8" bestFit="1" customWidth="1"/>
    <col min="103" max="103" width="7" bestFit="1" customWidth="1"/>
    <col min="104" max="104" width="9" bestFit="1" customWidth="1"/>
    <col min="105" max="106" width="7" bestFit="1" customWidth="1"/>
    <col min="107" max="107" width="9.140625" bestFit="1" customWidth="1"/>
    <col min="108" max="108" width="11.28515625" bestFit="1" customWidth="1"/>
    <col min="109" max="109" width="7" bestFit="1" customWidth="1"/>
    <col min="110" max="110" width="4" bestFit="1" customWidth="1"/>
    <col min="111" max="112" width="7" bestFit="1" customWidth="1"/>
    <col min="113" max="113" width="4" bestFit="1" customWidth="1"/>
    <col min="114" max="116" width="7" bestFit="1" customWidth="1"/>
    <col min="117" max="117" width="6" bestFit="1" customWidth="1"/>
    <col min="118" max="119" width="7" bestFit="1" customWidth="1"/>
    <col min="120" max="120" width="4" bestFit="1" customWidth="1"/>
    <col min="121" max="121" width="6" bestFit="1" customWidth="1"/>
    <col min="122" max="122" width="7" bestFit="1" customWidth="1"/>
    <col min="123" max="123" width="6" bestFit="1" customWidth="1"/>
    <col min="124" max="124" width="4" bestFit="1" customWidth="1"/>
    <col min="125" max="125" width="7" bestFit="1" customWidth="1"/>
    <col min="126" max="126" width="4" bestFit="1" customWidth="1"/>
    <col min="127" max="130" width="7" bestFit="1" customWidth="1"/>
    <col min="131" max="131" width="6" bestFit="1" customWidth="1"/>
    <col min="132" max="132" width="4" bestFit="1" customWidth="1"/>
    <col min="133" max="133" width="7" bestFit="1" customWidth="1"/>
    <col min="134" max="134" width="4" bestFit="1" customWidth="1"/>
    <col min="135" max="135" width="7" bestFit="1" customWidth="1"/>
    <col min="136" max="136" width="6" bestFit="1" customWidth="1"/>
    <col min="137" max="137" width="7" bestFit="1" customWidth="1"/>
    <col min="138" max="138" width="4" bestFit="1" customWidth="1"/>
    <col min="139" max="139" width="6" bestFit="1" customWidth="1"/>
    <col min="140" max="140" width="7" bestFit="1" customWidth="1"/>
    <col min="141" max="141" width="6" bestFit="1" customWidth="1"/>
    <col min="142" max="144" width="7" bestFit="1" customWidth="1"/>
    <col min="145" max="145" width="4" bestFit="1" customWidth="1"/>
    <col min="146" max="147" width="7" bestFit="1" customWidth="1"/>
    <col min="148" max="148" width="4" bestFit="1" customWidth="1"/>
    <col min="149" max="153" width="7" bestFit="1" customWidth="1"/>
    <col min="154" max="155" width="6" bestFit="1" customWidth="1"/>
    <col min="156" max="159" width="7" bestFit="1" customWidth="1"/>
    <col min="160" max="160" width="6" bestFit="1" customWidth="1"/>
    <col min="161" max="164" width="7" bestFit="1" customWidth="1"/>
    <col min="165" max="165" width="4" bestFit="1" customWidth="1"/>
    <col min="166" max="166" width="7" bestFit="1" customWidth="1"/>
    <col min="167" max="167" width="6" bestFit="1" customWidth="1"/>
    <col min="168" max="171" width="7" bestFit="1" customWidth="1"/>
    <col min="172" max="172" width="6" bestFit="1" customWidth="1"/>
    <col min="173" max="175" width="7" bestFit="1" customWidth="1"/>
    <col min="176" max="176" width="6" bestFit="1" customWidth="1"/>
    <col min="177" max="192" width="7" bestFit="1" customWidth="1"/>
    <col min="193" max="193" width="6" bestFit="1" customWidth="1"/>
    <col min="194" max="209" width="7" bestFit="1" customWidth="1"/>
    <col min="210" max="210" width="6" bestFit="1" customWidth="1"/>
    <col min="211" max="220" width="7" bestFit="1" customWidth="1"/>
    <col min="221" max="221" width="4" bestFit="1" customWidth="1"/>
    <col min="222" max="223" width="7" bestFit="1" customWidth="1"/>
    <col min="224" max="225" width="8" bestFit="1" customWidth="1"/>
    <col min="226" max="228" width="7" bestFit="1" customWidth="1"/>
    <col min="229" max="233" width="8" bestFit="1" customWidth="1"/>
    <col min="234" max="237" width="5" bestFit="1" customWidth="1"/>
    <col min="238" max="239" width="8" bestFit="1" customWidth="1"/>
    <col min="240" max="240" width="5" bestFit="1" customWidth="1"/>
    <col min="241" max="242" width="8" bestFit="1" customWidth="1"/>
    <col min="243" max="244" width="7" bestFit="1" customWidth="1"/>
    <col min="245" max="245" width="5" bestFit="1" customWidth="1"/>
    <col min="246" max="246" width="8" bestFit="1" customWidth="1"/>
    <col min="247" max="248" width="7" bestFit="1" customWidth="1"/>
    <col min="249" max="250" width="5" bestFit="1" customWidth="1"/>
    <col min="251" max="255" width="8" bestFit="1" customWidth="1"/>
    <col min="256" max="256" width="5" bestFit="1" customWidth="1"/>
    <col min="257" max="258" width="8" bestFit="1" customWidth="1"/>
    <col min="259" max="259" width="5" bestFit="1" customWidth="1"/>
    <col min="260" max="260" width="8" bestFit="1" customWidth="1"/>
    <col min="261" max="262" width="5" bestFit="1" customWidth="1"/>
    <col min="263" max="263" width="8" bestFit="1" customWidth="1"/>
    <col min="264" max="268" width="5" bestFit="1" customWidth="1"/>
    <col min="269" max="269" width="8" bestFit="1" customWidth="1"/>
    <col min="270" max="270" width="5" bestFit="1" customWidth="1"/>
    <col min="271" max="271" width="7" bestFit="1" customWidth="1"/>
    <col min="272" max="272" width="8" bestFit="1" customWidth="1"/>
    <col min="273" max="273" width="5" bestFit="1" customWidth="1"/>
    <col min="274" max="274" width="8" bestFit="1" customWidth="1"/>
    <col min="275" max="278" width="5" bestFit="1" customWidth="1"/>
    <col min="279" max="279" width="8" bestFit="1" customWidth="1"/>
    <col min="280" max="280" width="5" bestFit="1" customWidth="1"/>
    <col min="281" max="282" width="8" bestFit="1" customWidth="1"/>
    <col min="283" max="284" width="5" bestFit="1" customWidth="1"/>
    <col min="285" max="285" width="8" bestFit="1" customWidth="1"/>
    <col min="286" max="288" width="5" bestFit="1" customWidth="1"/>
    <col min="289" max="289" width="8" bestFit="1" customWidth="1"/>
    <col min="290" max="290" width="5" bestFit="1" customWidth="1"/>
    <col min="291" max="291" width="8" bestFit="1" customWidth="1"/>
    <col min="292" max="293" width="5" bestFit="1" customWidth="1"/>
    <col min="294" max="294" width="8" bestFit="1" customWidth="1"/>
    <col min="295" max="295" width="5" bestFit="1" customWidth="1"/>
    <col min="296" max="307" width="6" bestFit="1" customWidth="1"/>
    <col min="308" max="308" width="7" bestFit="1" customWidth="1"/>
    <col min="309" max="309" width="11.28515625" bestFit="1" customWidth="1"/>
  </cols>
  <sheetData>
    <row r="4" spans="1:2" x14ac:dyDescent="0.25">
      <c r="A4" s="17" t="s">
        <v>826</v>
      </c>
      <c r="B4" t="s">
        <v>828</v>
      </c>
    </row>
    <row r="5" spans="1:2" x14ac:dyDescent="0.25">
      <c r="A5" s="18" t="s">
        <v>423</v>
      </c>
      <c r="B5" s="20">
        <v>321700</v>
      </c>
    </row>
    <row r="6" spans="1:2" x14ac:dyDescent="0.25">
      <c r="A6" s="18" t="s">
        <v>413</v>
      </c>
      <c r="B6" s="20">
        <v>136596.86999999994</v>
      </c>
    </row>
    <row r="7" spans="1:2" x14ac:dyDescent="0.25">
      <c r="A7" s="18" t="s">
        <v>412</v>
      </c>
      <c r="B7" s="20">
        <v>73894.459999999992</v>
      </c>
    </row>
    <row r="8" spans="1:2" x14ac:dyDescent="0.25">
      <c r="A8" s="18" t="s">
        <v>422</v>
      </c>
      <c r="B8" s="20">
        <v>47350</v>
      </c>
    </row>
    <row r="9" spans="1:2" x14ac:dyDescent="0.25">
      <c r="A9" s="18" t="s">
        <v>405</v>
      </c>
      <c r="B9" s="20">
        <v>41976.11</v>
      </c>
    </row>
    <row r="10" spans="1:2" x14ac:dyDescent="0.25">
      <c r="A10" s="18" t="s">
        <v>434</v>
      </c>
      <c r="B10" s="20">
        <v>30999.899999999998</v>
      </c>
    </row>
    <row r="11" spans="1:2" x14ac:dyDescent="0.25">
      <c r="A11" s="18" t="s">
        <v>408</v>
      </c>
      <c r="B11" s="20">
        <v>22200</v>
      </c>
    </row>
    <row r="12" spans="1:2" x14ac:dyDescent="0.25">
      <c r="A12" s="18" t="s">
        <v>418</v>
      </c>
      <c r="B12" s="20">
        <v>20000</v>
      </c>
    </row>
    <row r="13" spans="1:2" x14ac:dyDescent="0.25">
      <c r="A13" s="18" t="s">
        <v>410</v>
      </c>
      <c r="B13" s="20">
        <v>17465.120000000003</v>
      </c>
    </row>
    <row r="14" spans="1:2" x14ac:dyDescent="0.25">
      <c r="A14" s="18" t="s">
        <v>427</v>
      </c>
      <c r="B14" s="20">
        <v>9850</v>
      </c>
    </row>
    <row r="15" spans="1:2" x14ac:dyDescent="0.25">
      <c r="A15" s="18" t="s">
        <v>409</v>
      </c>
      <c r="B15" s="20">
        <v>9500</v>
      </c>
    </row>
    <row r="16" spans="1:2" x14ac:dyDescent="0.25">
      <c r="A16" s="18" t="s">
        <v>426</v>
      </c>
      <c r="B16" s="20">
        <v>9000</v>
      </c>
    </row>
    <row r="17" spans="1:2" x14ac:dyDescent="0.25">
      <c r="A17" s="18" t="s">
        <v>414</v>
      </c>
      <c r="B17" s="20">
        <v>8200</v>
      </c>
    </row>
    <row r="18" spans="1:2" x14ac:dyDescent="0.25">
      <c r="A18" s="18" t="s">
        <v>425</v>
      </c>
      <c r="B18" s="20">
        <v>6720</v>
      </c>
    </row>
    <row r="19" spans="1:2" x14ac:dyDescent="0.25">
      <c r="A19" s="18" t="s">
        <v>432</v>
      </c>
      <c r="B19" s="20">
        <v>5400</v>
      </c>
    </row>
    <row r="20" spans="1:2" x14ac:dyDescent="0.25">
      <c r="A20" s="18" t="s">
        <v>424</v>
      </c>
      <c r="B20" s="20">
        <v>4860</v>
      </c>
    </row>
    <row r="21" spans="1:2" x14ac:dyDescent="0.25">
      <c r="A21" s="18" t="s">
        <v>431</v>
      </c>
      <c r="B21" s="20">
        <v>3500</v>
      </c>
    </row>
    <row r="22" spans="1:2" x14ac:dyDescent="0.25">
      <c r="A22" s="18" t="s">
        <v>420</v>
      </c>
      <c r="B22" s="20">
        <v>3410</v>
      </c>
    </row>
    <row r="23" spans="1:2" x14ac:dyDescent="0.25">
      <c r="A23" s="18" t="s">
        <v>411</v>
      </c>
      <c r="B23" s="20">
        <v>3225</v>
      </c>
    </row>
    <row r="24" spans="1:2" x14ac:dyDescent="0.25">
      <c r="A24" s="18" t="s">
        <v>406</v>
      </c>
      <c r="B24" s="20">
        <v>2700</v>
      </c>
    </row>
    <row r="25" spans="1:2" x14ac:dyDescent="0.25">
      <c r="A25" s="18" t="s">
        <v>415</v>
      </c>
      <c r="B25" s="20">
        <v>2558</v>
      </c>
    </row>
    <row r="26" spans="1:2" x14ac:dyDescent="0.25">
      <c r="A26" s="18" t="s">
        <v>436</v>
      </c>
      <c r="B26" s="20">
        <v>2220</v>
      </c>
    </row>
    <row r="27" spans="1:2" x14ac:dyDescent="0.25">
      <c r="A27" s="18" t="s">
        <v>416</v>
      </c>
      <c r="B27" s="20">
        <v>2000</v>
      </c>
    </row>
    <row r="28" spans="1:2" x14ac:dyDescent="0.25">
      <c r="A28" s="18" t="s">
        <v>419</v>
      </c>
      <c r="B28" s="20">
        <v>1860</v>
      </c>
    </row>
    <row r="29" spans="1:2" x14ac:dyDescent="0.25">
      <c r="A29" s="18" t="s">
        <v>437</v>
      </c>
      <c r="B29" s="20">
        <v>1769.91</v>
      </c>
    </row>
    <row r="30" spans="1:2" x14ac:dyDescent="0.25">
      <c r="A30" s="18" t="s">
        <v>407</v>
      </c>
      <c r="B30" s="20">
        <v>1750</v>
      </c>
    </row>
    <row r="31" spans="1:2" x14ac:dyDescent="0.25">
      <c r="A31" s="18" t="s">
        <v>421</v>
      </c>
      <c r="B31" s="20">
        <v>1300</v>
      </c>
    </row>
    <row r="32" spans="1:2" x14ac:dyDescent="0.25">
      <c r="A32" s="18" t="s">
        <v>433</v>
      </c>
      <c r="B32" s="20">
        <v>1200</v>
      </c>
    </row>
    <row r="33" spans="1:10" x14ac:dyDescent="0.25">
      <c r="A33" s="18" t="s">
        <v>435</v>
      </c>
      <c r="B33" s="20">
        <v>300</v>
      </c>
    </row>
    <row r="34" spans="1:10" x14ac:dyDescent="0.25">
      <c r="A34" s="18" t="s">
        <v>428</v>
      </c>
      <c r="B34" s="20">
        <v>185.09</v>
      </c>
    </row>
    <row r="35" spans="1:10" x14ac:dyDescent="0.25">
      <c r="A35" s="18" t="s">
        <v>417</v>
      </c>
      <c r="B35" s="20">
        <v>0</v>
      </c>
    </row>
    <row r="36" spans="1:10" x14ac:dyDescent="0.25">
      <c r="A36" s="18" t="s">
        <v>430</v>
      </c>
      <c r="B36" s="20">
        <v>-5000</v>
      </c>
    </row>
    <row r="37" spans="1:10" x14ac:dyDescent="0.25">
      <c r="A37" s="18" t="s">
        <v>429</v>
      </c>
      <c r="B37" s="20">
        <v>-26000</v>
      </c>
    </row>
    <row r="38" spans="1:10" x14ac:dyDescent="0.25">
      <c r="A38" s="18" t="s">
        <v>827</v>
      </c>
      <c r="B38" s="19">
        <v>762690.45999999985</v>
      </c>
    </row>
    <row r="44" spans="1:10" x14ac:dyDescent="0.25">
      <c r="A44" t="s">
        <v>839</v>
      </c>
    </row>
    <row r="45" spans="1:10" x14ac:dyDescent="0.25">
      <c r="A45" s="17" t="s">
        <v>828</v>
      </c>
      <c r="B45" s="17" t="s">
        <v>829</v>
      </c>
    </row>
    <row r="46" spans="1:10" x14ac:dyDescent="0.25">
      <c r="B46" t="s">
        <v>830</v>
      </c>
      <c r="C46" t="s">
        <v>831</v>
      </c>
      <c r="D46" t="s">
        <v>833</v>
      </c>
      <c r="E46" t="s">
        <v>834</v>
      </c>
      <c r="F46" t="s">
        <v>835</v>
      </c>
      <c r="G46" t="s">
        <v>836</v>
      </c>
      <c r="H46" t="s">
        <v>837</v>
      </c>
      <c r="I46" t="s">
        <v>838</v>
      </c>
      <c r="J46" t="s">
        <v>827</v>
      </c>
    </row>
    <row r="47" spans="1:10" x14ac:dyDescent="0.25">
      <c r="A47" s="17" t="s">
        <v>826</v>
      </c>
    </row>
    <row r="48" spans="1:10" x14ac:dyDescent="0.25">
      <c r="A48" s="18" t="s">
        <v>440</v>
      </c>
      <c r="B48" s="20"/>
      <c r="C48" s="20">
        <v>1559.5</v>
      </c>
      <c r="D48" s="20"/>
      <c r="E48" s="20"/>
      <c r="F48" s="20"/>
      <c r="G48" s="20"/>
      <c r="H48" s="20"/>
      <c r="I48" s="20"/>
      <c r="J48" s="20">
        <v>1559.5</v>
      </c>
    </row>
    <row r="49" spans="1:10" x14ac:dyDescent="0.25">
      <c r="A49" s="18" t="s">
        <v>442</v>
      </c>
      <c r="B49" s="20"/>
      <c r="C49" s="20">
        <v>918.71</v>
      </c>
      <c r="D49" s="20"/>
      <c r="E49" s="20"/>
      <c r="F49" s="20"/>
      <c r="G49" s="20"/>
      <c r="H49" s="20">
        <v>2212.39</v>
      </c>
      <c r="I49" s="20">
        <v>5268.92</v>
      </c>
      <c r="J49" s="20">
        <v>8400.02</v>
      </c>
    </row>
    <row r="50" spans="1:10" x14ac:dyDescent="0.25">
      <c r="A50" s="18" t="s">
        <v>457</v>
      </c>
      <c r="B50" s="20"/>
      <c r="C50" s="20"/>
      <c r="D50" s="20"/>
      <c r="E50" s="20"/>
      <c r="F50" s="20"/>
      <c r="G50" s="20"/>
      <c r="H50" s="20"/>
      <c r="I50" s="20">
        <v>2084.6799999999998</v>
      </c>
      <c r="J50" s="20">
        <v>2084.6799999999998</v>
      </c>
    </row>
    <row r="51" spans="1:10" x14ac:dyDescent="0.25">
      <c r="A51" s="18" t="s">
        <v>460</v>
      </c>
      <c r="B51" s="20"/>
      <c r="C51" s="20"/>
      <c r="D51" s="20"/>
      <c r="E51" s="20"/>
      <c r="F51" s="20"/>
      <c r="G51" s="20"/>
      <c r="H51" s="20"/>
      <c r="I51" s="20">
        <v>31.47</v>
      </c>
      <c r="J51" s="20">
        <v>31.47</v>
      </c>
    </row>
    <row r="52" spans="1:10" x14ac:dyDescent="0.25">
      <c r="A52" s="18" t="s">
        <v>441</v>
      </c>
      <c r="B52" s="20"/>
      <c r="C52" s="20">
        <v>425.47</v>
      </c>
      <c r="D52" s="20">
        <v>311.93</v>
      </c>
      <c r="E52" s="20"/>
      <c r="F52" s="20"/>
      <c r="G52" s="20"/>
      <c r="H52" s="20"/>
      <c r="I52" s="20">
        <v>626.5</v>
      </c>
      <c r="J52" s="20">
        <v>1363.9</v>
      </c>
    </row>
    <row r="53" spans="1:10" x14ac:dyDescent="0.25">
      <c r="A53" s="18" t="s">
        <v>453</v>
      </c>
      <c r="B53" s="20"/>
      <c r="C53" s="20"/>
      <c r="D53" s="20"/>
      <c r="E53" s="20"/>
      <c r="F53" s="20"/>
      <c r="G53" s="20"/>
      <c r="H53" s="20">
        <v>10062</v>
      </c>
      <c r="I53" s="20"/>
      <c r="J53" s="20">
        <v>10062</v>
      </c>
    </row>
    <row r="54" spans="1:10" x14ac:dyDescent="0.25">
      <c r="A54" s="18" t="s">
        <v>455</v>
      </c>
      <c r="B54" s="20"/>
      <c r="C54" s="20"/>
      <c r="D54" s="20"/>
      <c r="E54" s="20"/>
      <c r="F54" s="20"/>
      <c r="G54" s="20"/>
      <c r="H54" s="20"/>
      <c r="I54" s="20">
        <v>8620</v>
      </c>
      <c r="J54" s="20">
        <v>8620</v>
      </c>
    </row>
    <row r="55" spans="1:10" x14ac:dyDescent="0.25">
      <c r="A55" s="18" t="s">
        <v>446</v>
      </c>
      <c r="B55" s="20"/>
      <c r="C55" s="20"/>
      <c r="D55" s="20"/>
      <c r="E55" s="20"/>
      <c r="F55" s="20">
        <v>2124.79</v>
      </c>
      <c r="G55" s="20">
        <v>2212.39</v>
      </c>
      <c r="H55" s="20"/>
      <c r="I55" s="20">
        <v>2355.27</v>
      </c>
      <c r="J55" s="20">
        <v>6692.4500000000007</v>
      </c>
    </row>
    <row r="56" spans="1:10" x14ac:dyDescent="0.25">
      <c r="A56" s="18" t="s">
        <v>449</v>
      </c>
      <c r="B56" s="20"/>
      <c r="C56" s="20"/>
      <c r="D56" s="20"/>
      <c r="E56" s="20"/>
      <c r="F56" s="20"/>
      <c r="G56" s="20"/>
      <c r="H56" s="20">
        <v>350.07</v>
      </c>
      <c r="I56" s="20">
        <v>24.05</v>
      </c>
      <c r="J56" s="20">
        <v>374.12</v>
      </c>
    </row>
    <row r="57" spans="1:10" x14ac:dyDescent="0.25">
      <c r="A57" s="18" t="s">
        <v>444</v>
      </c>
      <c r="B57" s="20"/>
      <c r="C57" s="20"/>
      <c r="D57" s="20">
        <v>5815</v>
      </c>
      <c r="E57" s="20"/>
      <c r="F57" s="20"/>
      <c r="G57" s="20"/>
      <c r="H57" s="20"/>
      <c r="I57" s="20"/>
      <c r="J57" s="20">
        <v>5815</v>
      </c>
    </row>
    <row r="58" spans="1:10" x14ac:dyDescent="0.25">
      <c r="A58" s="18" t="s">
        <v>445</v>
      </c>
      <c r="B58" s="20"/>
      <c r="C58" s="20"/>
      <c r="D58" s="20"/>
      <c r="E58" s="20">
        <v>2071.66</v>
      </c>
      <c r="F58" s="20"/>
      <c r="G58" s="20"/>
      <c r="H58" s="20"/>
      <c r="I58" s="20"/>
      <c r="J58" s="20">
        <v>2071.66</v>
      </c>
    </row>
    <row r="59" spans="1:10" x14ac:dyDescent="0.25">
      <c r="A59" s="18" t="s">
        <v>458</v>
      </c>
      <c r="B59" s="20"/>
      <c r="C59" s="20"/>
      <c r="D59" s="20"/>
      <c r="E59" s="20"/>
      <c r="F59" s="20"/>
      <c r="G59" s="20"/>
      <c r="H59" s="20"/>
      <c r="I59" s="20">
        <v>1065.08</v>
      </c>
      <c r="J59" s="20">
        <v>1065.08</v>
      </c>
    </row>
    <row r="60" spans="1:10" x14ac:dyDescent="0.25">
      <c r="A60" s="18" t="s">
        <v>443</v>
      </c>
      <c r="B60" s="20"/>
      <c r="C60" s="20"/>
      <c r="D60" s="20">
        <v>260.7</v>
      </c>
      <c r="E60" s="20"/>
      <c r="F60" s="20"/>
      <c r="G60" s="20"/>
      <c r="H60" s="20"/>
      <c r="I60" s="20"/>
      <c r="J60" s="20">
        <v>260.7</v>
      </c>
    </row>
    <row r="61" spans="1:10" x14ac:dyDescent="0.25">
      <c r="A61" s="18" t="s">
        <v>438</v>
      </c>
      <c r="B61" s="20">
        <v>2900.1</v>
      </c>
      <c r="C61" s="20"/>
      <c r="D61" s="20"/>
      <c r="E61" s="20"/>
      <c r="F61" s="20"/>
      <c r="G61" s="20"/>
      <c r="H61" s="20"/>
      <c r="I61" s="20"/>
      <c r="J61" s="20">
        <v>2900.1</v>
      </c>
    </row>
    <row r="62" spans="1:10" x14ac:dyDescent="0.25">
      <c r="A62" s="18" t="s">
        <v>459</v>
      </c>
      <c r="B62" s="20"/>
      <c r="C62" s="20"/>
      <c r="D62" s="20"/>
      <c r="E62" s="20"/>
      <c r="F62" s="20"/>
      <c r="G62" s="20"/>
      <c r="H62" s="20"/>
      <c r="I62" s="20">
        <v>2320</v>
      </c>
      <c r="J62" s="20">
        <v>2320</v>
      </c>
    </row>
    <row r="63" spans="1:10" x14ac:dyDescent="0.25">
      <c r="A63" s="18" t="s">
        <v>447</v>
      </c>
      <c r="B63" s="20"/>
      <c r="C63" s="20"/>
      <c r="D63" s="20"/>
      <c r="E63" s="20"/>
      <c r="F63" s="20">
        <v>17377.27</v>
      </c>
      <c r="G63" s="20"/>
      <c r="H63" s="20"/>
      <c r="I63" s="20"/>
      <c r="J63" s="20">
        <v>17377.27</v>
      </c>
    </row>
    <row r="64" spans="1:10" x14ac:dyDescent="0.25">
      <c r="A64" s="18" t="s">
        <v>451</v>
      </c>
      <c r="B64" s="20"/>
      <c r="C64" s="20"/>
      <c r="D64" s="20"/>
      <c r="E64" s="20"/>
      <c r="F64" s="20"/>
      <c r="G64" s="20"/>
      <c r="H64" s="20">
        <v>371.3</v>
      </c>
      <c r="I64" s="20">
        <v>33.380000000000003</v>
      </c>
      <c r="J64" s="20">
        <v>404.68</v>
      </c>
    </row>
    <row r="65" spans="1:10" x14ac:dyDescent="0.25">
      <c r="A65" s="18" t="s">
        <v>452</v>
      </c>
      <c r="B65" s="20"/>
      <c r="C65" s="20"/>
      <c r="D65" s="20"/>
      <c r="E65" s="20"/>
      <c r="F65" s="20"/>
      <c r="G65" s="20"/>
      <c r="H65" s="20">
        <v>3939.6</v>
      </c>
      <c r="I65" s="20"/>
      <c r="J65" s="20">
        <v>3939.6</v>
      </c>
    </row>
    <row r="66" spans="1:10" x14ac:dyDescent="0.25">
      <c r="A66" s="18" t="s">
        <v>439</v>
      </c>
      <c r="B66" s="20"/>
      <c r="C66" s="20">
        <v>3855</v>
      </c>
      <c r="D66" s="20"/>
      <c r="E66" s="20"/>
      <c r="F66" s="20"/>
      <c r="G66" s="20"/>
      <c r="H66" s="20"/>
      <c r="I66" s="20"/>
      <c r="J66" s="20">
        <v>3855</v>
      </c>
    </row>
    <row r="67" spans="1:10" x14ac:dyDescent="0.25">
      <c r="A67" s="18" t="s">
        <v>448</v>
      </c>
      <c r="B67" s="20"/>
      <c r="C67" s="20"/>
      <c r="D67" s="20"/>
      <c r="E67" s="20"/>
      <c r="F67" s="20"/>
      <c r="G67" s="20"/>
      <c r="H67" s="20">
        <v>271.08</v>
      </c>
      <c r="I67" s="20"/>
      <c r="J67" s="20">
        <v>271.08</v>
      </c>
    </row>
    <row r="68" spans="1:10" x14ac:dyDescent="0.25">
      <c r="A68" s="18" t="s">
        <v>450</v>
      </c>
      <c r="B68" s="20"/>
      <c r="C68" s="20"/>
      <c r="D68" s="20"/>
      <c r="E68" s="20"/>
      <c r="F68" s="20"/>
      <c r="G68" s="20"/>
      <c r="H68" s="20">
        <v>618.76</v>
      </c>
      <c r="I68" s="20"/>
      <c r="J68" s="20">
        <v>618.76</v>
      </c>
    </row>
    <row r="69" spans="1:10" x14ac:dyDescent="0.25">
      <c r="A69" s="18" t="s">
        <v>456</v>
      </c>
      <c r="B69" s="20"/>
      <c r="C69" s="20"/>
      <c r="D69" s="20"/>
      <c r="E69" s="20"/>
      <c r="F69" s="20"/>
      <c r="G69" s="20"/>
      <c r="H69" s="20"/>
      <c r="I69" s="20">
        <v>554.42999999999995</v>
      </c>
      <c r="J69" s="20">
        <v>554.42999999999995</v>
      </c>
    </row>
    <row r="70" spans="1:10" x14ac:dyDescent="0.25">
      <c r="A70" s="18" t="s">
        <v>827</v>
      </c>
      <c r="B70" s="19">
        <v>2900.1</v>
      </c>
      <c r="C70" s="19">
        <v>6758.68</v>
      </c>
      <c r="D70" s="19">
        <v>6387.63</v>
      </c>
      <c r="E70" s="19">
        <v>2071.66</v>
      </c>
      <c r="F70" s="19">
        <v>19502.060000000001</v>
      </c>
      <c r="G70" s="19">
        <v>2212.39</v>
      </c>
      <c r="H70" s="19">
        <v>17825.199999999997</v>
      </c>
      <c r="I70" s="19">
        <v>22983.780000000002</v>
      </c>
      <c r="J70" s="19">
        <v>80641.499999999985</v>
      </c>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F1740-86E8-483F-890A-4606190F5700}">
  <dimension ref="A2:B34"/>
  <sheetViews>
    <sheetView workbookViewId="0">
      <selection activeCell="G4" sqref="G4:G5"/>
    </sheetView>
  </sheetViews>
  <sheetFormatPr defaultRowHeight="15" x14ac:dyDescent="0.25"/>
  <cols>
    <col min="1" max="1" width="30.28515625" bestFit="1" customWidth="1"/>
    <col min="2" max="3" width="14.85546875" bestFit="1" customWidth="1"/>
    <col min="4" max="4" width="15" bestFit="1" customWidth="1"/>
    <col min="5" max="5" width="9.28515625" bestFit="1" customWidth="1"/>
    <col min="6" max="6" width="14.140625" bestFit="1" customWidth="1"/>
    <col min="7" max="8" width="16.28515625" bestFit="1" customWidth="1"/>
    <col min="9" max="9" width="21.42578125" bestFit="1" customWidth="1"/>
    <col min="10" max="10" width="11.5703125" bestFit="1" customWidth="1"/>
    <col min="11" max="11" width="24.28515625" bestFit="1" customWidth="1"/>
    <col min="12" max="12" width="31.7109375" bestFit="1" customWidth="1"/>
    <col min="13" max="13" width="11.28515625" bestFit="1" customWidth="1"/>
    <col min="14" max="14" width="18.42578125" bestFit="1" customWidth="1"/>
    <col min="15" max="15" width="12.28515625" bestFit="1" customWidth="1"/>
    <col min="16" max="16" width="18" bestFit="1" customWidth="1"/>
    <col min="17" max="17" width="11.28515625" bestFit="1" customWidth="1"/>
    <col min="18" max="18" width="13.42578125" bestFit="1" customWidth="1"/>
    <col min="19" max="19" width="9" bestFit="1" customWidth="1"/>
    <col min="20" max="20" width="11.5703125" bestFit="1" customWidth="1"/>
    <col min="21" max="22" width="10.5703125" bestFit="1" customWidth="1"/>
    <col min="23" max="23" width="10.85546875" bestFit="1" customWidth="1"/>
    <col min="24" max="24" width="10.5703125" bestFit="1" customWidth="1"/>
    <col min="25" max="25" width="12.7109375" bestFit="1" customWidth="1"/>
    <col min="26" max="26" width="19.42578125" bestFit="1" customWidth="1"/>
    <col min="27" max="27" width="21" bestFit="1" customWidth="1"/>
    <col min="28" max="28" width="19.42578125" bestFit="1" customWidth="1"/>
    <col min="29" max="29" width="20.140625" bestFit="1" customWidth="1"/>
    <col min="30" max="30" width="15.5703125" bestFit="1" customWidth="1"/>
    <col min="31" max="31" width="12.7109375" bestFit="1" customWidth="1"/>
    <col min="32" max="32" width="35.140625" bestFit="1" customWidth="1"/>
    <col min="33" max="33" width="23.28515625" bestFit="1" customWidth="1"/>
    <col min="34" max="34" width="16.28515625" bestFit="1" customWidth="1"/>
    <col min="35" max="35" width="11.7109375" bestFit="1" customWidth="1"/>
    <col min="36" max="36" width="16.42578125" bestFit="1" customWidth="1"/>
    <col min="37" max="37" width="29.28515625" bestFit="1" customWidth="1"/>
    <col min="38" max="38" width="12.140625" bestFit="1" customWidth="1"/>
    <col min="39" max="39" width="11.5703125" bestFit="1" customWidth="1"/>
    <col min="40" max="40" width="10.5703125" bestFit="1" customWidth="1"/>
    <col min="41" max="41" width="21.7109375" bestFit="1" customWidth="1"/>
    <col min="42" max="42" width="11.7109375" bestFit="1" customWidth="1"/>
    <col min="43" max="43" width="13.28515625" bestFit="1" customWidth="1"/>
    <col min="44" max="44" width="13.5703125" bestFit="1" customWidth="1"/>
    <col min="45" max="45" width="10.5703125" bestFit="1" customWidth="1"/>
    <col min="46" max="46" width="15.7109375" bestFit="1" customWidth="1"/>
    <col min="47" max="47" width="14.42578125" bestFit="1" customWidth="1"/>
    <col min="48" max="48" width="20.85546875" bestFit="1" customWidth="1"/>
    <col min="49" max="49" width="11.28515625" bestFit="1" customWidth="1"/>
    <col min="50" max="50" width="31.42578125" bestFit="1" customWidth="1"/>
    <col min="51" max="51" width="15.5703125" bestFit="1" customWidth="1"/>
    <col min="52" max="52" width="17" bestFit="1" customWidth="1"/>
    <col min="53" max="53" width="28.7109375" bestFit="1" customWidth="1"/>
    <col min="54" max="54" width="12.140625" bestFit="1" customWidth="1"/>
    <col min="55" max="55" width="10.5703125" bestFit="1" customWidth="1"/>
    <col min="56" max="56" width="18.7109375" bestFit="1" customWidth="1"/>
    <col min="57" max="57" width="16" bestFit="1" customWidth="1"/>
    <col min="58" max="58" width="26.85546875" bestFit="1" customWidth="1"/>
    <col min="59" max="59" width="16.140625" bestFit="1" customWidth="1"/>
    <col min="60" max="60" width="6.28515625" bestFit="1" customWidth="1"/>
    <col min="61" max="61" width="13.85546875" bestFit="1" customWidth="1"/>
    <col min="62" max="62" width="14.42578125" bestFit="1" customWidth="1"/>
    <col min="63" max="63" width="9" bestFit="1" customWidth="1"/>
    <col min="64" max="64" width="37.42578125" bestFit="1" customWidth="1"/>
    <col min="65" max="65" width="21.140625" bestFit="1" customWidth="1"/>
    <col min="66" max="66" width="12.85546875" bestFit="1" customWidth="1"/>
    <col min="67" max="67" width="30.140625" bestFit="1" customWidth="1"/>
    <col min="68" max="68" width="14.7109375" bestFit="1" customWidth="1"/>
    <col min="69" max="69" width="10.5703125" bestFit="1" customWidth="1"/>
    <col min="70" max="70" width="28" bestFit="1" customWidth="1"/>
    <col min="71" max="71" width="16.28515625" bestFit="1" customWidth="1"/>
    <col min="72" max="72" width="28.85546875" bestFit="1" customWidth="1"/>
    <col min="73" max="73" width="20.140625" bestFit="1" customWidth="1"/>
    <col min="74" max="74" width="13.7109375" bestFit="1" customWidth="1"/>
    <col min="75" max="75" width="22.28515625" bestFit="1" customWidth="1"/>
    <col min="76" max="76" width="34.7109375" bestFit="1" customWidth="1"/>
    <col min="77" max="77" width="31.140625" bestFit="1" customWidth="1"/>
    <col min="78" max="78" width="11.5703125" bestFit="1" customWidth="1"/>
    <col min="79" max="79" width="22.5703125" bestFit="1" customWidth="1"/>
    <col min="80" max="80" width="22" bestFit="1" customWidth="1"/>
    <col min="81" max="81" width="9" bestFit="1" customWidth="1"/>
    <col min="82" max="82" width="11.5703125" bestFit="1" customWidth="1"/>
    <col min="83" max="83" width="33.140625" bestFit="1" customWidth="1"/>
    <col min="84" max="84" width="12.5703125" bestFit="1" customWidth="1"/>
    <col min="85" max="85" width="10.5703125" bestFit="1" customWidth="1"/>
    <col min="86" max="86" width="12.85546875" bestFit="1" customWidth="1"/>
    <col min="87" max="88" width="9" bestFit="1" customWidth="1"/>
    <col min="89" max="89" width="19.140625" bestFit="1" customWidth="1"/>
    <col min="90" max="90" width="19.7109375" bestFit="1" customWidth="1"/>
    <col min="91" max="91" width="10.5703125" bestFit="1" customWidth="1"/>
    <col min="92" max="92" width="19.85546875" bestFit="1" customWidth="1"/>
    <col min="93" max="93" width="15.7109375" bestFit="1" customWidth="1"/>
    <col min="94" max="95" width="19.5703125" bestFit="1" customWidth="1"/>
    <col min="96" max="96" width="24.140625" bestFit="1" customWidth="1"/>
    <col min="97" max="97" width="28.5703125" bestFit="1" customWidth="1"/>
    <col min="98" max="98" width="11.28515625" bestFit="1" customWidth="1"/>
    <col min="99" max="99" width="12.140625" bestFit="1" customWidth="1"/>
    <col min="100" max="100" width="23.28515625" bestFit="1" customWidth="1"/>
    <col min="101" max="101" width="20.42578125" bestFit="1" customWidth="1"/>
    <col min="102" max="102" width="31.7109375" bestFit="1" customWidth="1"/>
    <col min="103" max="103" width="32.28515625" bestFit="1" customWidth="1"/>
    <col min="104" max="104" width="14" bestFit="1" customWidth="1"/>
    <col min="105" max="105" width="18" bestFit="1" customWidth="1"/>
    <col min="106" max="106" width="11.5703125" bestFit="1" customWidth="1"/>
    <col min="107" max="107" width="14.28515625" bestFit="1" customWidth="1"/>
    <col min="108" max="108" width="9" bestFit="1" customWidth="1"/>
    <col min="109" max="109" width="9.7109375" bestFit="1" customWidth="1"/>
    <col min="110" max="110" width="12.5703125" bestFit="1" customWidth="1"/>
    <col min="111" max="111" width="9" bestFit="1" customWidth="1"/>
    <col min="112" max="113" width="10.5703125" bestFit="1" customWidth="1"/>
    <col min="114" max="114" width="9.7109375" bestFit="1" customWidth="1"/>
    <col min="115" max="115" width="11.5703125" bestFit="1" customWidth="1"/>
    <col min="116" max="117" width="10.5703125" bestFit="1" customWidth="1"/>
    <col min="118" max="118" width="11.5703125" bestFit="1" customWidth="1"/>
    <col min="119" max="120" width="10.5703125" bestFit="1" customWidth="1"/>
    <col min="121" max="121" width="9.7109375" bestFit="1" customWidth="1"/>
    <col min="122" max="122" width="11.5703125" bestFit="1" customWidth="1"/>
    <col min="123" max="124" width="10.5703125" bestFit="1" customWidth="1"/>
    <col min="125" max="125" width="9.7109375" bestFit="1" customWidth="1"/>
    <col min="126" max="126" width="10.5703125" bestFit="1" customWidth="1"/>
    <col min="127" max="127" width="9.7109375" bestFit="1" customWidth="1"/>
    <col min="128" max="128" width="10.5703125" bestFit="1" customWidth="1"/>
    <col min="129" max="130" width="10.7109375" bestFit="1" customWidth="1"/>
    <col min="131" max="132" width="11.5703125" bestFit="1" customWidth="1"/>
    <col min="133" max="135" width="10.7109375" bestFit="1" customWidth="1"/>
    <col min="136" max="136" width="11.5703125" bestFit="1" customWidth="1"/>
    <col min="137" max="137" width="10.7109375" bestFit="1" customWidth="1"/>
    <col min="138" max="138" width="11.5703125" bestFit="1" customWidth="1"/>
    <col min="139" max="141" width="10.7109375" bestFit="1" customWidth="1"/>
    <col min="142" max="142" width="12.5703125" bestFit="1" customWidth="1"/>
    <col min="143" max="143" width="10.5703125" bestFit="1" customWidth="1"/>
    <col min="144" max="144" width="9.7109375" bestFit="1" customWidth="1"/>
    <col min="145" max="145" width="11.5703125" bestFit="1" customWidth="1"/>
    <col min="146" max="146" width="13.42578125" bestFit="1" customWidth="1"/>
    <col min="147" max="147" width="10.5703125" bestFit="1" customWidth="1"/>
    <col min="148" max="148" width="11.5703125" bestFit="1" customWidth="1"/>
    <col min="149" max="149" width="10.7109375" bestFit="1" customWidth="1"/>
    <col min="150" max="150" width="11.5703125" bestFit="1" customWidth="1"/>
    <col min="151" max="151" width="10.7109375" bestFit="1" customWidth="1"/>
    <col min="152" max="152" width="11.5703125" bestFit="1" customWidth="1"/>
    <col min="153" max="155" width="10.7109375" bestFit="1" customWidth="1"/>
    <col min="156" max="156" width="11.5703125" bestFit="1" customWidth="1"/>
    <col min="157" max="157" width="10.7109375" bestFit="1" customWidth="1"/>
    <col min="158" max="158" width="11.5703125" bestFit="1" customWidth="1"/>
    <col min="159" max="161" width="10.7109375" bestFit="1" customWidth="1"/>
    <col min="162" max="166" width="10.5703125" bestFit="1" customWidth="1"/>
    <col min="167" max="167" width="11.5703125" bestFit="1" customWidth="1"/>
    <col min="168" max="168" width="10.5703125" bestFit="1" customWidth="1"/>
    <col min="169" max="169" width="10.7109375" bestFit="1" customWidth="1"/>
    <col min="170" max="170" width="11.5703125" bestFit="1" customWidth="1"/>
    <col min="171" max="171" width="10.7109375" bestFit="1" customWidth="1"/>
    <col min="172" max="173" width="11.5703125" bestFit="1" customWidth="1"/>
    <col min="174" max="175" width="10.7109375" bestFit="1" customWidth="1"/>
    <col min="176" max="176" width="11.5703125" bestFit="1" customWidth="1"/>
    <col min="177" max="179" width="10.7109375" bestFit="1" customWidth="1"/>
    <col min="180" max="180" width="14.28515625" bestFit="1" customWidth="1"/>
  </cols>
  <sheetData>
    <row r="2" spans="1:2" x14ac:dyDescent="0.25">
      <c r="A2" t="s">
        <v>872</v>
      </c>
    </row>
    <row r="3" spans="1:2" x14ac:dyDescent="0.25">
      <c r="A3" s="17" t="s">
        <v>826</v>
      </c>
      <c r="B3" t="s">
        <v>828</v>
      </c>
    </row>
    <row r="4" spans="1:2" x14ac:dyDescent="0.25">
      <c r="A4" s="18" t="s">
        <v>846</v>
      </c>
      <c r="B4" s="19">
        <v>166081.08000000002</v>
      </c>
    </row>
    <row r="5" spans="1:2" x14ac:dyDescent="0.25">
      <c r="A5" s="18" t="s">
        <v>596</v>
      </c>
      <c r="B5" s="19">
        <v>155704.22999999998</v>
      </c>
    </row>
    <row r="6" spans="1:2" x14ac:dyDescent="0.25">
      <c r="A6" s="18" t="s">
        <v>24</v>
      </c>
      <c r="B6" s="19">
        <v>151610.44</v>
      </c>
    </row>
    <row r="7" spans="1:2" x14ac:dyDescent="0.25">
      <c r="A7" s="18" t="s">
        <v>845</v>
      </c>
      <c r="B7" s="19">
        <v>144912.09999999998</v>
      </c>
    </row>
    <row r="8" spans="1:2" x14ac:dyDescent="0.25">
      <c r="A8" s="18" t="s">
        <v>861</v>
      </c>
      <c r="B8" s="19">
        <v>36467.119999999995</v>
      </c>
    </row>
    <row r="9" spans="1:2" x14ac:dyDescent="0.25">
      <c r="A9" s="18" t="s">
        <v>855</v>
      </c>
      <c r="B9" s="19">
        <v>32330.400000000001</v>
      </c>
    </row>
    <row r="10" spans="1:2" x14ac:dyDescent="0.25">
      <c r="A10" s="18" t="s">
        <v>864</v>
      </c>
      <c r="B10" s="19">
        <v>29867.220000000008</v>
      </c>
    </row>
    <row r="11" spans="1:2" x14ac:dyDescent="0.25">
      <c r="A11" s="18" t="s">
        <v>863</v>
      </c>
      <c r="B11" s="19">
        <v>18425.419999999998</v>
      </c>
    </row>
    <row r="12" spans="1:2" x14ac:dyDescent="0.25">
      <c r="A12" s="18" t="s">
        <v>862</v>
      </c>
      <c r="B12" s="19">
        <v>16000</v>
      </c>
    </row>
    <row r="13" spans="1:2" x14ac:dyDescent="0.25">
      <c r="A13" s="18" t="s">
        <v>847</v>
      </c>
      <c r="B13" s="19">
        <v>15000</v>
      </c>
    </row>
    <row r="14" spans="1:2" x14ac:dyDescent="0.25">
      <c r="A14" s="18" t="s">
        <v>849</v>
      </c>
      <c r="B14" s="19">
        <v>13329.640000000001</v>
      </c>
    </row>
    <row r="15" spans="1:2" x14ac:dyDescent="0.25">
      <c r="A15" s="18" t="s">
        <v>852</v>
      </c>
      <c r="B15" s="19">
        <v>10007.719999999998</v>
      </c>
    </row>
    <row r="16" spans="1:2" x14ac:dyDescent="0.25">
      <c r="A16" s="18" t="s">
        <v>848</v>
      </c>
      <c r="B16" s="19">
        <v>9275</v>
      </c>
    </row>
    <row r="17" spans="1:2" x14ac:dyDescent="0.25">
      <c r="A17" s="18" t="s">
        <v>853</v>
      </c>
      <c r="B17" s="19">
        <v>8043.28</v>
      </c>
    </row>
    <row r="18" spans="1:2" x14ac:dyDescent="0.25">
      <c r="A18" s="18" t="s">
        <v>865</v>
      </c>
      <c r="B18" s="19">
        <v>5480.75</v>
      </c>
    </row>
    <row r="19" spans="1:2" x14ac:dyDescent="0.25">
      <c r="A19" s="18" t="s">
        <v>850</v>
      </c>
      <c r="B19" s="19">
        <v>4714</v>
      </c>
    </row>
    <row r="20" spans="1:2" x14ac:dyDescent="0.25">
      <c r="A20" s="18" t="s">
        <v>868</v>
      </c>
      <c r="B20" s="19">
        <v>3395.91</v>
      </c>
    </row>
    <row r="21" spans="1:2" x14ac:dyDescent="0.25">
      <c r="A21" s="18" t="s">
        <v>860</v>
      </c>
      <c r="B21" s="19">
        <v>2821.35</v>
      </c>
    </row>
    <row r="22" spans="1:2" x14ac:dyDescent="0.25">
      <c r="A22" s="18" t="s">
        <v>854</v>
      </c>
      <c r="B22" s="19">
        <v>1896.03</v>
      </c>
    </row>
    <row r="23" spans="1:2" x14ac:dyDescent="0.25">
      <c r="A23" s="18" t="s">
        <v>856</v>
      </c>
      <c r="B23" s="19">
        <v>1781.1700000000003</v>
      </c>
    </row>
    <row r="24" spans="1:2" x14ac:dyDescent="0.25">
      <c r="A24" s="18" t="s">
        <v>866</v>
      </c>
      <c r="B24" s="19">
        <v>1542.5900000000001</v>
      </c>
    </row>
    <row r="25" spans="1:2" x14ac:dyDescent="0.25">
      <c r="A25" s="18" t="s">
        <v>870</v>
      </c>
      <c r="B25" s="19">
        <v>1356</v>
      </c>
    </row>
    <row r="26" spans="1:2" x14ac:dyDescent="0.25">
      <c r="A26" s="18" t="s">
        <v>858</v>
      </c>
      <c r="B26" s="19">
        <v>1145.07</v>
      </c>
    </row>
    <row r="27" spans="1:2" x14ac:dyDescent="0.25">
      <c r="A27" s="18" t="s">
        <v>857</v>
      </c>
      <c r="B27" s="19">
        <v>982.24</v>
      </c>
    </row>
    <row r="28" spans="1:2" x14ac:dyDescent="0.25">
      <c r="A28" s="18" t="s">
        <v>851</v>
      </c>
      <c r="B28" s="19">
        <v>800</v>
      </c>
    </row>
    <row r="29" spans="1:2" x14ac:dyDescent="0.25">
      <c r="A29" s="18" t="s">
        <v>867</v>
      </c>
      <c r="B29" s="19">
        <v>694.91</v>
      </c>
    </row>
    <row r="30" spans="1:2" x14ac:dyDescent="0.25">
      <c r="A30" s="18" t="s">
        <v>869</v>
      </c>
      <c r="B30" s="19">
        <v>593.27</v>
      </c>
    </row>
    <row r="31" spans="1:2" x14ac:dyDescent="0.25">
      <c r="A31" s="18" t="s">
        <v>859</v>
      </c>
      <c r="B31" s="19">
        <v>360</v>
      </c>
    </row>
    <row r="32" spans="1:2" x14ac:dyDescent="0.25">
      <c r="A32" s="18" t="s">
        <v>0</v>
      </c>
      <c r="B32" s="19">
        <v>0</v>
      </c>
    </row>
    <row r="33" spans="1:2" x14ac:dyDescent="0.25">
      <c r="A33" s="18" t="s">
        <v>26</v>
      </c>
      <c r="B33" s="19">
        <v>-166.94</v>
      </c>
    </row>
    <row r="34" spans="1:2" x14ac:dyDescent="0.25">
      <c r="A34" s="18" t="s">
        <v>827</v>
      </c>
      <c r="B34" s="19">
        <v>834450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54B9E70-83AA-4175-B503-6820F40EA590}">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Worksheet (all)</vt:lpstr>
      <vt:lpstr>Only revenue</vt:lpstr>
      <vt:lpstr>Sheet1</vt:lpstr>
      <vt:lpstr>Sheet2</vt:lpstr>
      <vt:lpstr>Sheet3</vt:lpstr>
      <vt:lpstr>Sheet5</vt:lpstr>
      <vt:lpstr>Sheet1!Print_Titles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Ideacentre</dc:creator>
  <cp:lastModifiedBy>Ameen Al-Tameemi</cp:lastModifiedBy>
  <dcterms:created xsi:type="dcterms:W3CDTF">2023-03-10T18:45:00Z</dcterms:created>
  <dcterms:modified xsi:type="dcterms:W3CDTF">2023-03-14T03:29:52Z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{554B9E70-83AA-4175-B503-6820F40EA590}</vt:lpwstr>
  </property>
</Properties>
</file>